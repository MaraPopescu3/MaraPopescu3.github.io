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apopescu/Desktop/"/>
    </mc:Choice>
  </mc:AlternateContent>
  <xr:revisionPtr revIDLastSave="0" documentId="8_{E234996F-C910-094B-AF60-8BB673C17326}" xr6:coauthVersionLast="47" xr6:coauthVersionMax="47" xr10:uidLastSave="{00000000-0000-0000-0000-000000000000}"/>
  <bookViews>
    <workbookView xWindow="0" yWindow="720" windowWidth="29400" windowHeight="18400" xr2:uid="{8D4FC060-61DC-724F-8F40-05654679EA46}"/>
  </bookViews>
  <sheets>
    <sheet name="Sheet1" sheetId="1" r:id="rId1"/>
  </sheets>
  <definedNames>
    <definedName name="r_" localSheetId="0">Sheet1!$D$6</definedName>
    <definedName name="sigma" localSheetId="0">Sheet1!$D$8</definedName>
    <definedName name="T_t" localSheetId="0">Sheet1!$D$7</definedName>
    <definedName name="X" localSheetId="0">Sheet1!$D$5</definedName>
  </definedName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1" l="1"/>
  <c r="M39" i="1"/>
  <c r="M38" i="1"/>
  <c r="F38" i="1"/>
  <c r="F27" i="1"/>
  <c r="M28" i="1"/>
  <c r="F39" i="1"/>
  <c r="F28" i="1"/>
  <c r="M37" i="1"/>
  <c r="M26" i="1"/>
  <c r="F37" i="1"/>
  <c r="F26" i="1"/>
  <c r="M44" i="1"/>
  <c r="L44" i="1"/>
  <c r="J39" i="1"/>
  <c r="J44" i="1"/>
  <c r="M25" i="1"/>
  <c r="F25" i="1"/>
  <c r="M36" i="1"/>
  <c r="F36" i="1"/>
  <c r="C41" i="1"/>
  <c r="E44" i="1"/>
  <c r="F44" i="1"/>
  <c r="G44" i="1"/>
  <c r="C30" i="1"/>
  <c r="K44" i="1"/>
  <c r="N44" i="1"/>
  <c r="J41" i="1"/>
  <c r="J30" i="1"/>
  <c r="K47" i="1"/>
  <c r="N47" i="1"/>
  <c r="L47" i="1"/>
  <c r="J47" i="1"/>
  <c r="G47" i="1"/>
  <c r="D47" i="1"/>
  <c r="C47" i="1"/>
  <c r="D44" i="1"/>
  <c r="C44" i="1"/>
  <c r="F47" i="1"/>
  <c r="E47" i="1"/>
  <c r="B47" i="1"/>
  <c r="I47" i="1"/>
  <c r="M47" i="1"/>
  <c r="K11" i="1"/>
  <c r="I44" i="1"/>
  <c r="D11" i="1"/>
  <c r="D13" i="1"/>
  <c r="D15" i="1"/>
  <c r="D17" i="1"/>
  <c r="C26" i="1"/>
  <c r="B44" i="1"/>
  <c r="J40" i="1"/>
  <c r="J37" i="1"/>
  <c r="J28" i="1"/>
  <c r="J38" i="1"/>
  <c r="J27" i="1"/>
  <c r="J26" i="1"/>
  <c r="J36" i="1"/>
  <c r="C28" i="1"/>
  <c r="C39" i="1"/>
  <c r="C40" i="1"/>
  <c r="D18" i="1"/>
  <c r="C37" i="1"/>
  <c r="C36" i="1"/>
  <c r="C38" i="1"/>
  <c r="C29" i="1"/>
  <c r="K13" i="1"/>
  <c r="K15" i="1"/>
  <c r="K18" i="1"/>
  <c r="K17" i="1"/>
  <c r="K12" i="1"/>
  <c r="K10" i="1"/>
  <c r="J25" i="1"/>
  <c r="C27" i="1"/>
  <c r="C25" i="1"/>
  <c r="D12" i="1"/>
  <c r="D10" i="1"/>
</calcChain>
</file>

<file path=xl/sharedStrings.xml><?xml version="1.0" encoding="utf-8"?>
<sst xmlns="http://schemas.openxmlformats.org/spreadsheetml/2006/main" count="108" uniqueCount="40">
  <si>
    <t>Spot Price</t>
  </si>
  <si>
    <t>S</t>
  </si>
  <si>
    <t xml:space="preserve">^VIX </t>
  </si>
  <si>
    <t>CBOE Volatility Index</t>
  </si>
  <si>
    <t xml:space="preserve">Time to expiry </t>
  </si>
  <si>
    <t xml:space="preserve">22 days </t>
  </si>
  <si>
    <t xml:space="preserve">Short term Volatility </t>
  </si>
  <si>
    <t xml:space="preserve">Expected price move </t>
  </si>
  <si>
    <t>Upper Strike</t>
  </si>
  <si>
    <t xml:space="preserve">Lower Strike </t>
  </si>
  <si>
    <t>K1</t>
  </si>
  <si>
    <t>K2</t>
  </si>
  <si>
    <t>(in half-months )</t>
  </si>
  <si>
    <t>Long Call</t>
  </si>
  <si>
    <t xml:space="preserve"> Call Strike </t>
  </si>
  <si>
    <t xml:space="preserve">Put Strike </t>
  </si>
  <si>
    <t>T</t>
  </si>
  <si>
    <t>IV</t>
  </si>
  <si>
    <t xml:space="preserve">Short- Term </t>
  </si>
  <si>
    <t xml:space="preserve">Long- Term </t>
  </si>
  <si>
    <t xml:space="preserve">72 days </t>
  </si>
  <si>
    <t>Market Price</t>
  </si>
  <si>
    <t>Long Put</t>
  </si>
  <si>
    <t>c</t>
  </si>
  <si>
    <t>d1</t>
  </si>
  <si>
    <t>d2</t>
  </si>
  <si>
    <t>F(d1)</t>
  </si>
  <si>
    <t>F(d2)</t>
  </si>
  <si>
    <t>p</t>
  </si>
  <si>
    <t>F(-d1)</t>
  </si>
  <si>
    <t>F(-d2)</t>
  </si>
  <si>
    <t>Theoretical Price</t>
  </si>
  <si>
    <t>Long Strangle Strategy</t>
  </si>
  <si>
    <t>Expiry date: 16th of May 2025</t>
  </si>
  <si>
    <t>Expiry date: 7th of March 2025</t>
  </si>
  <si>
    <t>Delta</t>
  </si>
  <si>
    <t>Gamma</t>
  </si>
  <si>
    <t>Vega</t>
  </si>
  <si>
    <t>Greeks</t>
  </si>
  <si>
    <t>N'(d1)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</si>
</sst>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0.000"/>
    <numFmt numFmtId="177" formatCode="0.00000000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i/>
      <sz val="10"/>
      <color indexed="9"/>
      <name val="Book Antiqua"/>
      <family val="1"/>
    </font>
    <font>
      <sz val="10"/>
      <name val="Book Antiqua"/>
      <family val="1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2" borderId="1">
      <alignment horizontal="left" vertical="top" wrapText="1"/>
    </xf>
    <xf numFmtId="0" fontId="4" fillId="3" borderId="1">
      <alignment horizontal="left" vertical="top" wrapText="1"/>
    </xf>
  </cellStyleXfs>
  <cellXfs count="22">
    <xf numFmtId="0" fontId="0" fillId="0" borderId="0" xfId="0"/>
    <xf numFmtId="0" fontId="2" fillId="4" borderId="0" xfId="0" applyFont="1" applyFill="1"/>
    <xf numFmtId="0" fontId="0" fillId="4" borderId="0" xfId="0" applyFill="1"/>
    <xf numFmtId="171" fontId="0" fillId="4" borderId="0" xfId="0" applyNumberFormat="1" applyFill="1"/>
    <xf numFmtId="10" fontId="0" fillId="4" borderId="0" xfId="1" applyNumberFormat="1" applyFont="1" applyFill="1"/>
    <xf numFmtId="2" fontId="0" fillId="4" borderId="0" xfId="0" applyNumberFormat="1" applyFill="1"/>
    <xf numFmtId="1" fontId="0" fillId="4" borderId="0" xfId="0" applyNumberFormat="1" applyFill="1"/>
    <xf numFmtId="10" fontId="0" fillId="4" borderId="0" xfId="0" applyNumberFormat="1" applyFill="1"/>
    <xf numFmtId="0" fontId="2" fillId="5" borderId="0" xfId="0" applyFont="1" applyFill="1"/>
    <xf numFmtId="0" fontId="0" fillId="5" borderId="0" xfId="0" applyFill="1"/>
    <xf numFmtId="1" fontId="0" fillId="5" borderId="0" xfId="0" applyNumberFormat="1" applyFill="1"/>
    <xf numFmtId="10" fontId="0" fillId="5" borderId="0" xfId="0" applyNumberFormat="1" applyFill="1"/>
    <xf numFmtId="0" fontId="5" fillId="5" borderId="0" xfId="0" applyFont="1" applyFill="1"/>
    <xf numFmtId="2" fontId="0" fillId="5" borderId="0" xfId="0" applyNumberFormat="1" applyFill="1"/>
    <xf numFmtId="10" fontId="0" fillId="5" borderId="0" xfId="1" applyNumberFormat="1" applyFont="1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177" fontId="0" fillId="0" borderId="7" xfId="0" applyNumberFormat="1" applyBorder="1"/>
  </cellXfs>
  <cellStyles count="4">
    <cellStyle name="Intestazione tabella" xfId="2" xr:uid="{06FF61AC-2230-9A4D-8513-6C9D2CE2C8D9}"/>
    <cellStyle name="Normal" xfId="0" builtinId="0"/>
    <cellStyle name="Normale tabella" xfId="3" xr:uid="{02ADC2A7-D1CF-4B4B-A372-401541240FCC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BB4B-E3A9-8F4B-A096-9B4356E8E309}">
  <dimension ref="B7:N47"/>
  <sheetViews>
    <sheetView tabSelected="1" topLeftCell="A10" workbookViewId="0">
      <selection activeCell="H12" sqref="H12"/>
    </sheetView>
  </sheetViews>
  <sheetFormatPr baseColWidth="10" defaultRowHeight="16" x14ac:dyDescent="0.2"/>
  <cols>
    <col min="2" max="2" width="20.6640625" customWidth="1"/>
    <col min="4" max="4" width="9.6640625" customWidth="1"/>
    <col min="5" max="5" width="24.5" customWidth="1"/>
    <col min="9" max="9" width="23" customWidth="1"/>
    <col min="13" max="13" width="12.6640625" bestFit="1" customWidth="1"/>
    <col min="14" max="14" width="13.1640625" bestFit="1" customWidth="1"/>
  </cols>
  <sheetData>
    <row r="7" spans="2:13" x14ac:dyDescent="0.2">
      <c r="B7" s="1" t="s">
        <v>18</v>
      </c>
      <c r="C7" s="2" t="s">
        <v>34</v>
      </c>
      <c r="D7" s="2"/>
      <c r="E7" s="2"/>
      <c r="F7" s="2"/>
      <c r="I7" s="1" t="s">
        <v>19</v>
      </c>
      <c r="J7" s="2" t="s">
        <v>33</v>
      </c>
      <c r="K7" s="2"/>
      <c r="L7" s="2"/>
      <c r="M7" s="2"/>
    </row>
    <row r="8" spans="2:13" x14ac:dyDescent="0.2">
      <c r="B8" s="2"/>
      <c r="C8" s="2"/>
      <c r="D8" s="2"/>
      <c r="E8" s="2"/>
      <c r="F8" s="2"/>
      <c r="I8" s="2"/>
      <c r="J8" s="2"/>
      <c r="K8" s="2"/>
      <c r="L8" s="2"/>
      <c r="M8" s="2"/>
    </row>
    <row r="9" spans="2:13" x14ac:dyDescent="0.2">
      <c r="B9" s="2"/>
      <c r="C9" s="2"/>
      <c r="D9" s="2"/>
      <c r="E9" s="2"/>
      <c r="F9" s="2"/>
      <c r="I9" s="2"/>
      <c r="J9" s="2"/>
      <c r="K9" s="2"/>
      <c r="L9" s="2"/>
      <c r="M9" s="2"/>
    </row>
    <row r="10" spans="2:13" x14ac:dyDescent="0.2">
      <c r="B10" s="2" t="s">
        <v>0</v>
      </c>
      <c r="C10" s="2" t="s">
        <v>1</v>
      </c>
      <c r="D10" s="2">
        <f>118.65</f>
        <v>118.65</v>
      </c>
      <c r="E10" s="2"/>
      <c r="F10" s="2"/>
      <c r="I10" s="2" t="s">
        <v>0</v>
      </c>
      <c r="J10" s="2" t="s">
        <v>1</v>
      </c>
      <c r="K10" s="2">
        <f>118.65</f>
        <v>118.65</v>
      </c>
      <c r="L10" s="2"/>
      <c r="M10" s="2"/>
    </row>
    <row r="11" spans="2:13" x14ac:dyDescent="0.2">
      <c r="B11" s="2" t="s">
        <v>3</v>
      </c>
      <c r="C11" s="2" t="s">
        <v>2</v>
      </c>
      <c r="D11" s="3">
        <f>0.01748</f>
        <v>1.7479999999999999E-2</v>
      </c>
      <c r="E11" s="2"/>
      <c r="F11" s="2"/>
      <c r="I11" s="2" t="s">
        <v>3</v>
      </c>
      <c r="J11" s="2" t="s">
        <v>2</v>
      </c>
      <c r="K11" s="7">
        <f>17.48%</f>
        <v>0.17480000000000001</v>
      </c>
      <c r="L11" s="2"/>
      <c r="M11" s="2"/>
    </row>
    <row r="12" spans="2:13" x14ac:dyDescent="0.2">
      <c r="B12" s="2" t="s">
        <v>4</v>
      </c>
      <c r="C12" s="2" t="s">
        <v>5</v>
      </c>
      <c r="D12" s="2">
        <f xml:space="preserve"> 22/30*24</f>
        <v>17.599999999999998</v>
      </c>
      <c r="E12" s="2" t="s">
        <v>12</v>
      </c>
      <c r="F12" s="2"/>
      <c r="I12" s="2" t="s">
        <v>4</v>
      </c>
      <c r="J12" s="2" t="s">
        <v>20</v>
      </c>
      <c r="K12" s="2">
        <f xml:space="preserve"> 72/30*24</f>
        <v>57.599999999999994</v>
      </c>
      <c r="L12" s="2" t="s">
        <v>12</v>
      </c>
      <c r="M12" s="2"/>
    </row>
    <row r="13" spans="2:13" x14ac:dyDescent="0.2">
      <c r="B13" s="2" t="s">
        <v>6</v>
      </c>
      <c r="C13" s="2"/>
      <c r="D13" s="4">
        <f>D11/SQRT(D12)</f>
        <v>4.1666315150032385E-3</v>
      </c>
      <c r="E13" s="2"/>
      <c r="F13" s="2"/>
      <c r="I13" s="2" t="s">
        <v>6</v>
      </c>
      <c r="J13" s="2"/>
      <c r="K13" s="4">
        <f>K11/SQRT(K12)</f>
        <v>2.30319222915597E-2</v>
      </c>
      <c r="L13" s="2"/>
      <c r="M13" s="2"/>
    </row>
    <row r="14" spans="2:13" x14ac:dyDescent="0.2">
      <c r="B14" s="2"/>
      <c r="C14" s="2"/>
      <c r="D14" s="2"/>
      <c r="E14" s="2"/>
      <c r="F14" s="2"/>
      <c r="I14" s="2"/>
      <c r="J14" s="2"/>
      <c r="K14" s="2"/>
      <c r="L14" s="2"/>
      <c r="M14" s="2"/>
    </row>
    <row r="15" spans="2:13" x14ac:dyDescent="0.2">
      <c r="B15" s="2" t="s">
        <v>7</v>
      </c>
      <c r="C15" s="2"/>
      <c r="D15" s="5">
        <f>D10*D13</f>
        <v>0.49437082925513426</v>
      </c>
      <c r="E15" s="2"/>
      <c r="F15" s="2"/>
      <c r="I15" s="2" t="s">
        <v>7</v>
      </c>
      <c r="J15" s="2"/>
      <c r="K15" s="5">
        <f>K10*K13</f>
        <v>2.7327375798935587</v>
      </c>
      <c r="L15" s="2"/>
      <c r="M15" s="2"/>
    </row>
    <row r="16" spans="2:13" x14ac:dyDescent="0.2">
      <c r="B16" s="2"/>
      <c r="C16" s="2"/>
      <c r="D16" s="5"/>
      <c r="E16" s="2"/>
      <c r="F16" s="2"/>
      <c r="I16" s="2"/>
      <c r="J16" s="2"/>
      <c r="K16" s="5"/>
      <c r="L16" s="2"/>
      <c r="M16" s="2"/>
    </row>
    <row r="17" spans="2:13" x14ac:dyDescent="0.2">
      <c r="B17" s="2" t="s">
        <v>8</v>
      </c>
      <c r="C17" s="2" t="s">
        <v>10</v>
      </c>
      <c r="D17" s="6">
        <f>D10+D15</f>
        <v>119.14437082925514</v>
      </c>
      <c r="E17" s="2" t="s">
        <v>14</v>
      </c>
      <c r="F17" s="2"/>
      <c r="I17" s="2" t="s">
        <v>8</v>
      </c>
      <c r="J17" s="2" t="s">
        <v>10</v>
      </c>
      <c r="K17" s="6">
        <f>K10+K15</f>
        <v>121.38273757989356</v>
      </c>
      <c r="L17" s="2" t="s">
        <v>14</v>
      </c>
      <c r="M17" s="2"/>
    </row>
    <row r="18" spans="2:13" x14ac:dyDescent="0.2">
      <c r="B18" s="2" t="s">
        <v>9</v>
      </c>
      <c r="C18" s="2" t="s">
        <v>11</v>
      </c>
      <c r="D18" s="6">
        <f>D10-D15</f>
        <v>118.15562917074487</v>
      </c>
      <c r="E18" s="2" t="s">
        <v>15</v>
      </c>
      <c r="F18" s="2"/>
      <c r="I18" s="2" t="s">
        <v>9</v>
      </c>
      <c r="J18" s="2" t="s">
        <v>11</v>
      </c>
      <c r="K18" s="6">
        <f>K10-K15</f>
        <v>115.91726242010645</v>
      </c>
      <c r="L18" s="2" t="s">
        <v>15</v>
      </c>
      <c r="M18" s="2"/>
    </row>
    <row r="22" spans="2:13" x14ac:dyDescent="0.2">
      <c r="B22" s="8" t="s">
        <v>32</v>
      </c>
      <c r="C22" s="9"/>
      <c r="D22" s="9"/>
      <c r="E22" s="9"/>
      <c r="F22" s="9"/>
      <c r="I22" s="8" t="s">
        <v>32</v>
      </c>
      <c r="J22" s="9"/>
      <c r="K22" s="9"/>
      <c r="L22" s="9"/>
      <c r="M22" s="9"/>
    </row>
    <row r="24" spans="2:13" x14ac:dyDescent="0.2">
      <c r="B24" s="8" t="s">
        <v>13</v>
      </c>
      <c r="C24" s="9"/>
      <c r="D24" s="9"/>
      <c r="E24" s="8" t="s">
        <v>38</v>
      </c>
      <c r="F24" s="9"/>
      <c r="I24" s="8" t="s">
        <v>13</v>
      </c>
      <c r="J24" s="9"/>
      <c r="K24" s="9"/>
      <c r="L24" s="8" t="s">
        <v>38</v>
      </c>
      <c r="M24" s="9"/>
    </row>
    <row r="25" spans="2:13" x14ac:dyDescent="0.2">
      <c r="B25" s="9" t="s">
        <v>1</v>
      </c>
      <c r="C25" s="9">
        <f>D10</f>
        <v>118.65</v>
      </c>
      <c r="D25" s="9"/>
      <c r="E25" s="9" t="s">
        <v>35</v>
      </c>
      <c r="F25" s="13">
        <f>E44</f>
        <v>0.41173759287543027</v>
      </c>
      <c r="I25" s="9" t="s">
        <v>1</v>
      </c>
      <c r="J25" s="9">
        <f>K10</f>
        <v>118.65</v>
      </c>
      <c r="K25" s="9"/>
      <c r="L25" s="9" t="s">
        <v>35</v>
      </c>
      <c r="M25" s="13">
        <f>L47</f>
        <v>0.29773665985291231</v>
      </c>
    </row>
    <row r="26" spans="2:13" x14ac:dyDescent="0.2">
      <c r="B26" s="9" t="s">
        <v>10</v>
      </c>
      <c r="C26" s="10">
        <f>D17</f>
        <v>119.14437082925514</v>
      </c>
      <c r="D26" s="9"/>
      <c r="E26" s="9" t="s">
        <v>36</v>
      </c>
      <c r="F26" s="9">
        <f>F25/(B44*C39*SQRT(C38))</f>
        <v>0.45158918536180354</v>
      </c>
      <c r="I26" s="9" t="s">
        <v>10</v>
      </c>
      <c r="J26" s="10">
        <f>120</f>
        <v>120</v>
      </c>
      <c r="K26" s="9"/>
      <c r="L26" s="9" t="s">
        <v>36</v>
      </c>
      <c r="M26" s="9">
        <f>M25/(I47*J28*SQRT(J27))</f>
        <v>0.72435281247634808</v>
      </c>
    </row>
    <row r="27" spans="2:13" x14ac:dyDescent="0.2">
      <c r="B27" s="9" t="s">
        <v>16</v>
      </c>
      <c r="C27" s="9">
        <f>22/365</f>
        <v>6.0273972602739728E-2</v>
      </c>
      <c r="D27" s="9"/>
      <c r="E27" s="9" t="s">
        <v>37</v>
      </c>
      <c r="F27" s="9">
        <f>B44*F28*SQRT(C27)</f>
        <v>11.766457428811778</v>
      </c>
      <c r="I27" s="9" t="s">
        <v>16</v>
      </c>
      <c r="J27" s="9">
        <f>72/365</f>
        <v>0.19726027397260273</v>
      </c>
      <c r="K27" s="9"/>
      <c r="L27" s="9" t="s">
        <v>37</v>
      </c>
      <c r="M27" s="9">
        <f>I47*M28*SQRT(J27)</f>
        <v>22.558077098544004</v>
      </c>
    </row>
    <row r="28" spans="2:13" x14ac:dyDescent="0.2">
      <c r="B28" s="9" t="s">
        <v>17</v>
      </c>
      <c r="C28" s="11">
        <f>3.13%</f>
        <v>3.1300000000000001E-2</v>
      </c>
      <c r="D28" s="9"/>
      <c r="E28" s="9" t="s">
        <v>39</v>
      </c>
      <c r="F28" s="9">
        <f>1/SQRT(2*(PI())*EXP(-(C44^2)/2))</f>
        <v>0.40393648048259395</v>
      </c>
      <c r="I28" s="9" t="s">
        <v>17</v>
      </c>
      <c r="J28" s="14">
        <f>0.78%</f>
        <v>7.8000000000000005E-3</v>
      </c>
      <c r="K28" s="9"/>
      <c r="L28" s="9" t="s">
        <v>39</v>
      </c>
      <c r="M28" s="9">
        <f>1/SQRT(2*(PI())*EXP(-(J47^2)/2))</f>
        <v>0.4280697293641812</v>
      </c>
    </row>
    <row r="29" spans="2:13" x14ac:dyDescent="0.2">
      <c r="B29" s="9" t="s">
        <v>21</v>
      </c>
      <c r="C29" s="9">
        <f>7.2</f>
        <v>7.2</v>
      </c>
      <c r="D29" s="9"/>
      <c r="E29" s="9"/>
      <c r="F29" s="9"/>
      <c r="I29" s="9" t="s">
        <v>21</v>
      </c>
      <c r="J29" s="9">
        <v>13.58</v>
      </c>
      <c r="K29" s="9"/>
      <c r="L29" s="9"/>
      <c r="M29" s="9"/>
    </row>
    <row r="30" spans="2:13" x14ac:dyDescent="0.2">
      <c r="B30" s="12" t="s">
        <v>31</v>
      </c>
      <c r="C30" s="13">
        <f>G44</f>
        <v>0.69609046844561817</v>
      </c>
      <c r="D30" s="9"/>
      <c r="E30" s="9"/>
      <c r="F30" s="9"/>
      <c r="I30" s="9" t="s">
        <v>31</v>
      </c>
      <c r="J30" s="13">
        <f>N47</f>
        <v>32.065908693160537</v>
      </c>
      <c r="K30" s="9"/>
      <c r="L30" s="9"/>
      <c r="M30" s="9"/>
    </row>
    <row r="35" spans="2:14" x14ac:dyDescent="0.2">
      <c r="B35" s="8" t="s">
        <v>22</v>
      </c>
      <c r="C35" s="9"/>
      <c r="D35" s="9"/>
      <c r="E35" s="8" t="s">
        <v>38</v>
      </c>
      <c r="F35" s="9"/>
      <c r="I35" s="8" t="s">
        <v>22</v>
      </c>
      <c r="J35" s="9"/>
      <c r="K35" s="8"/>
      <c r="L35" s="8" t="s">
        <v>38</v>
      </c>
      <c r="M35" s="9"/>
    </row>
    <row r="36" spans="2:14" x14ac:dyDescent="0.2">
      <c r="B36" s="9" t="s">
        <v>1</v>
      </c>
      <c r="C36" s="9">
        <f>D10</f>
        <v>118.65</v>
      </c>
      <c r="D36" s="9"/>
      <c r="E36" s="9" t="s">
        <v>35</v>
      </c>
      <c r="F36" s="13">
        <f>E47</f>
        <v>0.17782319253730375</v>
      </c>
      <c r="I36" s="9" t="s">
        <v>1</v>
      </c>
      <c r="J36" s="9">
        <f>K10</f>
        <v>118.65</v>
      </c>
      <c r="K36" s="9"/>
      <c r="L36" s="9" t="s">
        <v>35</v>
      </c>
      <c r="M36" s="13">
        <f>L44</f>
        <v>3.2103724621149488E-9</v>
      </c>
    </row>
    <row r="37" spans="2:14" x14ac:dyDescent="0.2">
      <c r="B37" s="9" t="s">
        <v>11</v>
      </c>
      <c r="C37" s="10">
        <f>D18</f>
        <v>118.15562917074487</v>
      </c>
      <c r="D37" s="9"/>
      <c r="E37" s="9" t="s">
        <v>36</v>
      </c>
      <c r="F37" s="9">
        <f>F36/(B47*C39*SQRT(C38))</f>
        <v>0.1950344880960421</v>
      </c>
      <c r="I37" s="9" t="s">
        <v>11</v>
      </c>
      <c r="J37" s="10">
        <f>115</f>
        <v>115</v>
      </c>
      <c r="K37" s="9"/>
      <c r="L37" s="9" t="s">
        <v>36</v>
      </c>
      <c r="M37" s="9">
        <f>M36/(I44*J39*SQRT(J38))</f>
        <v>3.8557669458708658E-9</v>
      </c>
    </row>
    <row r="38" spans="2:14" x14ac:dyDescent="0.2">
      <c r="B38" s="9" t="s">
        <v>16</v>
      </c>
      <c r="C38" s="9">
        <f>22/365</f>
        <v>6.0273972602739728E-2</v>
      </c>
      <c r="D38" s="9"/>
      <c r="E38" s="9" t="s">
        <v>37</v>
      </c>
      <c r="F38" s="9">
        <f>B47*F39*SQRT(C27)</f>
        <v>14.383964435327483</v>
      </c>
      <c r="I38" s="9" t="s">
        <v>16</v>
      </c>
      <c r="J38" s="9">
        <f>72/365</f>
        <v>0.19726027397260273</v>
      </c>
      <c r="K38" s="9"/>
      <c r="L38" s="9" t="s">
        <v>37</v>
      </c>
      <c r="M38" s="9">
        <f>I44*M39*SQRT(J27)</f>
        <v>95925.730323865399</v>
      </c>
    </row>
    <row r="39" spans="2:14" x14ac:dyDescent="0.2">
      <c r="B39" s="9" t="s">
        <v>17</v>
      </c>
      <c r="C39" s="11">
        <f>3.13%</f>
        <v>3.1300000000000001E-2</v>
      </c>
      <c r="D39" s="9"/>
      <c r="E39" s="9" t="s">
        <v>39</v>
      </c>
      <c r="F39" s="9">
        <f>1/SQRT(2*(PI())*EXP(-(C47^2)/2))</f>
        <v>0.49379416060826414</v>
      </c>
      <c r="I39" s="9" t="s">
        <v>17</v>
      </c>
      <c r="J39" s="11">
        <f>0.0158</f>
        <v>1.5800000000000002E-2</v>
      </c>
      <c r="K39" s="9"/>
      <c r="L39" s="9" t="s">
        <v>39</v>
      </c>
      <c r="M39" s="9">
        <f>1/SQRT(2*(PI())*EXP(-(J44^2)/2))</f>
        <v>1820.3192248797161</v>
      </c>
    </row>
    <row r="40" spans="2:14" x14ac:dyDescent="0.2">
      <c r="B40" s="9" t="s">
        <v>21</v>
      </c>
      <c r="C40" s="9">
        <f>6.7</f>
        <v>6.7</v>
      </c>
      <c r="D40" s="9"/>
      <c r="E40" s="9"/>
      <c r="F40" s="9"/>
      <c r="I40" s="9" t="s">
        <v>21</v>
      </c>
      <c r="J40" s="9">
        <f>11.1</f>
        <v>11.1</v>
      </c>
      <c r="K40" s="9"/>
      <c r="L40" s="9"/>
      <c r="M40" s="9"/>
    </row>
    <row r="41" spans="2:14" x14ac:dyDescent="0.2">
      <c r="B41" s="12" t="s">
        <v>31</v>
      </c>
      <c r="C41" s="13">
        <f>G47</f>
        <v>8.7972747137651908E-2</v>
      </c>
      <c r="D41" s="9"/>
      <c r="E41" s="9"/>
      <c r="F41" s="9"/>
      <c r="I41" s="9" t="s">
        <v>31</v>
      </c>
      <c r="J41" s="13">
        <f>N44</f>
        <v>1.2154811749238171E-8</v>
      </c>
      <c r="K41" s="9"/>
      <c r="L41" s="9"/>
      <c r="M41" s="9"/>
    </row>
    <row r="42" spans="2:14" ht="17" thickBot="1" x14ac:dyDescent="0.25"/>
    <row r="43" spans="2:14" x14ac:dyDescent="0.2">
      <c r="B43" s="15" t="s">
        <v>1</v>
      </c>
      <c r="C43" s="16" t="s">
        <v>24</v>
      </c>
      <c r="D43" s="16" t="s">
        <v>25</v>
      </c>
      <c r="E43" s="16" t="s">
        <v>26</v>
      </c>
      <c r="F43" s="16" t="s">
        <v>27</v>
      </c>
      <c r="G43" s="17" t="s">
        <v>23</v>
      </c>
      <c r="I43" s="15" t="s">
        <v>1</v>
      </c>
      <c r="J43" s="16" t="s">
        <v>24</v>
      </c>
      <c r="K43" s="16" t="s">
        <v>25</v>
      </c>
      <c r="L43" s="16" t="s">
        <v>29</v>
      </c>
      <c r="M43" s="16" t="s">
        <v>30</v>
      </c>
      <c r="N43" s="17" t="s">
        <v>28</v>
      </c>
    </row>
    <row r="44" spans="2:14" ht="17" thickBot="1" x14ac:dyDescent="0.25">
      <c r="B44" s="18">
        <f>C25</f>
        <v>118.65</v>
      </c>
      <c r="C44" s="19">
        <f>(LN(C25/C26)+(0.048+C28^2/2)*C27)/(C28*C28^0.5)</f>
        <v>-0.2230775048638175</v>
      </c>
      <c r="D44" s="19">
        <f>C44-C39*C38^0.5</f>
        <v>-0.23076189216660087</v>
      </c>
      <c r="E44" s="19">
        <f>NORMSDIST(C44)</f>
        <v>0.41173759287543027</v>
      </c>
      <c r="F44" s="19">
        <f>NORMSDIST(D44)</f>
        <v>0.40874989393575023</v>
      </c>
      <c r="G44" s="20">
        <f>B44*E44-C37*EXP(-0.048*C38)*F44</f>
        <v>0.69609046844561817</v>
      </c>
      <c r="I44" s="18">
        <f>J25</f>
        <v>118.65</v>
      </c>
      <c r="J44" s="19">
        <f>(LN(J36/J37)+(0.048+J39^2/2)*J38)/(J39*J38^0.5)</f>
        <v>5.8054132311767752</v>
      </c>
      <c r="K44" s="19">
        <f>J44-J39*J38^0.5</f>
        <v>5.7983958203441022</v>
      </c>
      <c r="L44" s="19">
        <f>NORMSDIST(-J44)</f>
        <v>3.2103724621149488E-9</v>
      </c>
      <c r="M44" s="19">
        <f>NORMSDIST(-K44)</f>
        <v>3.347613746916258E-9</v>
      </c>
      <c r="N44" s="21">
        <f>J37*EXP(-0.048*J38)*M44-J37*L44</f>
        <v>1.2154811749238171E-8</v>
      </c>
    </row>
    <row r="45" spans="2:14" ht="17" thickBot="1" x14ac:dyDescent="0.25"/>
    <row r="46" spans="2:14" x14ac:dyDescent="0.2">
      <c r="B46" s="15" t="s">
        <v>1</v>
      </c>
      <c r="C46" s="16" t="s">
        <v>24</v>
      </c>
      <c r="D46" s="16" t="s">
        <v>25</v>
      </c>
      <c r="E46" s="16" t="s">
        <v>29</v>
      </c>
      <c r="F46" s="16" t="s">
        <v>30</v>
      </c>
      <c r="G46" s="17" t="s">
        <v>28</v>
      </c>
      <c r="I46" s="15" t="s">
        <v>1</v>
      </c>
      <c r="J46" s="16" t="s">
        <v>24</v>
      </c>
      <c r="K46" s="16" t="s">
        <v>25</v>
      </c>
      <c r="L46" s="16" t="s">
        <v>26</v>
      </c>
      <c r="M46" s="16" t="s">
        <v>27</v>
      </c>
      <c r="N46" s="17" t="s">
        <v>23</v>
      </c>
    </row>
    <row r="47" spans="2:14" ht="17" thickBot="1" x14ac:dyDescent="0.25">
      <c r="B47" s="18">
        <f>B44</f>
        <v>118.65</v>
      </c>
      <c r="C47" s="19">
        <f>(LN(B47/C37)+(0.048+C39^2/2)*C38)/(C39*C38^0.5)</f>
        <v>0.92369260177838564</v>
      </c>
      <c r="D47" s="19">
        <f>C47-C28*C38^0.5</f>
        <v>0.91600821447560232</v>
      </c>
      <c r="E47" s="19">
        <f>NORMSDIST(-C47)</f>
        <v>0.17782319253730375</v>
      </c>
      <c r="F47" s="19">
        <f>NORMSDIST(-D47)</f>
        <v>0.17983129323527705</v>
      </c>
      <c r="G47" s="20">
        <f>C37*EXP(-0.048*C38)*F47-C36*E47</f>
        <v>8.7972747137651908E-2</v>
      </c>
      <c r="I47" s="18">
        <f>J25</f>
        <v>118.65</v>
      </c>
      <c r="J47" s="19">
        <f>(LN(J25/J26)+(0.048+J28^2/2)*J27)/(J28*J27^0.5)</f>
        <v>-0.53092129589855763</v>
      </c>
      <c r="K47" s="19">
        <f>J47-J28*J27^0.5</f>
        <v>-0.53438558732228247</v>
      </c>
      <c r="L47" s="19">
        <f>NORMSDIST(J47)</f>
        <v>0.29773665985291231</v>
      </c>
      <c r="M47" s="19">
        <f>NORMSDIST(K47)</f>
        <v>0.29653739423953679</v>
      </c>
      <c r="N47" s="20">
        <f>I47*L47-J40*EXP(-0.048*J38)*M47</f>
        <v>32.065908693160537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Sheet1!r_</vt:lpstr>
      <vt:lpstr>Sheet1!sigma</vt:lpstr>
      <vt:lpstr>Sheet1!T_t</vt:lpstr>
      <vt:lpstr>Sheet1!X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 POPESCU</dc:creator>
  <cp:lastModifiedBy>MARA POPESCU</cp:lastModifiedBy>
  <dcterms:created xsi:type="dcterms:W3CDTF">2025-02-05T12:08:27Z</dcterms:created>
  <dcterms:modified xsi:type="dcterms:W3CDTF">2025-02-05T14:35:16Z</dcterms:modified>
</cp:coreProperties>
</file>