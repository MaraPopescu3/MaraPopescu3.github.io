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apopescu/Desktop/"/>
    </mc:Choice>
  </mc:AlternateContent>
  <xr:revisionPtr revIDLastSave="0" documentId="13_ncr:1_{873C7118-6119-F448-8CE8-2054E9629C51}" xr6:coauthVersionLast="47" xr6:coauthVersionMax="47" xr10:uidLastSave="{00000000-0000-0000-0000-000000000000}"/>
  <bookViews>
    <workbookView xWindow="0" yWindow="740" windowWidth="29400" windowHeight="17080" xr2:uid="{C43663D0-2443-1148-B1A3-6FB95F24E161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" l="1"/>
  <c r="K73" i="1"/>
  <c r="M66" i="1"/>
  <c r="M63" i="1"/>
  <c r="M68" i="1"/>
  <c r="I46" i="1"/>
  <c r="H63" i="1"/>
  <c r="I54" i="1"/>
  <c r="G63" i="1"/>
  <c r="K63" i="1"/>
  <c r="I51" i="1"/>
  <c r="H68" i="1"/>
  <c r="I50" i="1"/>
  <c r="H67" i="1"/>
  <c r="I49" i="1"/>
  <c r="H66" i="1"/>
  <c r="I48" i="1"/>
  <c r="H65" i="1"/>
  <c r="I47" i="1"/>
  <c r="H64" i="1"/>
  <c r="I59" i="1"/>
  <c r="G68" i="1"/>
  <c r="I58" i="1"/>
  <c r="G67" i="1"/>
  <c r="I57" i="1"/>
  <c r="G66" i="1"/>
  <c r="I56" i="1"/>
  <c r="G65" i="1"/>
  <c r="I55" i="1"/>
  <c r="G64" i="1"/>
  <c r="K68" i="1"/>
  <c r="K67" i="1"/>
  <c r="K66" i="1"/>
  <c r="K65" i="1"/>
  <c r="K64" i="1"/>
  <c r="E6" i="1"/>
  <c r="D6" i="1"/>
  <c r="C6" i="1"/>
  <c r="C8" i="1"/>
  <c r="Y34" i="1"/>
  <c r="Z34" i="1"/>
  <c r="AA34" i="1"/>
  <c r="Y35" i="1"/>
  <c r="Z35" i="1"/>
  <c r="AA35" i="1"/>
  <c r="S36" i="1"/>
  <c r="Y26" i="1"/>
  <c r="Y27" i="1"/>
  <c r="Y28" i="1"/>
  <c r="Y29" i="1"/>
  <c r="Y30" i="1"/>
  <c r="Y31" i="1"/>
  <c r="Y32" i="1"/>
  <c r="Y33" i="1"/>
  <c r="Y37" i="1"/>
  <c r="Y38" i="1"/>
  <c r="Y39" i="1"/>
  <c r="Y40" i="1"/>
  <c r="R36" i="1"/>
  <c r="G36" i="1"/>
  <c r="E8" i="1"/>
  <c r="Q36" i="1"/>
  <c r="D8" i="1"/>
  <c r="I36" i="1"/>
  <c r="P36" i="1"/>
  <c r="P22" i="1"/>
  <c r="F22" i="1"/>
  <c r="T36" i="1"/>
  <c r="U36" i="1"/>
  <c r="AA38" i="1"/>
  <c r="AA39" i="1"/>
  <c r="AA40" i="1"/>
  <c r="Z38" i="1"/>
  <c r="Z39" i="1"/>
  <c r="Z40" i="1"/>
  <c r="AA33" i="1"/>
  <c r="Z33" i="1"/>
  <c r="AA32" i="1"/>
  <c r="Z32" i="1"/>
  <c r="AA27" i="1"/>
  <c r="AA28" i="1"/>
  <c r="AA29" i="1"/>
  <c r="AA30" i="1"/>
  <c r="AA31" i="1"/>
  <c r="AA37" i="1"/>
  <c r="Z27" i="1"/>
  <c r="Z28" i="1"/>
  <c r="Z29" i="1"/>
  <c r="Z30" i="1"/>
  <c r="Z31" i="1"/>
  <c r="Z37" i="1"/>
  <c r="AA26" i="1"/>
  <c r="Z26" i="1"/>
  <c r="U22" i="1"/>
  <c r="Z12" i="1"/>
  <c r="Z13" i="1"/>
  <c r="Z14" i="1"/>
  <c r="Z15" i="1"/>
  <c r="Z16" i="1"/>
  <c r="Z17" i="1"/>
  <c r="Z18" i="1"/>
  <c r="Z19" i="1"/>
  <c r="Z20" i="1"/>
  <c r="T22" i="1"/>
  <c r="Y12" i="1"/>
  <c r="Y13" i="1"/>
  <c r="Y14" i="1"/>
  <c r="Y15" i="1"/>
  <c r="Y16" i="1"/>
  <c r="Y17" i="1"/>
  <c r="Y18" i="1"/>
  <c r="Y19" i="1"/>
  <c r="Y20" i="1"/>
  <c r="S22" i="1"/>
  <c r="X12" i="1"/>
  <c r="X13" i="1"/>
  <c r="X14" i="1"/>
  <c r="X15" i="1"/>
  <c r="X16" i="1"/>
  <c r="X17" i="1"/>
  <c r="X18" i="1"/>
  <c r="X19" i="1"/>
  <c r="X20" i="1"/>
  <c r="R22" i="1"/>
  <c r="E22" i="1"/>
  <c r="Q22" i="1"/>
  <c r="H22" i="1"/>
  <c r="F33" i="1"/>
  <c r="F36" i="1"/>
</calcChain>
</file>

<file path=xl/sharedStrings.xml><?xml version="1.0" encoding="utf-8"?>
<sst xmlns="http://schemas.openxmlformats.org/spreadsheetml/2006/main" count="162" uniqueCount="65">
  <si>
    <t>Number of units</t>
  </si>
  <si>
    <t>Option type</t>
  </si>
  <si>
    <t>Strike price (K)</t>
  </si>
  <si>
    <t>Time to expiration (T)</t>
  </si>
  <si>
    <t>Delta</t>
  </si>
  <si>
    <t>Gamma</t>
  </si>
  <si>
    <t>Vega</t>
  </si>
  <si>
    <t>Theta</t>
  </si>
  <si>
    <t>Rho</t>
  </si>
  <si>
    <t>Double Barrier (LT)</t>
  </si>
  <si>
    <t>Double Barrier (ST)</t>
  </si>
  <si>
    <t>Knock In Digital Put (ST)</t>
  </si>
  <si>
    <t>Short Strategy</t>
  </si>
  <si>
    <t>Long Strategy</t>
  </si>
  <si>
    <t>Strangle (LT)</t>
  </si>
  <si>
    <t>Strangle (ST)</t>
  </si>
  <si>
    <t>Strip</t>
  </si>
  <si>
    <t xml:space="preserve">Strike price (K) </t>
  </si>
  <si>
    <t>Call</t>
  </si>
  <si>
    <t>Put</t>
  </si>
  <si>
    <t>124, 122</t>
  </si>
  <si>
    <t>Price of the strategy (BS)</t>
  </si>
  <si>
    <t>Spot price</t>
  </si>
  <si>
    <t>All Mkt. +1%</t>
  </si>
  <si>
    <t>All Mkt. +10%</t>
  </si>
  <si>
    <t>All Mkt. -10%</t>
  </si>
  <si>
    <t>Vola + 1%</t>
  </si>
  <si>
    <t>Vola + 20%</t>
  </si>
  <si>
    <t>Vola - 20%</t>
  </si>
  <si>
    <t>Gross Sensitivity Long</t>
  </si>
  <si>
    <t>Gross Sensitivity Short</t>
  </si>
  <si>
    <t>Sensitivity Name</t>
  </si>
  <si>
    <t>Factor Sensitivity</t>
  </si>
  <si>
    <t>Limit</t>
  </si>
  <si>
    <t>Limit Usage (%)</t>
  </si>
  <si>
    <t>New Price of the Strategy (BS)</t>
  </si>
  <si>
    <t>Total</t>
  </si>
  <si>
    <t>IV</t>
  </si>
  <si>
    <t>Simulated P&amp;L</t>
  </si>
  <si>
    <t>Scenario</t>
  </si>
  <si>
    <t>Strangle options:</t>
  </si>
  <si>
    <t>Strip Options</t>
  </si>
  <si>
    <t>Call 1</t>
  </si>
  <si>
    <t>Call 2</t>
  </si>
  <si>
    <t>Call 3</t>
  </si>
  <si>
    <t>Call 4</t>
  </si>
  <si>
    <r>
      <rPr>
        <b/>
        <sz val="12"/>
        <color theme="1"/>
        <rFont val="Aptos Narrow"/>
        <scheme val="minor"/>
      </rPr>
      <t>Vega</t>
    </r>
    <r>
      <rPr>
        <sz val="12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scheme val="minor"/>
      </rPr>
      <t>(initial)</t>
    </r>
  </si>
  <si>
    <t>Total Short P&amp;L</t>
  </si>
  <si>
    <t>Initial Short P&amp;L</t>
  </si>
  <si>
    <t>Change in Short P&amp;L</t>
  </si>
  <si>
    <t>Sigma (VIX)</t>
  </si>
  <si>
    <t>Initial Long P&amp;L</t>
  </si>
  <si>
    <t>Total Long P&amp;L</t>
  </si>
  <si>
    <t>Change in Long P&amp;L</t>
  </si>
  <si>
    <t>Not applicable</t>
  </si>
  <si>
    <t>95% VaR</t>
  </si>
  <si>
    <t>Limit(LAC)</t>
  </si>
  <si>
    <t>Limit Usage</t>
  </si>
  <si>
    <t>Scenario name</t>
  </si>
  <si>
    <t>Stress Test Warning Level</t>
  </si>
  <si>
    <t>WL Usage (%)</t>
  </si>
  <si>
    <t>Tech stock collapse in 2022</t>
  </si>
  <si>
    <t>DeepSeek's AI Announcement</t>
  </si>
  <si>
    <t>US-China trade war</t>
  </si>
  <si>
    <t>Drop in the quarterly earnings release (26.02.2025)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</si>
</sst>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70" formatCode="#,##0.000"/>
    <numFmt numFmtId="173" formatCode="0.000"/>
  </numFmts>
  <fonts count="1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Aptos Narrow"/>
      <scheme val="minor"/>
    </font>
    <font>
      <sz val="12"/>
      <name val="Calibri"/>
      <family val="2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5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165" fontId="0" fillId="0" borderId="3" xfId="0" applyNumberFormat="1" applyBorder="1"/>
    <xf numFmtId="165" fontId="0" fillId="0" borderId="0" xfId="0" applyNumberFormat="1"/>
    <xf numFmtId="165" fontId="3" fillId="0" borderId="0" xfId="0" applyNumberFormat="1" applyFont="1"/>
    <xf numFmtId="165" fontId="2" fillId="0" borderId="0" xfId="0" applyNumberFormat="1" applyFont="1"/>
    <xf numFmtId="165" fontId="2" fillId="0" borderId="5" xfId="0" applyNumberFormat="1" applyFont="1" applyBorder="1"/>
    <xf numFmtId="165" fontId="3" fillId="0" borderId="5" xfId="0" applyNumberFormat="1" applyFont="1" applyBorder="1"/>
    <xf numFmtId="165" fontId="2" fillId="0" borderId="2" xfId="0" applyNumberFormat="1" applyFont="1" applyBorder="1"/>
    <xf numFmtId="165" fontId="3" fillId="0" borderId="2" xfId="0" applyNumberFormat="1" applyFont="1" applyBorder="1"/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0" fontId="1" fillId="0" borderId="10" xfId="0" applyFont="1" applyBorder="1" applyAlignment="1">
      <alignment horizontal="center" vertical="top"/>
    </xf>
    <xf numFmtId="1" fontId="2" fillId="0" borderId="1" xfId="0" applyNumberFormat="1" applyFont="1" applyBorder="1"/>
    <xf numFmtId="1" fontId="2" fillId="0" borderId="3" xfId="0" applyNumberFormat="1" applyFont="1" applyBorder="1"/>
    <xf numFmtId="1" fontId="2" fillId="0" borderId="4" xfId="0" applyNumberFormat="1" applyFont="1" applyBorder="1"/>
    <xf numFmtId="1" fontId="2" fillId="0" borderId="2" xfId="0" applyNumberFormat="1" applyFont="1" applyBorder="1"/>
    <xf numFmtId="1" fontId="2" fillId="0" borderId="0" xfId="0" applyNumberFormat="1" applyFont="1"/>
    <xf numFmtId="1" fontId="2" fillId="0" borderId="5" xfId="0" applyNumberFormat="1" applyFont="1" applyBorder="1"/>
    <xf numFmtId="165" fontId="2" fillId="0" borderId="11" xfId="0" applyNumberFormat="1" applyFont="1" applyBorder="1"/>
    <xf numFmtId="165" fontId="0" fillId="0" borderId="5" xfId="0" applyNumberFormat="1" applyBorder="1"/>
    <xf numFmtId="0" fontId="1" fillId="0" borderId="13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4" fillId="0" borderId="0" xfId="0" applyFont="1"/>
    <xf numFmtId="165" fontId="5" fillId="0" borderId="0" xfId="0" applyNumberFormat="1" applyFont="1" applyAlignment="1">
      <alignment horizontal="right"/>
    </xf>
    <xf numFmtId="0" fontId="0" fillId="0" borderId="2" xfId="0" applyBorder="1"/>
    <xf numFmtId="0" fontId="4" fillId="0" borderId="3" xfId="0" applyFont="1" applyBorder="1"/>
    <xf numFmtId="0" fontId="4" fillId="0" borderId="4" xfId="0" applyFont="1" applyBorder="1"/>
    <xf numFmtId="0" fontId="0" fillId="0" borderId="13" xfId="0" applyBorder="1"/>
    <xf numFmtId="0" fontId="0" fillId="0" borderId="11" xfId="0" applyBorder="1"/>
    <xf numFmtId="0" fontId="4" fillId="0" borderId="11" xfId="0" applyFont="1" applyBorder="1"/>
    <xf numFmtId="0" fontId="4" fillId="0" borderId="10" xfId="0" applyFont="1" applyBorder="1"/>
    <xf numFmtId="165" fontId="0" fillId="0" borderId="11" xfId="0" applyNumberFormat="1" applyBorder="1"/>
    <xf numFmtId="165" fontId="0" fillId="0" borderId="10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3" fillId="0" borderId="8" xfId="0" applyNumberFormat="1" applyFont="1" applyBorder="1"/>
    <xf numFmtId="165" fontId="0" fillId="0" borderId="9" xfId="0" applyNumberFormat="1" applyBorder="1"/>
    <xf numFmtId="0" fontId="0" fillId="4" borderId="4" xfId="0" applyFill="1" applyBorder="1"/>
    <xf numFmtId="0" fontId="0" fillId="4" borderId="5" xfId="0" applyFill="1" applyBorder="1"/>
    <xf numFmtId="0" fontId="4" fillId="4" borderId="5" xfId="0" applyFont="1" applyFill="1" applyBorder="1"/>
    <xf numFmtId="0" fontId="0" fillId="0" borderId="9" xfId="0" applyBorder="1"/>
    <xf numFmtId="165" fontId="0" fillId="0" borderId="0" xfId="0" applyNumberFormat="1" applyAlignment="1">
      <alignment horizontal="right"/>
    </xf>
    <xf numFmtId="0" fontId="0" fillId="2" borderId="13" xfId="0" applyFill="1" applyBorder="1"/>
    <xf numFmtId="0" fontId="0" fillId="2" borderId="11" xfId="0" applyFill="1" applyBorder="1"/>
    <xf numFmtId="0" fontId="4" fillId="2" borderId="11" xfId="0" applyFont="1" applyFill="1" applyBorder="1"/>
    <xf numFmtId="0" fontId="0" fillId="2" borderId="10" xfId="0" applyFill="1" applyBorder="1"/>
    <xf numFmtId="0" fontId="0" fillId="3" borderId="13" xfId="0" applyFill="1" applyBorder="1"/>
    <xf numFmtId="0" fontId="0" fillId="3" borderId="11" xfId="0" applyFill="1" applyBorder="1"/>
    <xf numFmtId="0" fontId="4" fillId="3" borderId="11" xfId="0" applyFont="1" applyFill="1" applyBorder="1"/>
    <xf numFmtId="0" fontId="0" fillId="3" borderId="10" xfId="0" applyFill="1" applyBorder="1"/>
    <xf numFmtId="0" fontId="4" fillId="0" borderId="6" xfId="0" applyFont="1" applyBorder="1"/>
    <xf numFmtId="0" fontId="4" fillId="5" borderId="6" xfId="0" applyFont="1" applyFill="1" applyBorder="1"/>
    <xf numFmtId="0" fontId="4" fillId="0" borderId="11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8" xfId="0" applyNumberFormat="1" applyFont="1" applyBorder="1" applyAlignment="1">
      <alignment horizontal="right"/>
    </xf>
    <xf numFmtId="0" fontId="0" fillId="0" borderId="5" xfId="0" applyBorder="1"/>
    <xf numFmtId="0" fontId="4" fillId="0" borderId="5" xfId="0" applyFont="1" applyBorder="1"/>
    <xf numFmtId="0" fontId="4" fillId="0" borderId="9" xfId="0" applyFont="1" applyBorder="1"/>
    <xf numFmtId="0" fontId="4" fillId="0" borderId="13" xfId="0" applyFont="1" applyBorder="1"/>
    <xf numFmtId="165" fontId="4" fillId="0" borderId="11" xfId="0" applyNumberFormat="1" applyFont="1" applyBorder="1"/>
    <xf numFmtId="0" fontId="0" fillId="0" borderId="14" xfId="0" applyBorder="1"/>
    <xf numFmtId="0" fontId="0" fillId="0" borderId="15" xfId="0" applyBorder="1"/>
    <xf numFmtId="0" fontId="4" fillId="0" borderId="2" xfId="0" applyFont="1" applyBorder="1" applyAlignment="1">
      <alignment horizontal="right"/>
    </xf>
    <xf numFmtId="164" fontId="3" fillId="0" borderId="9" xfId="0" applyNumberFormat="1" applyFont="1" applyBorder="1"/>
    <xf numFmtId="165" fontId="8" fillId="0" borderId="9" xfId="0" applyNumberFormat="1" applyFont="1" applyBorder="1"/>
    <xf numFmtId="165" fontId="8" fillId="0" borderId="5" xfId="0" applyNumberFormat="1" applyFont="1" applyBorder="1"/>
    <xf numFmtId="165" fontId="8" fillId="0" borderId="15" xfId="0" applyNumberFormat="1" applyFont="1" applyBorder="1"/>
    <xf numFmtId="164" fontId="3" fillId="0" borderId="0" xfId="0" applyNumberFormat="1" applyFont="1"/>
    <xf numFmtId="164" fontId="2" fillId="0" borderId="8" xfId="0" applyNumberFormat="1" applyFont="1" applyBorder="1"/>
    <xf numFmtId="164" fontId="3" fillId="0" borderId="5" xfId="0" applyNumberFormat="1" applyFont="1" applyBorder="1"/>
    <xf numFmtId="164" fontId="2" fillId="0" borderId="4" xfId="0" applyNumberFormat="1" applyFont="1" applyBorder="1"/>
    <xf numFmtId="164" fontId="2" fillId="0" borderId="5" xfId="0" applyNumberFormat="1" applyFont="1" applyBorder="1"/>
    <xf numFmtId="165" fontId="8" fillId="0" borderId="14" xfId="0" applyNumberFormat="1" applyFont="1" applyBorder="1"/>
    <xf numFmtId="164" fontId="3" fillId="0" borderId="7" xfId="0" applyNumberFormat="1" applyFont="1" applyBorder="1"/>
    <xf numFmtId="165" fontId="4" fillId="0" borderId="10" xfId="0" applyNumberFormat="1" applyFont="1" applyBorder="1"/>
    <xf numFmtId="0" fontId="4" fillId="5" borderId="13" xfId="0" applyFont="1" applyFill="1" applyBorder="1"/>
    <xf numFmtId="0" fontId="4" fillId="5" borderId="11" xfId="0" applyFont="1" applyFill="1" applyBorder="1"/>
    <xf numFmtId="0" fontId="4" fillId="5" borderId="10" xfId="0" applyFont="1" applyFill="1" applyBorder="1"/>
    <xf numFmtId="0" fontId="0" fillId="0" borderId="6" xfId="0" applyBorder="1"/>
    <xf numFmtId="0" fontId="0" fillId="5" borderId="6" xfId="0" applyFill="1" applyBorder="1"/>
    <xf numFmtId="0" fontId="0" fillId="4" borderId="6" xfId="0" applyFill="1" applyBorder="1"/>
    <xf numFmtId="165" fontId="4" fillId="0" borderId="0" xfId="0" applyNumberFormat="1" applyFont="1"/>
    <xf numFmtId="165" fontId="8" fillId="0" borderId="4" xfId="0" applyNumberFormat="1" applyFont="1" applyBorder="1"/>
    <xf numFmtId="165" fontId="3" fillId="0" borderId="7" xfId="0" applyNumberFormat="1" applyFont="1" applyBorder="1"/>
    <xf numFmtId="165" fontId="3" fillId="0" borderId="9" xfId="0" applyNumberFormat="1" applyFont="1" applyBorder="1"/>
    <xf numFmtId="165" fontId="3" fillId="0" borderId="13" xfId="0" applyNumberFormat="1" applyFont="1" applyBorder="1"/>
    <xf numFmtId="165" fontId="3" fillId="0" borderId="11" xfId="0" applyNumberFormat="1" applyFont="1" applyBorder="1"/>
    <xf numFmtId="165" fontId="3" fillId="0" borderId="10" xfId="0" applyNumberFormat="1" applyFont="1" applyBorder="1"/>
    <xf numFmtId="165" fontId="0" fillId="0" borderId="6" xfId="0" applyNumberFormat="1" applyBorder="1"/>
    <xf numFmtId="165" fontId="0" fillId="5" borderId="6" xfId="0" applyNumberFormat="1" applyFill="1" applyBorder="1"/>
    <xf numFmtId="165" fontId="0" fillId="4" borderId="6" xfId="0" applyNumberFormat="1" applyFill="1" applyBorder="1"/>
    <xf numFmtId="0" fontId="4" fillId="0" borderId="14" xfId="0" applyFont="1" applyBorder="1"/>
    <xf numFmtId="0" fontId="4" fillId="5" borderId="15" xfId="0" applyFont="1" applyFill="1" applyBorder="1"/>
    <xf numFmtId="165" fontId="0" fillId="0" borderId="2" xfId="0" applyNumberFormat="1" applyBorder="1"/>
    <xf numFmtId="165" fontId="8" fillId="0" borderId="12" xfId="0" applyNumberFormat="1" applyFont="1" applyBorder="1"/>
    <xf numFmtId="0" fontId="6" fillId="5" borderId="6" xfId="0" applyFont="1" applyFill="1" applyBorder="1"/>
    <xf numFmtId="165" fontId="6" fillId="4" borderId="6" xfId="0" applyNumberFormat="1" applyFont="1" applyFill="1" applyBorder="1"/>
    <xf numFmtId="165" fontId="2" fillId="4" borderId="6" xfId="0" applyNumberFormat="1" applyFont="1" applyFill="1" applyBorder="1"/>
    <xf numFmtId="0" fontId="1" fillId="4" borderId="5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170" fontId="0" fillId="0" borderId="0" xfId="0" applyNumberFormat="1"/>
    <xf numFmtId="170" fontId="0" fillId="0" borderId="0" xfId="0" applyNumberFormat="1" applyFont="1"/>
    <xf numFmtId="0" fontId="0" fillId="0" borderId="10" xfId="0" applyBorder="1"/>
    <xf numFmtId="0" fontId="4" fillId="0" borderId="12" xfId="0" applyFont="1" applyBorder="1"/>
    <xf numFmtId="0" fontId="4" fillId="0" borderId="13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0" fillId="0" borderId="0" xfId="0" applyBorder="1"/>
    <xf numFmtId="0" fontId="4" fillId="0" borderId="0" xfId="0" applyFont="1" applyFill="1" applyBorder="1"/>
    <xf numFmtId="0" fontId="0" fillId="0" borderId="0" xfId="0" applyFill="1" applyBorder="1"/>
    <xf numFmtId="165" fontId="0" fillId="0" borderId="0" xfId="0" applyNumberFormat="1" applyFill="1" applyBorder="1"/>
    <xf numFmtId="165" fontId="7" fillId="0" borderId="0" xfId="0" applyNumberFormat="1" applyFont="1" applyFill="1" applyBorder="1"/>
    <xf numFmtId="164" fontId="3" fillId="0" borderId="0" xfId="0" applyNumberFormat="1" applyFont="1" applyBorder="1"/>
    <xf numFmtId="164" fontId="0" fillId="0" borderId="8" xfId="0" applyNumberFormat="1" applyBorder="1"/>
    <xf numFmtId="164" fontId="0" fillId="0" borderId="9" xfId="0" applyNumberFormat="1" applyBorder="1"/>
    <xf numFmtId="164" fontId="2" fillId="0" borderId="0" xfId="0" applyNumberFormat="1" applyFont="1" applyBorder="1"/>
    <xf numFmtId="165" fontId="8" fillId="0" borderId="12" xfId="0" applyNumberFormat="1" applyFont="1" applyFill="1" applyBorder="1"/>
    <xf numFmtId="164" fontId="12" fillId="0" borderId="5" xfId="0" applyNumberFormat="1" applyFont="1" applyBorder="1"/>
    <xf numFmtId="164" fontId="12" fillId="0" borderId="9" xfId="0" applyNumberFormat="1" applyFont="1" applyBorder="1"/>
    <xf numFmtId="165" fontId="8" fillId="0" borderId="11" xfId="0" applyNumberFormat="1" applyFont="1" applyBorder="1"/>
    <xf numFmtId="165" fontId="12" fillId="0" borderId="11" xfId="0" applyNumberFormat="1" applyFont="1" applyBorder="1"/>
    <xf numFmtId="165" fontId="12" fillId="0" borderId="10" xfId="0" applyNumberFormat="1" applyFont="1" applyBorder="1"/>
    <xf numFmtId="164" fontId="3" fillId="0" borderId="4" xfId="0" applyNumberFormat="1" applyFont="1" applyBorder="1"/>
    <xf numFmtId="9" fontId="0" fillId="0" borderId="6" xfId="1" applyFont="1" applyBorder="1"/>
    <xf numFmtId="10" fontId="0" fillId="0" borderId="6" xfId="1" applyNumberFormat="1" applyFont="1" applyBorder="1"/>
    <xf numFmtId="9" fontId="0" fillId="0" borderId="6" xfId="1" applyNumberFormat="1" applyFont="1" applyBorder="1"/>
    <xf numFmtId="0" fontId="11" fillId="5" borderId="6" xfId="0" applyFont="1" applyFill="1" applyBorder="1"/>
    <xf numFmtId="0" fontId="8" fillId="5" borderId="6" xfId="0" applyFont="1" applyFill="1" applyBorder="1"/>
    <xf numFmtId="165" fontId="6" fillId="0" borderId="6" xfId="0" applyNumberFormat="1" applyFont="1" applyBorder="1"/>
    <xf numFmtId="170" fontId="7" fillId="0" borderId="6" xfId="0" applyNumberFormat="1" applyFont="1" applyBorder="1"/>
    <xf numFmtId="165" fontId="0" fillId="0" borderId="6" xfId="0" applyNumberFormat="1" applyFont="1" applyBorder="1"/>
    <xf numFmtId="165" fontId="7" fillId="0" borderId="6" xfId="0" applyNumberFormat="1" applyFont="1" applyBorder="1"/>
    <xf numFmtId="170" fontId="0" fillId="0" borderId="6" xfId="0" applyNumberFormat="1" applyBorder="1"/>
    <xf numFmtId="1" fontId="0" fillId="0" borderId="6" xfId="0" applyNumberFormat="1" applyBorder="1"/>
    <xf numFmtId="1" fontId="7" fillId="0" borderId="6" xfId="0" applyNumberFormat="1" applyFont="1" applyBorder="1"/>
    <xf numFmtId="0" fontId="7" fillId="0" borderId="6" xfId="0" applyFont="1" applyBorder="1"/>
    <xf numFmtId="9" fontId="0" fillId="0" borderId="0" xfId="0" applyNumberFormat="1"/>
    <xf numFmtId="173" fontId="0" fillId="0" borderId="6" xfId="0" applyNumberFormat="1" applyBorder="1"/>
    <xf numFmtId="173" fontId="0" fillId="0" borderId="15" xfId="0" applyNumberFormat="1" applyBorder="1"/>
    <xf numFmtId="9" fontId="0" fillId="0" borderId="0" xfId="0" applyNumberFormat="1" applyBorder="1"/>
    <xf numFmtId="9" fontId="0" fillId="0" borderId="2" xfId="0" applyNumberForma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065F-9B1C-B447-AFE8-49FE1A1E711A}">
  <dimension ref="A5:AC85"/>
  <sheetViews>
    <sheetView tabSelected="1" topLeftCell="E43" zoomScaleNormal="50" workbookViewId="0">
      <selection activeCell="L64" sqref="L64"/>
    </sheetView>
  </sheetViews>
  <sheetFormatPr baseColWidth="10" defaultRowHeight="16" x14ac:dyDescent="0.2"/>
  <cols>
    <col min="1" max="1" width="18.5" customWidth="1"/>
    <col min="2" max="2" width="20.33203125" customWidth="1"/>
    <col min="3" max="3" width="24.6640625" customWidth="1"/>
    <col min="4" max="4" width="17.6640625" bestFit="1" customWidth="1"/>
    <col min="5" max="5" width="24.6640625" customWidth="1"/>
    <col min="6" max="6" width="41.1640625" customWidth="1"/>
    <col min="7" max="7" width="18.33203125" customWidth="1"/>
    <col min="8" max="8" width="22.6640625" bestFit="1" customWidth="1"/>
    <col min="9" max="9" width="19.83203125" customWidth="1"/>
    <col min="10" max="10" width="24.1640625" customWidth="1"/>
    <col min="11" max="11" width="19" customWidth="1"/>
    <col min="12" max="12" width="19.6640625" customWidth="1"/>
    <col min="13" max="13" width="18" customWidth="1"/>
    <col min="14" max="14" width="16.33203125" customWidth="1"/>
    <col min="15" max="15" width="21.83203125" customWidth="1"/>
    <col min="16" max="16" width="20.33203125" customWidth="1"/>
    <col min="17" max="17" width="14.5" customWidth="1"/>
    <col min="18" max="18" width="21.5" customWidth="1"/>
    <col min="19" max="19" width="17" customWidth="1"/>
    <col min="20" max="20" width="18.33203125" customWidth="1"/>
    <col min="21" max="21" width="14.6640625" customWidth="1"/>
    <col min="23" max="23" width="17.1640625" customWidth="1"/>
    <col min="24" max="24" width="15.33203125" customWidth="1"/>
  </cols>
  <sheetData>
    <row r="5" spans="1:26" x14ac:dyDescent="0.2">
      <c r="A5" s="31"/>
      <c r="B5" s="112"/>
      <c r="C5" s="114" t="s">
        <v>26</v>
      </c>
      <c r="D5" s="114" t="s">
        <v>27</v>
      </c>
      <c r="E5" s="115" t="s">
        <v>28</v>
      </c>
    </row>
    <row r="6" spans="1:26" x14ac:dyDescent="0.2">
      <c r="A6" s="30" t="s">
        <v>50</v>
      </c>
      <c r="B6" s="60">
        <v>0.8</v>
      </c>
      <c r="C6" s="60">
        <f>B6*1.01</f>
        <v>0.80800000000000005</v>
      </c>
      <c r="D6" s="60">
        <f>B6*1.2</f>
        <v>0.96</v>
      </c>
      <c r="E6" s="44">
        <f>B6*0.8</f>
        <v>0.64000000000000012</v>
      </c>
    </row>
    <row r="7" spans="1:26" x14ac:dyDescent="0.2">
      <c r="A7" s="31"/>
      <c r="B7" s="32"/>
      <c r="C7" s="56" t="s">
        <v>23</v>
      </c>
      <c r="D7" s="56" t="s">
        <v>24</v>
      </c>
      <c r="E7" s="57" t="s">
        <v>25</v>
      </c>
    </row>
    <row r="8" spans="1:26" x14ac:dyDescent="0.2">
      <c r="A8" s="29" t="s">
        <v>22</v>
      </c>
      <c r="B8" s="7">
        <v>118.65</v>
      </c>
      <c r="C8" s="58">
        <f>1.01*B8</f>
        <v>119.8365</v>
      </c>
      <c r="D8" s="58">
        <f>1.1*B8</f>
        <v>130.51500000000001</v>
      </c>
      <c r="E8" s="59">
        <f>B8*0.9</f>
        <v>106.78500000000001</v>
      </c>
    </row>
    <row r="9" spans="1:26" x14ac:dyDescent="0.2">
      <c r="A9" s="28"/>
      <c r="B9" s="28"/>
      <c r="C9" s="67"/>
      <c r="D9" s="67"/>
      <c r="E9" s="67"/>
    </row>
    <row r="10" spans="1:26" x14ac:dyDescent="0.2">
      <c r="A10" s="26"/>
      <c r="B10" s="45"/>
      <c r="C10" s="27"/>
      <c r="D10" s="27"/>
      <c r="E10" s="27"/>
      <c r="O10" s="66"/>
      <c r="P10" s="104" t="s">
        <v>35</v>
      </c>
      <c r="Q10" s="105"/>
      <c r="R10" s="105"/>
      <c r="S10" s="105"/>
      <c r="T10" s="105"/>
      <c r="U10" s="106"/>
    </row>
    <row r="11" spans="1:26" x14ac:dyDescent="0.2">
      <c r="A11" s="46"/>
      <c r="B11" s="47"/>
      <c r="C11" s="47"/>
      <c r="D11" s="47"/>
      <c r="E11" s="48" t="s">
        <v>12</v>
      </c>
      <c r="F11" s="47"/>
      <c r="G11" s="47"/>
      <c r="H11" s="47"/>
      <c r="I11" s="47"/>
      <c r="J11" s="49"/>
      <c r="O11" s="65"/>
      <c r="P11" s="30" t="s">
        <v>23</v>
      </c>
      <c r="Q11" s="61" t="s">
        <v>24</v>
      </c>
      <c r="R11" s="61" t="s">
        <v>25</v>
      </c>
      <c r="S11" s="61" t="s">
        <v>26</v>
      </c>
      <c r="T11" s="61" t="s">
        <v>27</v>
      </c>
      <c r="U11" s="62" t="s">
        <v>28</v>
      </c>
      <c r="W11" s="80" t="s">
        <v>37</v>
      </c>
      <c r="X11" s="81" t="s">
        <v>26</v>
      </c>
      <c r="Y11" s="81" t="s">
        <v>27</v>
      </c>
      <c r="Z11" s="82" t="s">
        <v>28</v>
      </c>
    </row>
    <row r="12" spans="1:26" x14ac:dyDescent="0.2">
      <c r="A12" s="1" t="s">
        <v>0</v>
      </c>
      <c r="B12" s="2" t="s">
        <v>1</v>
      </c>
      <c r="C12" s="2" t="s">
        <v>2</v>
      </c>
      <c r="D12" s="2" t="s">
        <v>3</v>
      </c>
      <c r="E12" s="2" t="s">
        <v>21</v>
      </c>
      <c r="F12" s="2" t="s">
        <v>4</v>
      </c>
      <c r="G12" s="2" t="s">
        <v>5</v>
      </c>
      <c r="H12" s="2" t="s">
        <v>6</v>
      </c>
      <c r="I12" s="2" t="s">
        <v>7</v>
      </c>
      <c r="J12" s="15" t="s">
        <v>8</v>
      </c>
      <c r="O12" s="83"/>
      <c r="P12" s="30">
        <v>119.8365</v>
      </c>
      <c r="Q12" s="61">
        <v>130.51499999999999</v>
      </c>
      <c r="R12" s="61">
        <v>106.785</v>
      </c>
      <c r="S12" s="61"/>
      <c r="T12" s="61"/>
      <c r="U12" s="62"/>
      <c r="W12" s="101">
        <v>0.79126230052308399</v>
      </c>
      <c r="X12" s="101">
        <f t="shared" ref="X12:X20" si="0">W12*1.01</f>
        <v>0.79917492352831487</v>
      </c>
      <c r="Y12" s="101">
        <f t="shared" ref="Y12:Y20" si="1">W12*1.2</f>
        <v>0.94951476062770079</v>
      </c>
      <c r="Z12" s="101">
        <f t="shared" ref="Z12:Z20" si="2">W12*0.8</f>
        <v>0.6330098404184672</v>
      </c>
    </row>
    <row r="13" spans="1:26" x14ac:dyDescent="0.2">
      <c r="A13" s="16">
        <v>1</v>
      </c>
      <c r="B13" s="10" t="s">
        <v>9</v>
      </c>
      <c r="C13" s="19">
        <v>121</v>
      </c>
      <c r="D13" s="10">
        <v>0.25793650793650802</v>
      </c>
      <c r="E13" s="11">
        <v>14.341096178093499</v>
      </c>
      <c r="F13" s="10">
        <v>-0.17255862247544901</v>
      </c>
      <c r="G13" s="10">
        <v>-7.37094829617035E-3</v>
      </c>
      <c r="H13" s="10">
        <v>-23.288468660869199</v>
      </c>
      <c r="I13" s="10">
        <v>0</v>
      </c>
      <c r="J13" s="12">
        <v>0</v>
      </c>
      <c r="O13" s="71" t="s">
        <v>9</v>
      </c>
      <c r="P13" s="4">
        <v>14.5509838239562</v>
      </c>
      <c r="Q13" s="5">
        <v>16.867331445705101</v>
      </c>
      <c r="R13" s="6">
        <v>12.855497873368799</v>
      </c>
      <c r="S13" s="6">
        <v>14.5253703504579</v>
      </c>
      <c r="T13" s="5">
        <v>18.018521752763601</v>
      </c>
      <c r="U13" s="38">
        <v>10.6679173595334</v>
      </c>
      <c r="W13" s="101">
        <v>0.79126230052308399</v>
      </c>
      <c r="X13" s="101">
        <f t="shared" si="0"/>
        <v>0.79917492352831487</v>
      </c>
      <c r="Y13" s="101">
        <f t="shared" si="1"/>
        <v>0.94951476062770079</v>
      </c>
      <c r="Z13" s="101">
        <f t="shared" si="2"/>
        <v>0.6330098404184672</v>
      </c>
    </row>
    <row r="14" spans="1:26" x14ac:dyDescent="0.2">
      <c r="A14" s="17">
        <v>1</v>
      </c>
      <c r="B14" s="7" t="s">
        <v>9</v>
      </c>
      <c r="C14" s="20">
        <v>120</v>
      </c>
      <c r="D14" s="7">
        <v>0.25793650793650802</v>
      </c>
      <c r="E14" s="7">
        <v>15.871423090615499</v>
      </c>
      <c r="F14" s="7">
        <v>-0.15317853200969</v>
      </c>
      <c r="G14" s="7">
        <v>-7.7357231731411897E-3</v>
      </c>
      <c r="H14" s="7">
        <v>-24.503680463876499</v>
      </c>
      <c r="I14" s="7">
        <v>0</v>
      </c>
      <c r="J14" s="13">
        <v>0</v>
      </c>
      <c r="O14" s="77" t="s">
        <v>9</v>
      </c>
      <c r="P14" s="6">
        <v>16.058572844000299</v>
      </c>
      <c r="Q14" s="6">
        <v>18.1927187434305</v>
      </c>
      <c r="R14" s="6">
        <v>14.641510421083099</v>
      </c>
      <c r="S14" s="6">
        <v>16.0652218771564</v>
      </c>
      <c r="T14" s="6">
        <v>19.710151012691998</v>
      </c>
      <c r="U14" s="39">
        <v>11.961210895941599</v>
      </c>
      <c r="W14" s="101">
        <v>1.10359842523048</v>
      </c>
      <c r="X14" s="101">
        <f t="shared" si="0"/>
        <v>1.1146344094827849</v>
      </c>
      <c r="Y14" s="101">
        <f t="shared" si="1"/>
        <v>1.324318110276576</v>
      </c>
      <c r="Z14" s="101">
        <f t="shared" si="2"/>
        <v>0.88287874018438406</v>
      </c>
    </row>
    <row r="15" spans="1:26" x14ac:dyDescent="0.2">
      <c r="A15" s="17">
        <v>1</v>
      </c>
      <c r="B15" s="7" t="s">
        <v>10</v>
      </c>
      <c r="C15" s="20">
        <v>119</v>
      </c>
      <c r="D15" s="7">
        <v>5.9523809523809521E-2</v>
      </c>
      <c r="E15" s="6">
        <v>11.1016150881816</v>
      </c>
      <c r="F15" s="7">
        <v>-0.16503484707719401</v>
      </c>
      <c r="G15" s="7">
        <v>-9.3331564698928508E-3</v>
      </c>
      <c r="H15" s="7">
        <v>-12.7809021257707</v>
      </c>
      <c r="I15" s="7">
        <v>0</v>
      </c>
      <c r="J15" s="13">
        <v>0</v>
      </c>
      <c r="O15" s="77" t="s">
        <v>10</v>
      </c>
      <c r="P15" s="6">
        <v>11.303943082632999</v>
      </c>
      <c r="Q15" s="6">
        <v>13.6619795353407</v>
      </c>
      <c r="R15" s="6">
        <v>9.8558683526110507</v>
      </c>
      <c r="S15" s="6">
        <v>11.2427182960253</v>
      </c>
      <c r="T15" s="6">
        <v>13.937087422540101</v>
      </c>
      <c r="U15" s="39">
        <v>8.3117483770133802</v>
      </c>
      <c r="W15" s="95">
        <v>1.10359842523048</v>
      </c>
      <c r="X15" s="101">
        <f t="shared" si="0"/>
        <v>1.1146344094827849</v>
      </c>
      <c r="Y15" s="101">
        <f t="shared" si="1"/>
        <v>1.324318110276576</v>
      </c>
      <c r="Z15" s="101">
        <f t="shared" si="2"/>
        <v>0.88287874018438406</v>
      </c>
    </row>
    <row r="16" spans="1:26" x14ac:dyDescent="0.2">
      <c r="A16" s="17">
        <v>1</v>
      </c>
      <c r="B16" s="7" t="s">
        <v>10</v>
      </c>
      <c r="C16" s="20">
        <v>119</v>
      </c>
      <c r="D16" s="7">
        <v>5.9523809523809521E-2</v>
      </c>
      <c r="E16" s="7">
        <v>11.8625794573554</v>
      </c>
      <c r="F16" s="7">
        <v>-0.14952454031380499</v>
      </c>
      <c r="G16" s="7">
        <v>-9.6892271983506292E-3</v>
      </c>
      <c r="H16" s="7">
        <v>-13.4380889829444</v>
      </c>
      <c r="I16" s="7">
        <v>0</v>
      </c>
      <c r="J16" s="13">
        <v>0</v>
      </c>
      <c r="O16" s="77" t="s">
        <v>10</v>
      </c>
      <c r="P16" s="72">
        <v>14.0738952325128</v>
      </c>
      <c r="Q16" s="72">
        <v>14.263155482822</v>
      </c>
      <c r="R16" s="72">
        <v>10.8254676967486</v>
      </c>
      <c r="S16" s="72">
        <v>12.0108732348278</v>
      </c>
      <c r="T16" s="72">
        <v>14.8220890337951</v>
      </c>
      <c r="U16" s="73">
        <v>8.8966131971251308</v>
      </c>
      <c r="W16" s="102">
        <v>1.2178922276162301</v>
      </c>
      <c r="X16" s="101">
        <f t="shared" si="0"/>
        <v>1.2300711498923924</v>
      </c>
      <c r="Y16" s="101">
        <f t="shared" si="1"/>
        <v>1.461470673139476</v>
      </c>
      <c r="Z16" s="101">
        <f t="shared" si="2"/>
        <v>0.97431378209298414</v>
      </c>
    </row>
    <row r="17" spans="1:29" x14ac:dyDescent="0.2">
      <c r="A17" s="18">
        <v>1</v>
      </c>
      <c r="B17" s="8" t="s">
        <v>10</v>
      </c>
      <c r="C17" s="21">
        <v>120</v>
      </c>
      <c r="D17" s="7">
        <v>5.95238095238095E-2</v>
      </c>
      <c r="E17" s="9">
        <v>13.9179600752563</v>
      </c>
      <c r="F17" s="8">
        <v>-0.126100869621836</v>
      </c>
      <c r="G17" s="9">
        <v>-9.0377039185796093E-3</v>
      </c>
      <c r="H17" s="8">
        <v>-13.721683963456799</v>
      </c>
      <c r="I17" s="8">
        <v>0</v>
      </c>
      <c r="J17" s="14">
        <v>0</v>
      </c>
      <c r="O17" s="99" t="s">
        <v>10</v>
      </c>
      <c r="P17" s="74">
        <v>14.0738952325128</v>
      </c>
      <c r="Q17" s="74">
        <v>16.005031851255801</v>
      </c>
      <c r="R17" s="74">
        <v>13.1025401081572</v>
      </c>
      <c r="S17" s="74">
        <v>14.0850200268604</v>
      </c>
      <c r="T17" s="74">
        <v>17.236189751912299</v>
      </c>
      <c r="U17" s="68">
        <v>10.555367788341799</v>
      </c>
      <c r="W17" s="95">
        <v>0.49023133051506301</v>
      </c>
      <c r="X17" s="101">
        <f t="shared" si="0"/>
        <v>0.49513364382021363</v>
      </c>
      <c r="Y17" s="101">
        <f t="shared" si="1"/>
        <v>0.58827759661807555</v>
      </c>
      <c r="Z17" s="101">
        <f t="shared" si="2"/>
        <v>0.39218506441205042</v>
      </c>
    </row>
    <row r="18" spans="1:29" x14ac:dyDescent="0.2">
      <c r="A18" s="16">
        <v>1</v>
      </c>
      <c r="B18" s="7" t="s">
        <v>11</v>
      </c>
      <c r="C18" s="20">
        <v>100</v>
      </c>
      <c r="D18" s="10">
        <v>5.95238095238095E-2</v>
      </c>
      <c r="E18" s="6">
        <v>13.227565561016601</v>
      </c>
      <c r="F18" s="6">
        <v>-0.55233535166010395</v>
      </c>
      <c r="G18" s="6">
        <v>3.3385205711056097E-2</v>
      </c>
      <c r="H18" s="7">
        <v>307.41149007696703</v>
      </c>
      <c r="I18" s="7">
        <v>52.486460739293797</v>
      </c>
      <c r="J18" s="13">
        <v>-43.387975999094003</v>
      </c>
      <c r="O18" s="71" t="s">
        <v>11</v>
      </c>
      <c r="P18" s="72">
        <v>13.859575261378099</v>
      </c>
      <c r="Q18" s="72">
        <v>17.689150619846199</v>
      </c>
      <c r="R18" s="72">
        <v>4.3760500428671101</v>
      </c>
      <c r="S18" s="72">
        <v>13.0904850257121</v>
      </c>
      <c r="T18" s="72">
        <v>10.522194846493401</v>
      </c>
      <c r="U18" s="78">
        <v>15.837111459021401</v>
      </c>
      <c r="W18" s="95">
        <v>0.47139863784617902</v>
      </c>
      <c r="X18" s="101">
        <f t="shared" si="0"/>
        <v>0.47611262422464085</v>
      </c>
      <c r="Y18" s="101">
        <f t="shared" si="1"/>
        <v>0.56567836541541483</v>
      </c>
      <c r="Z18" s="101">
        <f t="shared" si="2"/>
        <v>0.37711891027694322</v>
      </c>
    </row>
    <row r="19" spans="1:29" x14ac:dyDescent="0.2">
      <c r="A19" s="17">
        <v>1</v>
      </c>
      <c r="B19" s="7" t="s">
        <v>11</v>
      </c>
      <c r="C19" s="20">
        <v>102</v>
      </c>
      <c r="D19" s="7">
        <v>5.95238095238095E-2</v>
      </c>
      <c r="E19" s="6">
        <v>10.0084953568513</v>
      </c>
      <c r="F19" s="7">
        <v>-0.41544484981947899</v>
      </c>
      <c r="G19" s="7">
        <v>2.5595836561365101E-2</v>
      </c>
      <c r="H19" s="7">
        <v>22.596103439518298</v>
      </c>
      <c r="I19" s="7">
        <v>36.878963947071199</v>
      </c>
      <c r="J19" s="13">
        <v>-34.711275799992301</v>
      </c>
      <c r="O19" s="77" t="s">
        <v>11</v>
      </c>
      <c r="P19" s="72">
        <v>10.483534787435699</v>
      </c>
      <c r="Q19" s="72">
        <v>13.339394162575701</v>
      </c>
      <c r="R19" s="72">
        <v>3.3124025793189</v>
      </c>
      <c r="S19" s="72">
        <v>9.9020391788895594</v>
      </c>
      <c r="T19" s="72">
        <v>7.9438819623178096</v>
      </c>
      <c r="U19" s="73">
        <v>12.0947943115396</v>
      </c>
      <c r="W19" s="95">
        <v>0.42421326395909698</v>
      </c>
      <c r="X19" s="101">
        <f t="shared" si="0"/>
        <v>0.42845539659868798</v>
      </c>
      <c r="Y19" s="101">
        <f t="shared" si="1"/>
        <v>0.50905591675091633</v>
      </c>
      <c r="Z19" s="101">
        <f t="shared" si="2"/>
        <v>0.33937061116727762</v>
      </c>
    </row>
    <row r="20" spans="1:29" x14ac:dyDescent="0.2">
      <c r="A20" s="17">
        <v>1</v>
      </c>
      <c r="B20" s="7" t="s">
        <v>11</v>
      </c>
      <c r="C20" s="20">
        <v>108</v>
      </c>
      <c r="D20" s="7">
        <v>5.95238095238095E-2</v>
      </c>
      <c r="E20" s="6">
        <v>5.9664284150397497</v>
      </c>
      <c r="F20" s="7">
        <v>-0.33338074260313899</v>
      </c>
      <c r="G20" s="7">
        <v>1.8771695309283101E-2</v>
      </c>
      <c r="H20" s="7">
        <v>16.248814602835001</v>
      </c>
      <c r="I20" s="7">
        <v>21.366346881017598</v>
      </c>
      <c r="J20" s="13">
        <v>-28.89455931665</v>
      </c>
      <c r="O20" s="77" t="s">
        <v>11</v>
      </c>
      <c r="P20" s="72">
        <v>6.3487769034828201</v>
      </c>
      <c r="Q20" s="72">
        <v>8.6877273999342108</v>
      </c>
      <c r="R20" s="72">
        <v>0.83395325635407602</v>
      </c>
      <c r="S20" s="72">
        <v>5.8977494438729003</v>
      </c>
      <c r="T20" s="72">
        <v>5.8977494438729003</v>
      </c>
      <c r="U20" s="73">
        <v>7.4249320889845301</v>
      </c>
      <c r="W20" s="95">
        <v>0.42421326395909698</v>
      </c>
      <c r="X20" s="101">
        <f t="shared" si="0"/>
        <v>0.42845539659868798</v>
      </c>
      <c r="Y20" s="101">
        <f t="shared" si="1"/>
        <v>0.50905591675091633</v>
      </c>
      <c r="Z20" s="101">
        <f t="shared" si="2"/>
        <v>0.33937061116727762</v>
      </c>
    </row>
    <row r="21" spans="1:29" x14ac:dyDescent="0.2">
      <c r="A21" s="18">
        <v>1</v>
      </c>
      <c r="B21" s="8" t="s">
        <v>11</v>
      </c>
      <c r="C21" s="21">
        <v>108</v>
      </c>
      <c r="D21" s="23">
        <v>5.95238095238095E-2</v>
      </c>
      <c r="E21" s="9">
        <v>4.3757412013173003</v>
      </c>
      <c r="F21" s="23">
        <v>-0.30018622164895697</v>
      </c>
      <c r="G21" s="9">
        <v>1.6325962803875799E-2</v>
      </c>
      <c r="H21" s="23">
        <v>11.957048453621301</v>
      </c>
      <c r="I21" s="8">
        <v>19.678916798253699</v>
      </c>
      <c r="J21" s="14">
        <v>-23.364676365100699</v>
      </c>
      <c r="O21" s="99" t="s">
        <v>11</v>
      </c>
      <c r="P21" s="75">
        <v>4.7203765422023301</v>
      </c>
      <c r="Q21" s="72">
        <v>6.8353094519304101</v>
      </c>
      <c r="R21" s="76">
        <v>0</v>
      </c>
      <c r="S21" s="76">
        <v>4.3252098633793699</v>
      </c>
      <c r="T21" s="72">
        <v>3.4419810102212902</v>
      </c>
      <c r="U21" s="68">
        <v>5.4547286876600003</v>
      </c>
    </row>
    <row r="22" spans="1:29" x14ac:dyDescent="0.2">
      <c r="A22" s="63" t="s">
        <v>36</v>
      </c>
      <c r="B22" s="33"/>
      <c r="C22" s="33"/>
      <c r="D22" s="33"/>
      <c r="E22" s="64">
        <f>SUM(E13:E21)</f>
        <v>100.67290442372725</v>
      </c>
      <c r="F22" s="64">
        <f>SUM(F13:F21)</f>
        <v>-2.3677445772296526</v>
      </c>
      <c r="G22" s="33"/>
      <c r="H22" s="64">
        <f>SUM(H13:H21)</f>
        <v>270.48063237602406</v>
      </c>
      <c r="I22" s="33"/>
      <c r="J22" s="34"/>
      <c r="O22" s="54" t="s">
        <v>36</v>
      </c>
      <c r="P22" s="64">
        <f>SUM(P13:P21)</f>
        <v>105.47355371011403</v>
      </c>
      <c r="Q22" s="64">
        <f t="shared" ref="Q22:U22" si="3">SUM(Q13:Q21)</f>
        <v>125.54179869284062</v>
      </c>
      <c r="R22" s="64">
        <f t="shared" si="3"/>
        <v>69.80329033050883</v>
      </c>
      <c r="S22" s="64">
        <f t="shared" si="3"/>
        <v>101.14468729718172</v>
      </c>
      <c r="T22" s="64">
        <f t="shared" si="3"/>
        <v>111.52984623660849</v>
      </c>
      <c r="U22" s="79">
        <f t="shared" si="3"/>
        <v>91.204424165160844</v>
      </c>
    </row>
    <row r="23" spans="1:29" x14ac:dyDescent="0.2">
      <c r="O23" s="125" t="s">
        <v>38</v>
      </c>
      <c r="P23" s="126">
        <v>-85261.692569178005</v>
      </c>
      <c r="Q23" s="126">
        <v>-101231.36931614</v>
      </c>
      <c r="R23" s="126">
        <v>-58226.226452789298</v>
      </c>
      <c r="S23" s="126">
        <v>-83266.290790179395</v>
      </c>
      <c r="T23" s="126">
        <v>-83169.4485666783</v>
      </c>
      <c r="U23" s="127">
        <v>-83566.461318812901</v>
      </c>
    </row>
    <row r="25" spans="1:29" x14ac:dyDescent="0.2">
      <c r="A25" s="50"/>
      <c r="B25" s="51"/>
      <c r="C25" s="51"/>
      <c r="D25" s="51"/>
      <c r="E25" s="52" t="s">
        <v>13</v>
      </c>
      <c r="F25" s="51"/>
      <c r="G25" s="51"/>
      <c r="H25" s="51"/>
      <c r="I25" s="51"/>
      <c r="J25" s="51"/>
      <c r="K25" s="53"/>
      <c r="O25" s="66"/>
      <c r="P25" s="107" t="s">
        <v>35</v>
      </c>
      <c r="Q25" s="108"/>
      <c r="R25" s="108"/>
      <c r="S25" s="108"/>
      <c r="T25" s="108"/>
      <c r="U25" s="109"/>
      <c r="W25" s="97" t="s">
        <v>40</v>
      </c>
      <c r="X25" s="97" t="s">
        <v>37</v>
      </c>
      <c r="Y25" s="97" t="s">
        <v>26</v>
      </c>
      <c r="Z25" s="97" t="s">
        <v>27</v>
      </c>
      <c r="AA25" s="97" t="s">
        <v>28</v>
      </c>
      <c r="AB25" s="100" t="s">
        <v>46</v>
      </c>
    </row>
    <row r="26" spans="1:29" x14ac:dyDescent="0.2">
      <c r="A26" s="41"/>
      <c r="B26" s="42"/>
      <c r="C26" s="103" t="s">
        <v>17</v>
      </c>
      <c r="D26" s="103"/>
      <c r="E26" s="43"/>
      <c r="F26" s="42"/>
      <c r="G26" s="42"/>
      <c r="H26" s="42"/>
      <c r="I26" s="42"/>
      <c r="J26" s="42"/>
      <c r="K26" s="44"/>
      <c r="O26" s="65"/>
      <c r="P26" s="30" t="s">
        <v>23</v>
      </c>
      <c r="Q26" s="61" t="s">
        <v>24</v>
      </c>
      <c r="R26" s="61" t="s">
        <v>25</v>
      </c>
      <c r="S26" s="61" t="s">
        <v>26</v>
      </c>
      <c r="T26" s="61" t="s">
        <v>27</v>
      </c>
      <c r="U26" s="62" t="s">
        <v>28</v>
      </c>
      <c r="W26" s="83" t="s">
        <v>18</v>
      </c>
      <c r="X26" s="93">
        <v>0.62787650879762202</v>
      </c>
      <c r="Y26" s="93">
        <f>X26*1.01</f>
        <v>0.63415527388559823</v>
      </c>
      <c r="Z26" s="93">
        <f>X26*1.2</f>
        <v>0.75345181055714638</v>
      </c>
      <c r="AA26" s="93">
        <f>X26*0.8</f>
        <v>0.50230120703809766</v>
      </c>
      <c r="AB26" s="93">
        <v>49.656219466740403</v>
      </c>
    </row>
    <row r="27" spans="1:29" x14ac:dyDescent="0.2">
      <c r="A27" s="24" t="s">
        <v>0</v>
      </c>
      <c r="B27" s="25" t="s">
        <v>1</v>
      </c>
      <c r="C27" s="25" t="s">
        <v>18</v>
      </c>
      <c r="D27" s="25" t="s">
        <v>19</v>
      </c>
      <c r="E27" s="25" t="s">
        <v>3</v>
      </c>
      <c r="F27" s="25" t="s">
        <v>21</v>
      </c>
      <c r="G27" s="25" t="s">
        <v>4</v>
      </c>
      <c r="H27" s="25" t="s">
        <v>5</v>
      </c>
      <c r="I27" s="25" t="s">
        <v>6</v>
      </c>
      <c r="J27" s="25" t="s">
        <v>7</v>
      </c>
      <c r="K27" s="15" t="s">
        <v>8</v>
      </c>
      <c r="O27" s="65"/>
      <c r="P27" s="87">
        <v>119.8365</v>
      </c>
      <c r="Q27" s="70">
        <v>130.51500000000001</v>
      </c>
      <c r="R27" s="70">
        <v>106.78500000000001</v>
      </c>
      <c r="S27" s="70"/>
      <c r="T27" s="70"/>
      <c r="U27" s="69"/>
      <c r="W27" s="83" t="s">
        <v>19</v>
      </c>
      <c r="X27" s="93">
        <v>0.53207514467263495</v>
      </c>
      <c r="Y27" s="93">
        <f t="shared" ref="Y27:Y40" si="4">X27*1.01</f>
        <v>0.53739589611936134</v>
      </c>
      <c r="Z27" s="93">
        <f t="shared" ref="Z27:Z40" si="5">X27*1.2</f>
        <v>0.63849017360716187</v>
      </c>
      <c r="AA27" s="93">
        <f t="shared" ref="AA27:AA40" si="6">X27*0.8</f>
        <v>0.42566011573810797</v>
      </c>
      <c r="AB27" s="93">
        <v>49.656219466740403</v>
      </c>
    </row>
    <row r="28" spans="1:29" x14ac:dyDescent="0.2">
      <c r="A28" s="3">
        <v>1</v>
      </c>
      <c r="B28" t="s">
        <v>14</v>
      </c>
      <c r="C28">
        <v>126</v>
      </c>
      <c r="D28">
        <v>116</v>
      </c>
      <c r="E28" s="7">
        <v>0.25793650793650802</v>
      </c>
      <c r="F28" s="5">
        <v>24.679999942533499</v>
      </c>
      <c r="G28" s="5">
        <v>0.12120858698949601</v>
      </c>
      <c r="H28" s="5">
        <v>2.13997708442548E-2</v>
      </c>
      <c r="I28" s="5">
        <v>49.656219466740403</v>
      </c>
      <c r="J28" s="5">
        <v>49.938385291134999</v>
      </c>
      <c r="K28" s="37">
        <v>-2.9424574732317401</v>
      </c>
      <c r="O28" s="96" t="s">
        <v>14</v>
      </c>
      <c r="P28" s="6">
        <v>24.838797807827799</v>
      </c>
      <c r="Q28" s="6">
        <v>27.539573567239</v>
      </c>
      <c r="R28" s="7">
        <v>24.816406924535499</v>
      </c>
      <c r="S28" s="6">
        <v>24.9684238939527</v>
      </c>
      <c r="T28" s="6">
        <v>30.442112053351</v>
      </c>
      <c r="U28" s="88">
        <v>18.910909396544898</v>
      </c>
      <c r="W28" s="84" t="s">
        <v>18</v>
      </c>
      <c r="X28" s="94">
        <v>0.76037921186704804</v>
      </c>
      <c r="Y28" s="94">
        <f t="shared" si="4"/>
        <v>0.7679830039857185</v>
      </c>
      <c r="Z28" s="94">
        <f t="shared" si="5"/>
        <v>0.91245505424045759</v>
      </c>
      <c r="AA28" s="94">
        <f t="shared" si="6"/>
        <v>0.6083033694936385</v>
      </c>
      <c r="AB28" s="94">
        <v>49.091827273777199</v>
      </c>
    </row>
    <row r="29" spans="1:29" x14ac:dyDescent="0.2">
      <c r="A29" s="3">
        <v>1</v>
      </c>
      <c r="B29" t="s">
        <v>14</v>
      </c>
      <c r="C29">
        <v>125</v>
      </c>
      <c r="D29">
        <v>115</v>
      </c>
      <c r="E29" s="7">
        <v>0.25793650793650802</v>
      </c>
      <c r="F29" s="5">
        <v>24.0499996257094</v>
      </c>
      <c r="G29" s="5">
        <v>0.174359577620464</v>
      </c>
      <c r="H29" s="6">
        <v>2.4234125817201801E-2</v>
      </c>
      <c r="I29" s="5">
        <v>49.091827273777199</v>
      </c>
      <c r="J29" s="6">
        <v>48.865880170936201</v>
      </c>
      <c r="K29" s="38">
        <v>-0.96063881404262397</v>
      </c>
      <c r="O29" s="96" t="s">
        <v>14</v>
      </c>
      <c r="P29" s="6">
        <v>24.273808485145501</v>
      </c>
      <c r="Q29" s="6">
        <v>27.688048462000701</v>
      </c>
      <c r="R29" s="6">
        <v>23.7910190779691</v>
      </c>
      <c r="S29" s="6">
        <v>24.3302238218253</v>
      </c>
      <c r="T29" s="6">
        <v>29.6467358749161</v>
      </c>
      <c r="U29" s="39">
        <v>18.444842929447699</v>
      </c>
      <c r="W29" s="84" t="s">
        <v>19</v>
      </c>
      <c r="X29" s="94">
        <v>0.37183366860668698</v>
      </c>
      <c r="Y29" s="94">
        <f t="shared" si="4"/>
        <v>0.37555200529275384</v>
      </c>
      <c r="Z29" s="94">
        <f t="shared" si="5"/>
        <v>0.44620040232802438</v>
      </c>
      <c r="AA29" s="94">
        <f t="shared" si="6"/>
        <v>0.29746693488534959</v>
      </c>
      <c r="AB29" s="94">
        <v>49.091827273777199</v>
      </c>
    </row>
    <row r="30" spans="1:29" x14ac:dyDescent="0.2">
      <c r="A30" s="3">
        <v>1</v>
      </c>
      <c r="B30" t="s">
        <v>15</v>
      </c>
      <c r="C30">
        <v>124</v>
      </c>
      <c r="D30">
        <v>114</v>
      </c>
      <c r="E30" s="7">
        <v>5.9523809523809521E-2</v>
      </c>
      <c r="F30" s="6">
        <v>15.3899998077299</v>
      </c>
      <c r="G30" s="5">
        <v>0.187834178717594</v>
      </c>
      <c r="H30" s="5">
        <v>3.8582115280405498E-2</v>
      </c>
      <c r="I30" s="5">
        <v>26.5518607799108</v>
      </c>
      <c r="J30" s="5">
        <v>110.233086160071</v>
      </c>
      <c r="K30" s="38">
        <v>0.60207761908515001</v>
      </c>
      <c r="O30" s="96" t="s">
        <v>15</v>
      </c>
      <c r="P30" s="6">
        <v>15.639647909222401</v>
      </c>
      <c r="Q30" s="6">
        <v>19.920700416609801</v>
      </c>
      <c r="R30" s="6">
        <v>16.115863223619598</v>
      </c>
      <c r="S30" s="6">
        <v>15.581873944685301</v>
      </c>
      <c r="T30" s="6">
        <v>19.236220930014699</v>
      </c>
      <c r="U30" s="39">
        <v>11.571551287731801</v>
      </c>
      <c r="W30" s="83" t="s">
        <v>18</v>
      </c>
      <c r="X30" s="93">
        <v>1.03938254055132</v>
      </c>
      <c r="Y30" s="93">
        <f t="shared" si="4"/>
        <v>1.0497763659568331</v>
      </c>
      <c r="Z30" s="93">
        <f t="shared" si="5"/>
        <v>1.247259048661584</v>
      </c>
      <c r="AA30" s="93">
        <f t="shared" si="6"/>
        <v>0.83150603244105603</v>
      </c>
      <c r="AB30" s="93">
        <v>26.5518607799108</v>
      </c>
      <c r="AC30" s="5"/>
    </row>
    <row r="31" spans="1:29" x14ac:dyDescent="0.2">
      <c r="A31" s="3">
        <v>1</v>
      </c>
      <c r="B31" t="s">
        <v>15</v>
      </c>
      <c r="C31">
        <v>122</v>
      </c>
      <c r="D31">
        <v>112</v>
      </c>
      <c r="E31" s="7">
        <v>5.9523809523809521E-2</v>
      </c>
      <c r="F31" s="5">
        <v>16.149999914459102</v>
      </c>
      <c r="G31" s="5">
        <v>0.25675374835998299</v>
      </c>
      <c r="H31" s="5">
        <v>3.4899549916644901E-2</v>
      </c>
      <c r="I31" s="5">
        <v>25.665210993572799</v>
      </c>
      <c r="J31" s="5">
        <v>112.180234005911</v>
      </c>
      <c r="K31" s="39">
        <v>1.2496202807099599</v>
      </c>
      <c r="O31" s="96" t="s">
        <v>15</v>
      </c>
      <c r="P31" s="6">
        <v>16.478820735742801</v>
      </c>
      <c r="Q31" s="6">
        <v>21.257211745349601</v>
      </c>
      <c r="R31" s="6">
        <v>15.855263715403799</v>
      </c>
      <c r="S31" s="6">
        <v>16.344615870788498</v>
      </c>
      <c r="T31" s="6">
        <v>20.056876575032401</v>
      </c>
      <c r="U31" s="39">
        <v>12.2858169066646</v>
      </c>
      <c r="W31" s="83" t="s">
        <v>19</v>
      </c>
      <c r="X31" s="93">
        <v>0.37007862895780902</v>
      </c>
      <c r="Y31" s="93">
        <f t="shared" si="4"/>
        <v>0.37377941524738711</v>
      </c>
      <c r="Z31" s="93">
        <f t="shared" si="5"/>
        <v>0.44409435474937081</v>
      </c>
      <c r="AA31" s="93">
        <f t="shared" si="6"/>
        <v>0.29606290316624723</v>
      </c>
      <c r="AB31" s="93">
        <v>26.5518607799108</v>
      </c>
      <c r="AC31" s="5"/>
    </row>
    <row r="32" spans="1:29" x14ac:dyDescent="0.2">
      <c r="A32" s="3">
        <v>1</v>
      </c>
      <c r="B32" t="s">
        <v>15</v>
      </c>
      <c r="C32">
        <v>125</v>
      </c>
      <c r="D32">
        <v>115</v>
      </c>
      <c r="E32" s="7">
        <v>5.95238095238095E-2</v>
      </c>
      <c r="F32" s="5">
        <v>14.9699995684733</v>
      </c>
      <c r="G32" s="5">
        <v>0.14914456141212801</v>
      </c>
      <c r="H32" s="5">
        <v>4.05348643539582E-2</v>
      </c>
      <c r="I32" s="5">
        <v>26.943734577287099</v>
      </c>
      <c r="J32" s="5">
        <v>108.49426807588701</v>
      </c>
      <c r="K32" s="40">
        <v>0.23798435591970701</v>
      </c>
      <c r="O32" s="96" t="s">
        <v>15</v>
      </c>
      <c r="P32" s="6">
        <v>15.175132087090599</v>
      </c>
      <c r="Q32" s="6">
        <v>19.176863017069699</v>
      </c>
      <c r="R32" s="6">
        <v>16.2492530329259</v>
      </c>
      <c r="S32" s="6">
        <v>15.159212456933901</v>
      </c>
      <c r="T32" s="6">
        <v>18.761336422055098</v>
      </c>
      <c r="U32" s="89">
        <v>11.201996586507599</v>
      </c>
      <c r="W32" s="84" t="s">
        <v>18</v>
      </c>
      <c r="X32" s="94">
        <v>1.02022688783694</v>
      </c>
      <c r="Y32" s="94">
        <f t="shared" si="4"/>
        <v>1.0304291567153094</v>
      </c>
      <c r="Z32" s="94">
        <f t="shared" ref="Z32:Z33" si="7">X32*1.2</f>
        <v>1.2242722654043281</v>
      </c>
      <c r="AA32" s="94">
        <f t="shared" ref="AA32:AA33" si="8">X32*0.8</f>
        <v>0.8161815102695521</v>
      </c>
      <c r="AB32" s="94">
        <v>25.665210993572799</v>
      </c>
      <c r="AC32" s="5"/>
    </row>
    <row r="33" spans="1:29" x14ac:dyDescent="0.2">
      <c r="A33" s="31">
        <v>1</v>
      </c>
      <c r="B33" s="32" t="s">
        <v>16</v>
      </c>
      <c r="C33" s="32" t="s">
        <v>20</v>
      </c>
      <c r="D33" s="32">
        <v>125.11799999999999</v>
      </c>
      <c r="E33" s="22">
        <v>5.95238095238095E-2</v>
      </c>
      <c r="F33" s="35">
        <f>12.4999998958289+13.6500000020118+11.8499996649936+16.0499998986775</f>
        <v>54.049999461511803</v>
      </c>
      <c r="G33" s="35">
        <v>2.1176510965403801</v>
      </c>
      <c r="H33" s="35">
        <v>4.2759040752571302E-2</v>
      </c>
      <c r="I33" s="35">
        <v>55.626211630652698</v>
      </c>
      <c r="J33" s="35">
        <v>347.89065928659801</v>
      </c>
      <c r="K33" s="36">
        <v>17.216685192771301</v>
      </c>
      <c r="O33" s="63" t="s">
        <v>16</v>
      </c>
      <c r="P33" s="90">
        <v>56.592566292048197</v>
      </c>
      <c r="Q33" s="91">
        <v>82.047468678671194</v>
      </c>
      <c r="R33" s="91">
        <v>32.034402040139703</v>
      </c>
      <c r="S33" s="91">
        <v>54.6394148221816</v>
      </c>
      <c r="T33" s="91">
        <v>65.819714611506797</v>
      </c>
      <c r="U33" s="92">
        <v>42.251145025502296</v>
      </c>
      <c r="W33" s="84" t="s">
        <v>19</v>
      </c>
      <c r="X33" s="94">
        <v>0.35886171269367201</v>
      </c>
      <c r="Y33" s="94">
        <f t="shared" si="4"/>
        <v>0.36245032982060871</v>
      </c>
      <c r="Z33" s="94">
        <f t="shared" si="7"/>
        <v>0.43063405523240639</v>
      </c>
      <c r="AA33" s="94">
        <f t="shared" si="8"/>
        <v>0.28708937015493763</v>
      </c>
      <c r="AB33" s="94">
        <v>25.665210993572799</v>
      </c>
      <c r="AC33" s="5"/>
    </row>
    <row r="34" spans="1:29" x14ac:dyDescent="0.2">
      <c r="A34" s="31"/>
      <c r="B34" s="32"/>
      <c r="C34" s="32"/>
      <c r="D34" s="32"/>
      <c r="E34" s="22"/>
      <c r="F34" s="35"/>
      <c r="G34" s="35"/>
      <c r="H34" s="35"/>
      <c r="I34" s="35"/>
      <c r="J34" s="35"/>
      <c r="K34" s="36"/>
      <c r="O34" s="63"/>
      <c r="P34" s="9"/>
      <c r="Q34" s="9"/>
      <c r="R34" s="9"/>
      <c r="S34" s="9"/>
      <c r="T34" s="9"/>
      <c r="U34" s="9"/>
      <c r="W34" s="85" t="s">
        <v>18</v>
      </c>
      <c r="X34" s="95">
        <v>-0.30250346244960002</v>
      </c>
      <c r="Y34" s="95">
        <f t="shared" si="4"/>
        <v>-0.30552849707409602</v>
      </c>
      <c r="Z34" s="95">
        <f t="shared" ref="Z34:Z35" si="9">X34*1.2</f>
        <v>-0.36300415493952004</v>
      </c>
      <c r="AA34" s="95">
        <f t="shared" ref="AA34:AA35" si="10">X34*0.8</f>
        <v>-0.24200276995968004</v>
      </c>
      <c r="AB34" s="95">
        <v>26.943734577287099</v>
      </c>
      <c r="AC34" s="5"/>
    </row>
    <row r="35" spans="1:29" x14ac:dyDescent="0.2">
      <c r="A35" s="31"/>
      <c r="B35" s="32"/>
      <c r="C35" s="32"/>
      <c r="D35" s="32"/>
      <c r="E35" s="22"/>
      <c r="F35" s="35"/>
      <c r="G35" s="35"/>
      <c r="H35" s="35"/>
      <c r="I35" s="35"/>
      <c r="J35" s="35"/>
      <c r="K35" s="36"/>
      <c r="O35" s="63"/>
      <c r="P35" s="9"/>
      <c r="Q35" s="9"/>
      <c r="R35" s="9"/>
      <c r="S35" s="9"/>
      <c r="T35" s="9"/>
      <c r="U35" s="9"/>
      <c r="W35" s="85" t="s">
        <v>19</v>
      </c>
      <c r="X35" s="95">
        <v>-0.96386863759286001</v>
      </c>
      <c r="Y35" s="95">
        <f t="shared" si="4"/>
        <v>-0.97350732396878858</v>
      </c>
      <c r="Z35" s="95">
        <f t="shared" si="9"/>
        <v>-1.1566423651114319</v>
      </c>
      <c r="AA35" s="95">
        <f t="shared" si="10"/>
        <v>-0.7710949100742881</v>
      </c>
      <c r="AB35" s="95">
        <v>26.943734577287099</v>
      </c>
      <c r="AC35" s="5"/>
    </row>
    <row r="36" spans="1:29" x14ac:dyDescent="0.2">
      <c r="A36" s="63" t="s">
        <v>36</v>
      </c>
      <c r="B36" s="33"/>
      <c r="C36" s="33"/>
      <c r="D36" s="33"/>
      <c r="E36" s="33"/>
      <c r="F36" s="64">
        <f>SUM(F28:F33)</f>
        <v>149.289998320417</v>
      </c>
      <c r="G36" s="64">
        <f>SUM(G28:G33)</f>
        <v>3.0069517496400451</v>
      </c>
      <c r="H36" s="33"/>
      <c r="I36" s="64">
        <f>SUM(I28:I33)</f>
        <v>233.53506472194098</v>
      </c>
      <c r="J36" s="33"/>
      <c r="K36" s="34"/>
      <c r="O36" s="54" t="s">
        <v>36</v>
      </c>
      <c r="P36" s="70">
        <f>SUM(P28:P33)</f>
        <v>152.99877331707731</v>
      </c>
      <c r="Q36" s="70">
        <f t="shared" ref="Q36:U36" si="11">SUM(Q28:Q33)</f>
        <v>197.62986588694002</v>
      </c>
      <c r="R36" s="70">
        <f t="shared" si="11"/>
        <v>128.86220801459359</v>
      </c>
      <c r="S36" s="70">
        <f t="shared" si="11"/>
        <v>151.02376481036731</v>
      </c>
      <c r="T36" s="70">
        <f t="shared" si="11"/>
        <v>183.96299646687609</v>
      </c>
      <c r="U36" s="70">
        <f t="shared" si="11"/>
        <v>114.6662621323989</v>
      </c>
      <c r="W36" s="55" t="s">
        <v>41</v>
      </c>
      <c r="X36" s="94"/>
      <c r="Y36" s="94"/>
      <c r="Z36" s="94"/>
      <c r="AA36" s="94"/>
      <c r="AB36" s="94"/>
      <c r="AC36" s="5"/>
    </row>
    <row r="37" spans="1:29" x14ac:dyDescent="0.2">
      <c r="A37" s="26"/>
      <c r="B37" s="26"/>
      <c r="C37" s="26"/>
      <c r="D37" s="26"/>
      <c r="E37" s="26"/>
      <c r="F37" s="86"/>
      <c r="G37" s="26"/>
      <c r="H37" s="26"/>
      <c r="I37" s="26"/>
      <c r="J37" s="26"/>
      <c r="K37" s="26"/>
      <c r="O37" s="63" t="s">
        <v>38</v>
      </c>
      <c r="P37" s="128">
        <v>123454.850340198</v>
      </c>
      <c r="Q37" s="129">
        <v>168339.59777041199</v>
      </c>
      <c r="R37" s="129">
        <v>104891.352561636</v>
      </c>
      <c r="S37" s="128">
        <v>120166.183988786</v>
      </c>
      <c r="T37" s="128">
        <v>120752.52853471501</v>
      </c>
      <c r="U37" s="130">
        <v>119812.38696054299</v>
      </c>
      <c r="W37" s="83" t="s">
        <v>42</v>
      </c>
      <c r="X37" s="93">
        <v>1.03938254055132</v>
      </c>
      <c r="Y37" s="93">
        <f t="shared" si="4"/>
        <v>1.0497763659568331</v>
      </c>
      <c r="Z37" s="93">
        <f t="shared" si="5"/>
        <v>1.247259048661584</v>
      </c>
      <c r="AA37" s="93">
        <f t="shared" si="6"/>
        <v>0.83150603244105603</v>
      </c>
      <c r="AB37" s="93">
        <v>55.626211630652698</v>
      </c>
      <c r="AC37" s="5"/>
    </row>
    <row r="38" spans="1:29" x14ac:dyDescent="0.2">
      <c r="A38" s="26"/>
      <c r="B38" s="26"/>
      <c r="C38" s="26"/>
      <c r="D38" s="26"/>
      <c r="E38" s="26"/>
      <c r="F38" s="86"/>
      <c r="G38" s="26"/>
      <c r="H38" s="26"/>
      <c r="I38" s="26"/>
      <c r="J38" s="26"/>
      <c r="K38" s="26"/>
      <c r="O38" s="26"/>
      <c r="W38" s="83" t="s">
        <v>43</v>
      </c>
      <c r="X38" s="93">
        <v>1.06489044810766</v>
      </c>
      <c r="Y38" s="93">
        <f t="shared" si="4"/>
        <v>1.0755393525887367</v>
      </c>
      <c r="Z38" s="93">
        <f t="shared" si="5"/>
        <v>1.2778685377291918</v>
      </c>
      <c r="AA38" s="93">
        <f t="shared" si="6"/>
        <v>0.85191235848612801</v>
      </c>
      <c r="AB38" s="93">
        <v>55.626211630652698</v>
      </c>
      <c r="AC38" s="5"/>
    </row>
    <row r="39" spans="1:29" x14ac:dyDescent="0.2">
      <c r="W39" s="83" t="s">
        <v>44</v>
      </c>
      <c r="X39" s="93">
        <v>1.02022688783694</v>
      </c>
      <c r="Y39" s="93">
        <f t="shared" si="4"/>
        <v>1.0304291567153094</v>
      </c>
      <c r="Z39" s="93">
        <f t="shared" si="5"/>
        <v>1.2242722654043281</v>
      </c>
      <c r="AA39" s="93">
        <f t="shared" si="6"/>
        <v>0.8161815102695521</v>
      </c>
      <c r="AB39" s="93">
        <v>55.626211630652698</v>
      </c>
      <c r="AC39" s="5"/>
    </row>
    <row r="40" spans="1:29" x14ac:dyDescent="0.2">
      <c r="W40" s="83" t="s">
        <v>45</v>
      </c>
      <c r="X40" s="93">
        <v>1.1152369654837999</v>
      </c>
      <c r="Y40" s="93">
        <f t="shared" si="4"/>
        <v>1.1263893351386378</v>
      </c>
      <c r="Z40" s="93">
        <f t="shared" si="5"/>
        <v>1.3382843585805599</v>
      </c>
      <c r="AA40" s="93">
        <f t="shared" si="6"/>
        <v>0.89218957238704</v>
      </c>
      <c r="AB40" s="93">
        <v>55.626211630652698</v>
      </c>
      <c r="AC40" s="5"/>
    </row>
    <row r="41" spans="1:29" x14ac:dyDescent="0.2">
      <c r="AB41" s="98"/>
      <c r="AC41" s="5"/>
    </row>
    <row r="45" spans="1:29" x14ac:dyDescent="0.2">
      <c r="F45" s="55" t="s">
        <v>31</v>
      </c>
      <c r="G45" s="80" t="s">
        <v>48</v>
      </c>
      <c r="H45" s="81" t="s">
        <v>47</v>
      </c>
      <c r="I45" s="82" t="s">
        <v>49</v>
      </c>
    </row>
    <row r="46" spans="1:29" x14ac:dyDescent="0.2">
      <c r="F46" s="54" t="s">
        <v>23</v>
      </c>
      <c r="G46" s="121">
        <v>-80382.336164804496</v>
      </c>
      <c r="H46" s="72">
        <v>-82401.445354928204</v>
      </c>
      <c r="I46" s="122">
        <f>H46-G46</f>
        <v>-2019.1091901237087</v>
      </c>
    </row>
    <row r="47" spans="1:29" x14ac:dyDescent="0.2">
      <c r="F47" s="54" t="s">
        <v>24</v>
      </c>
      <c r="G47" s="121">
        <v>-80382.336164804496</v>
      </c>
      <c r="H47" s="121">
        <v>-100826.49258322601</v>
      </c>
      <c r="I47" s="122">
        <f t="shared" ref="I47:I59" si="12">H47-G47</f>
        <v>-20444.156418421509</v>
      </c>
    </row>
    <row r="48" spans="1:29" x14ac:dyDescent="0.2">
      <c r="A48" s="117"/>
      <c r="B48" s="117"/>
      <c r="C48" s="117"/>
      <c r="D48" s="118"/>
      <c r="E48" s="117"/>
      <c r="F48" s="54" t="s">
        <v>25</v>
      </c>
      <c r="G48" s="121">
        <v>-80382.336164804496</v>
      </c>
      <c r="H48" s="72">
        <v>-60257.2999276915</v>
      </c>
      <c r="I48" s="122">
        <f t="shared" si="12"/>
        <v>20125.036237112996</v>
      </c>
    </row>
    <row r="49" spans="1:13" x14ac:dyDescent="0.2">
      <c r="A49" s="117"/>
      <c r="B49" s="119"/>
      <c r="C49" s="118"/>
      <c r="D49" s="118"/>
      <c r="E49" s="117"/>
      <c r="F49" s="54" t="s">
        <v>26</v>
      </c>
      <c r="G49" s="121">
        <v>-80382.336164804496</v>
      </c>
      <c r="H49" s="121">
        <v>-80248.2318901291</v>
      </c>
      <c r="I49" s="122">
        <f t="shared" si="12"/>
        <v>134.10427467539557</v>
      </c>
    </row>
    <row r="50" spans="1:13" x14ac:dyDescent="0.2">
      <c r="A50" s="117"/>
      <c r="B50" s="120"/>
      <c r="C50" s="118"/>
      <c r="D50" s="118"/>
      <c r="E50" s="117"/>
      <c r="F50" s="54" t="s">
        <v>27</v>
      </c>
      <c r="G50" s="121">
        <v>-80382.336164804496</v>
      </c>
      <c r="H50" s="121">
        <v>-81299.926582592598</v>
      </c>
      <c r="I50" s="122">
        <f t="shared" si="12"/>
        <v>-917.59041778810206</v>
      </c>
    </row>
    <row r="51" spans="1:13" x14ac:dyDescent="0.2">
      <c r="A51" s="117"/>
      <c r="B51" s="119"/>
      <c r="C51" s="118"/>
      <c r="D51" s="118"/>
      <c r="E51" s="117"/>
      <c r="F51" s="54" t="s">
        <v>28</v>
      </c>
      <c r="G51" s="121">
        <v>-80382.336164804496</v>
      </c>
      <c r="H51" s="74">
        <v>-81210.397844123698</v>
      </c>
      <c r="I51" s="123">
        <f t="shared" si="12"/>
        <v>-828.06167931920209</v>
      </c>
    </row>
    <row r="52" spans="1:13" x14ac:dyDescent="0.2">
      <c r="A52" s="117"/>
      <c r="B52" s="119"/>
      <c r="C52" s="119"/>
      <c r="D52" s="118"/>
      <c r="E52" s="117"/>
      <c r="G52" s="111"/>
      <c r="H52" s="111"/>
      <c r="I52" s="110"/>
    </row>
    <row r="53" spans="1:13" x14ac:dyDescent="0.2">
      <c r="A53" s="117"/>
      <c r="B53" s="119"/>
      <c r="C53" s="119"/>
      <c r="D53" s="118"/>
      <c r="E53" s="117"/>
      <c r="F53" s="55" t="s">
        <v>31</v>
      </c>
      <c r="G53" s="81" t="s">
        <v>51</v>
      </c>
      <c r="H53" s="81" t="s">
        <v>52</v>
      </c>
      <c r="I53" s="82" t="s">
        <v>53</v>
      </c>
    </row>
    <row r="54" spans="1:13" x14ac:dyDescent="0.2">
      <c r="A54" s="117"/>
      <c r="B54" s="119"/>
      <c r="C54" s="119"/>
      <c r="D54" s="118"/>
      <c r="E54" s="117"/>
      <c r="F54" s="113" t="s">
        <v>23</v>
      </c>
      <c r="G54" s="121">
        <v>144301.52468876701</v>
      </c>
      <c r="H54" s="124">
        <v>148034.94548637301</v>
      </c>
      <c r="I54" s="122">
        <f t="shared" si="12"/>
        <v>3733.4207976059988</v>
      </c>
    </row>
    <row r="55" spans="1:13" x14ac:dyDescent="0.2">
      <c r="F55" s="54" t="s">
        <v>24</v>
      </c>
      <c r="G55" s="121">
        <v>144301.52468876701</v>
      </c>
      <c r="H55" s="121">
        <v>190920.39175070901</v>
      </c>
      <c r="I55" s="122">
        <f t="shared" si="12"/>
        <v>46618.867061942001</v>
      </c>
    </row>
    <row r="56" spans="1:13" x14ac:dyDescent="0.2">
      <c r="F56" s="54" t="s">
        <v>25</v>
      </c>
      <c r="G56" s="121">
        <v>144301.52468876701</v>
      </c>
      <c r="H56" s="121">
        <v>127794.939845787</v>
      </c>
      <c r="I56" s="122">
        <f t="shared" si="12"/>
        <v>-16506.58484298001</v>
      </c>
    </row>
    <row r="57" spans="1:13" x14ac:dyDescent="0.2">
      <c r="F57" s="54" t="s">
        <v>26</v>
      </c>
      <c r="G57" s="121">
        <v>144301.52468876701</v>
      </c>
      <c r="H57" s="124">
        <v>146054.442867779</v>
      </c>
      <c r="I57" s="122">
        <f t="shared" si="12"/>
        <v>1752.918179011991</v>
      </c>
    </row>
    <row r="58" spans="1:13" x14ac:dyDescent="0.2">
      <c r="F58" s="54" t="s">
        <v>27</v>
      </c>
      <c r="G58" s="121">
        <v>144301.52468876701</v>
      </c>
      <c r="H58" s="121">
        <v>156266.137251971</v>
      </c>
      <c r="I58" s="122">
        <f t="shared" si="12"/>
        <v>11964.612563203991</v>
      </c>
    </row>
    <row r="59" spans="1:13" x14ac:dyDescent="0.2">
      <c r="F59" s="54" t="s">
        <v>28</v>
      </c>
      <c r="G59" s="131">
        <v>144301.52468876701</v>
      </c>
      <c r="H59" s="74">
        <v>137090.594186192</v>
      </c>
      <c r="I59" s="123">
        <f t="shared" si="12"/>
        <v>-7210.9305025750073</v>
      </c>
    </row>
    <row r="61" spans="1:13" x14ac:dyDescent="0.2">
      <c r="C61" s="26"/>
    </row>
    <row r="62" spans="1:13" x14ac:dyDescent="0.2">
      <c r="C62" s="72"/>
      <c r="F62" s="55" t="s">
        <v>31</v>
      </c>
      <c r="G62" s="55" t="s">
        <v>29</v>
      </c>
      <c r="H62" s="55" t="s">
        <v>30</v>
      </c>
      <c r="J62" s="55" t="s">
        <v>31</v>
      </c>
      <c r="K62" s="97" t="s">
        <v>32</v>
      </c>
      <c r="L62" s="55" t="s">
        <v>33</v>
      </c>
      <c r="M62" s="97" t="s">
        <v>34</v>
      </c>
    </row>
    <row r="63" spans="1:13" x14ac:dyDescent="0.2">
      <c r="C63" s="72"/>
      <c r="F63" s="54" t="s">
        <v>23</v>
      </c>
      <c r="G63" s="137">
        <f>I54</f>
        <v>3733.4207976059988</v>
      </c>
      <c r="H63" s="138">
        <f>I46</f>
        <v>-2019.1091901237087</v>
      </c>
      <c r="J63" s="63" t="s">
        <v>23</v>
      </c>
      <c r="K63" s="139">
        <f>SUM(G63:H63)</f>
        <v>1714.3116074822901</v>
      </c>
      <c r="L63" s="142">
        <v>1000</v>
      </c>
      <c r="M63" s="132">
        <f>K63/L63</f>
        <v>1.7143116074822902</v>
      </c>
    </row>
    <row r="64" spans="1:13" x14ac:dyDescent="0.2">
      <c r="C64" s="72"/>
      <c r="F64" s="54" t="s">
        <v>24</v>
      </c>
      <c r="G64" s="139">
        <f>I55</f>
        <v>46618.867061942001</v>
      </c>
      <c r="H64" s="138">
        <f>I47</f>
        <v>-20444.156418421509</v>
      </c>
      <c r="J64" s="63" t="s">
        <v>24</v>
      </c>
      <c r="K64" s="139">
        <f t="shared" ref="K64:K68" si="13">SUM(G64:H64)</f>
        <v>26174.710643520491</v>
      </c>
      <c r="L64" s="143">
        <v>-20000</v>
      </c>
      <c r="M64" s="132" t="s">
        <v>54</v>
      </c>
    </row>
    <row r="65" spans="3:13" x14ac:dyDescent="0.2">
      <c r="C65" s="72"/>
      <c r="F65" s="54" t="s">
        <v>25</v>
      </c>
      <c r="G65" s="140">
        <f>I56</f>
        <v>-16506.58484298001</v>
      </c>
      <c r="H65" s="141">
        <f>I48</f>
        <v>20125.036237112996</v>
      </c>
      <c r="J65" s="63" t="s">
        <v>25</v>
      </c>
      <c r="K65" s="139">
        <f t="shared" si="13"/>
        <v>3618.451394132986</v>
      </c>
      <c r="L65" s="143">
        <v>-20000</v>
      </c>
      <c r="M65" s="132" t="s">
        <v>54</v>
      </c>
    </row>
    <row r="66" spans="3:13" x14ac:dyDescent="0.2">
      <c r="C66" s="72"/>
      <c r="F66" s="54" t="s">
        <v>26</v>
      </c>
      <c r="G66" s="93">
        <f>I57</f>
        <v>1752.918179011991</v>
      </c>
      <c r="H66" s="139">
        <f>I49</f>
        <v>134.10427467539557</v>
      </c>
      <c r="J66" s="63" t="s">
        <v>26</v>
      </c>
      <c r="K66" s="93">
        <f t="shared" si="13"/>
        <v>1887.0224536873866</v>
      </c>
      <c r="L66" s="142">
        <v>2500</v>
      </c>
      <c r="M66" s="132">
        <f>K66/L66</f>
        <v>0.75480898147495468</v>
      </c>
    </row>
    <row r="67" spans="3:13" x14ac:dyDescent="0.2">
      <c r="C67" s="72"/>
      <c r="F67" s="54" t="s">
        <v>27</v>
      </c>
      <c r="G67" s="93">
        <f>I58</f>
        <v>11964.612563203991</v>
      </c>
      <c r="H67" s="140">
        <f>I50</f>
        <v>-917.59041778810206</v>
      </c>
      <c r="J67" s="63" t="s">
        <v>27</v>
      </c>
      <c r="K67" s="93">
        <f t="shared" si="13"/>
        <v>11047.022145415889</v>
      </c>
      <c r="L67" s="143">
        <v>-20000</v>
      </c>
      <c r="M67" s="132" t="s">
        <v>54</v>
      </c>
    </row>
    <row r="68" spans="3:13" x14ac:dyDescent="0.2">
      <c r="F68" s="54" t="s">
        <v>28</v>
      </c>
      <c r="G68" s="140">
        <f>I59</f>
        <v>-7210.9305025750073</v>
      </c>
      <c r="H68" s="140">
        <f>I51</f>
        <v>-828.06167931920209</v>
      </c>
      <c r="J68" s="63" t="s">
        <v>28</v>
      </c>
      <c r="K68" s="140">
        <f t="shared" si="13"/>
        <v>-8038.9921818942094</v>
      </c>
      <c r="L68" s="143">
        <v>-20000</v>
      </c>
      <c r="M68" s="133">
        <f>K68/L68</f>
        <v>0.40194960909471045</v>
      </c>
    </row>
    <row r="72" spans="3:13" x14ac:dyDescent="0.2">
      <c r="F72" s="55" t="s">
        <v>39</v>
      </c>
      <c r="G72" s="55" t="s">
        <v>38</v>
      </c>
      <c r="I72" s="55" t="s">
        <v>55</v>
      </c>
      <c r="J72" s="55" t="s">
        <v>56</v>
      </c>
      <c r="K72" s="55" t="s">
        <v>57</v>
      </c>
    </row>
    <row r="73" spans="3:13" x14ac:dyDescent="0.2">
      <c r="F73" s="83" t="s">
        <v>61</v>
      </c>
      <c r="G73" s="146">
        <v>1650.98</v>
      </c>
      <c r="I73" s="83">
        <v>2293.2868859724799</v>
      </c>
      <c r="J73" s="83">
        <v>10000</v>
      </c>
      <c r="K73" s="134">
        <f>I73/J73</f>
        <v>0.229328688597248</v>
      </c>
    </row>
    <row r="74" spans="3:13" x14ac:dyDescent="0.2">
      <c r="F74" s="83" t="s">
        <v>62</v>
      </c>
      <c r="G74" s="146">
        <v>2660.95</v>
      </c>
    </row>
    <row r="75" spans="3:13" x14ac:dyDescent="0.2">
      <c r="F75" s="83" t="s">
        <v>63</v>
      </c>
      <c r="G75" s="146">
        <v>1253.72</v>
      </c>
      <c r="I75" s="135" t="s">
        <v>58</v>
      </c>
      <c r="J75" s="135" t="s">
        <v>59</v>
      </c>
      <c r="K75" s="136" t="s">
        <v>60</v>
      </c>
    </row>
    <row r="76" spans="3:13" x14ac:dyDescent="0.2">
      <c r="F76" s="66" t="s">
        <v>64</v>
      </c>
      <c r="G76" s="147">
        <v>131</v>
      </c>
      <c r="I76" s="83"/>
      <c r="J76" s="144">
        <f>-I73*4</f>
        <v>-9173.1475438899197</v>
      </c>
      <c r="K76" s="83"/>
    </row>
    <row r="77" spans="3:13" x14ac:dyDescent="0.2">
      <c r="F77" s="28"/>
      <c r="G77" s="149"/>
    </row>
    <row r="78" spans="3:13" x14ac:dyDescent="0.2">
      <c r="F78" s="116"/>
      <c r="G78" s="148"/>
    </row>
    <row r="82" spans="7:8" x14ac:dyDescent="0.2">
      <c r="G82" s="145"/>
      <c r="H82" s="145"/>
    </row>
    <row r="83" spans="7:8" x14ac:dyDescent="0.2">
      <c r="G83" s="145"/>
      <c r="H83" s="145"/>
    </row>
    <row r="84" spans="7:8" x14ac:dyDescent="0.2">
      <c r="G84" s="145"/>
      <c r="H84" s="145"/>
    </row>
    <row r="85" spans="7:8" x14ac:dyDescent="0.2">
      <c r="G85" s="145"/>
      <c r="H85" s="145"/>
    </row>
  </sheetData>
  <mergeCells count="3">
    <mergeCell ref="C26:D26"/>
    <mergeCell ref="P10:U10"/>
    <mergeCell ref="P25:U2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 POPESCU</dc:creator>
  <cp:lastModifiedBy>MARA POPESCU</cp:lastModifiedBy>
  <dcterms:created xsi:type="dcterms:W3CDTF">2025-02-12T13:32:20Z</dcterms:created>
  <dcterms:modified xsi:type="dcterms:W3CDTF">2025-02-17T15:45:46Z</dcterms:modified>
</cp:coreProperties>
</file>