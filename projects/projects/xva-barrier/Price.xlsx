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apopescu/Desktop/"/>
    </mc:Choice>
  </mc:AlternateContent>
  <xr:revisionPtr revIDLastSave="0" documentId="8_{8B84D0B8-C299-6945-8A11-99A23008CC27}" xr6:coauthVersionLast="47" xr6:coauthVersionMax="47" xr10:uidLastSave="{00000000-0000-0000-0000-000000000000}"/>
  <bookViews>
    <workbookView xWindow="5300" yWindow="740" windowWidth="23500" windowHeight="16560" activeTab="2" xr2:uid="{00000000-000D-0000-FFFF-FFFF00000000}"/>
  </bookViews>
  <sheets>
    <sheet name="Sheet 1" sheetId="2" r:id="rId1"/>
    <sheet name="VVIX_History" sheetId="3" r:id="rId2"/>
    <sheet name="VIX9D_History" sheetId="4" r:id="rId3"/>
  </sheets>
  <definedNames>
    <definedName name="chartTableData">'Sheet 1'!$A$12:$E$19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1'!$B$32:$B$1036</definedName>
    <definedName name="DAT">'Sheet 1'!$A$32:$A$1036</definedName>
    <definedName name="filterValues">'Sheet 1'!$A$4:$A$7</definedName>
    <definedName name="FLOW">'Sheet 1'!$J$32:$J$1036</definedName>
    <definedName name="HIG">'Sheet 1'!$G$32:$G$1036</definedName>
    <definedName name="LOW">'Sheet 1'!$F$32:$F$1036</definedName>
    <definedName name="NET">'Sheet 1'!$C$32:$C$1036</definedName>
    <definedName name="OPN">'Sheet 1'!$E$32:$E$1036</definedName>
    <definedName name="PCC">'Sheet 1'!$D$32:$D$1036</definedName>
    <definedName name="phTableData">'Sheet 1'!$A$32:$J$1036</definedName>
    <definedName name="phTableHeader">'Sheet 1'!$A$31:$J$31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TurnoverTableData">'Sheet 1'!$N$24:$P$26</definedName>
    <definedName name="statTurnoverTableHeader">'Sheet 1'!$N$23:$P$23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TRNOVR_UNS">'Sheet 1'!$I$32:$I$1036</definedName>
    <definedName name="VOL">'Sheet 1'!$H$32:$H$1036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2" i="4"/>
  <c r="V952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2" i="4"/>
  <c r="R2" i="4"/>
  <c r="K3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K2" i="3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Q2" i="4"/>
</calcChain>
</file>

<file path=xl/sharedStrings.xml><?xml version="1.0" encoding="utf-8"?>
<sst xmlns="http://schemas.openxmlformats.org/spreadsheetml/2006/main" count="5666" uniqueCount="2906">
  <si>
    <t>NVIDIA Corp | Price History                                          11-Feb-2025 23:57</t>
  </si>
  <si>
    <t>NVDA.O</t>
  </si>
  <si>
    <t>Interval: Daily</t>
  </si>
  <si>
    <t>History Period: 05-Feb-2021 - 05-Feb-2025</t>
  </si>
  <si>
    <t>Currency Conversion: USD</t>
  </si>
  <si>
    <t>VAP: Total</t>
  </si>
  <si>
    <t>Price</t>
  </si>
  <si>
    <t>Volume</t>
  </si>
  <si>
    <t>%Volume</t>
  </si>
  <si>
    <t>Count</t>
  </si>
  <si>
    <t>%Count</t>
  </si>
  <si>
    <t>140.00 - 160.00</t>
  </si>
  <si>
    <t>120.00 - 140.00</t>
  </si>
  <si>
    <t>100.00 - 120.00</t>
  </si>
  <si>
    <t>80.00 - 100.00</t>
  </si>
  <si>
    <t>60.00 - 80.00</t>
  </si>
  <si>
    <t>40.00 - 60.00</t>
  </si>
  <si>
    <t>20.00 - 40.00</t>
  </si>
  <si>
    <t>0.00 - 20.00</t>
  </si>
  <si>
    <t>NVDA.O Statistics     Daily     05-Feb-2021 - 05-Feb-2025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</si>
  <si>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</si>
  <si>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</si>
  <si>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</si>
  <si>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</si>
  <si>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</si>
  <si>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</si>
  <si>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</si>
  <si>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</si>
  <si>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</si>
  <si>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</si>
  <si>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</si>
  <si>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</si>
  <si>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</si>
  <si>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</si>
  <si>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</si>
  <si>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</si>
  <si>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05-Feb-2021 - 05-Feb-2025</t>
  </si>
  <si>
    <t>Avg (High-Low)</t>
  </si>
  <si>
    <t>NVDA.O History     Daily     05-Feb-2021 - 05-Feb-2025</t>
  </si>
  <si>
    <t>Exchange Date</t>
  </si>
  <si>
    <t>Close</t>
  </si>
  <si>
    <t>Net</t>
  </si>
  <si>
    <t>%Chg</t>
  </si>
  <si>
    <t>Open</t>
  </si>
  <si>
    <t>Turnover - USD</t>
  </si>
  <si>
    <t>Flow</t>
  </si>
  <si>
    <t>DATE</t>
  </si>
  <si>
    <t>VVIX</t>
  </si>
  <si>
    <t>03/15/2006</t>
  </si>
  <si>
    <t>03/16/2006</t>
  </si>
  <si>
    <t>03/17/2006</t>
  </si>
  <si>
    <t>03/20/2006</t>
  </si>
  <si>
    <t>03/21/2006</t>
  </si>
  <si>
    <t>04/24/2006</t>
  </si>
  <si>
    <t>04/25/2006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</si>
  <si>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</si>
  <si>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</si>
  <si>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</si>
  <si>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</si>
  <si>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</si>
  <si>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</si>
  <si>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</si>
  <si>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</si>
  <si>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</si>
  <si>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</si>
  <si>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</si>
  <si>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</si>
  <si>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</si>
  <si>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</si>
  <si>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</si>
  <si>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</si>
  <si>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</si>
  <si>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</si>
  <si>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</si>
  <si>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</si>
  <si>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</si>
  <si>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07/24/2006</t>
  </si>
  <si>
    <t>07/25/2006</t>
  </si>
  <si>
    <t>07/26/2006</t>
  </si>
  <si>
    <t>07/27/2006</t>
  </si>
  <si>
    <t>07/28/2006</t>
  </si>
  <si>
    <t>07/31/2006</t>
  </si>
  <si>
    <t>08/16/2006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</si>
  <si>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</si>
  <si>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</si>
  <si>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</si>
  <si>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</si>
  <si>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</si>
  <si>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</si>
  <si>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</si>
  <si>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</si>
  <si>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</si>
  <si>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</si>
  <si>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</si>
  <si>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</si>
  <si>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</si>
  <si>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</si>
  <si>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</si>
  <si>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</si>
  <si>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</si>
  <si>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</si>
  <si>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</si>
  <si>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</si>
  <si>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</si>
  <si>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</si>
  <si>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</si>
  <si>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</si>
  <si>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</si>
  <si>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</si>
  <si>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</si>
  <si>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</si>
  <si>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</si>
  <si>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</si>
  <si>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</si>
  <si>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</si>
  <si>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</si>
  <si>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</si>
  <si>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</si>
  <si>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</si>
  <si>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</si>
  <si>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</si>
  <si>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</si>
  <si>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</si>
  <si>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</si>
  <si>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</si>
  <si>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</si>
  <si>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</si>
  <si>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</si>
  <si>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</si>
  <si>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</si>
  <si>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</si>
  <si>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</si>
  <si>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</si>
  <si>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</si>
  <si>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</si>
  <si>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</si>
  <si>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</si>
  <si>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</si>
  <si>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</si>
  <si>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</si>
  <si>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</si>
  <si>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</si>
  <si>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</si>
  <si>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</si>
  <si>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</si>
  <si>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</si>
  <si>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</si>
  <si>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</si>
  <si>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</si>
  <si>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</si>
  <si>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</si>
  <si>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</si>
  <si>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</si>
  <si>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</si>
  <si>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</si>
  <si>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</si>
  <si>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</si>
  <si>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</si>
  <si>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</si>
  <si>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</si>
  <si>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</si>
  <si>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</si>
  <si>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</si>
  <si>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</si>
  <si>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</si>
  <si>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</si>
  <si>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</si>
  <si>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</si>
  <si>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</si>
  <si>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</si>
  <si>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</si>
  <si>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</si>
  <si>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</si>
  <si>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</si>
  <si>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</si>
  <si>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</si>
  <si>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</si>
  <si>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</si>
  <si>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</si>
  <si>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</si>
  <si>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</si>
  <si>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</si>
  <si>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</si>
  <si>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</si>
  <si>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</si>
  <si>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</si>
  <si>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</si>
  <si>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</si>
  <si>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</si>
  <si>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</si>
  <si>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</si>
  <si>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</si>
  <si>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</si>
  <si>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</si>
  <si>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</si>
  <si>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</si>
  <si>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</si>
  <si>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</si>
  <si>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</si>
  <si>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</si>
  <si>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</si>
  <si>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</si>
  <si>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</si>
  <si>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</si>
  <si>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</si>
  <si>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</si>
  <si>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</si>
  <si>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</si>
  <si>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</si>
  <si>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</si>
  <si>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</si>
  <si>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</si>
  <si>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</si>
  <si>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</si>
  <si>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</si>
  <si>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</si>
  <si>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</si>
  <si>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</si>
  <si>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</si>
  <si>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</si>
  <si>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</si>
  <si>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</si>
  <si>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</si>
  <si>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</si>
  <si>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</si>
  <si>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</si>
  <si>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</si>
  <si>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</si>
  <si>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</si>
  <si>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</si>
  <si>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</si>
  <si>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</si>
  <si>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</si>
  <si>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</si>
  <si>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</si>
  <si>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</si>
  <si>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</si>
  <si>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</si>
  <si>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</si>
  <si>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</si>
  <si>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</si>
  <si>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</si>
  <si>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</si>
  <si>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</si>
  <si>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</si>
  <si>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</si>
  <si>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</si>
  <si>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</si>
  <si>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</si>
  <si>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</si>
  <si>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</si>
  <si>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</si>
  <si>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</si>
  <si>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</si>
  <si>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</si>
  <si>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</si>
  <si>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</si>
  <si>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</si>
  <si>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</si>
  <si>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</si>
  <si>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</si>
  <si>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</si>
  <si>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</si>
  <si>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</si>
  <si>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</si>
  <si>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</si>
  <si>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</si>
  <si>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</si>
  <si>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</si>
  <si>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</si>
  <si>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</si>
  <si>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</si>
  <si>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</si>
  <si>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</si>
  <si>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</si>
  <si>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</si>
  <si>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</si>
  <si>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</si>
  <si>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</si>
  <si>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</si>
  <si>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</si>
  <si>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</si>
  <si>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</si>
  <si>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</si>
  <si>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</si>
  <si>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</si>
  <si>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</si>
  <si>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</si>
  <si>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</si>
  <si>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</si>
  <si>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</si>
  <si>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</si>
  <si>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</si>
  <si>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</si>
  <si>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</si>
  <si>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</si>
  <si>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</si>
  <si>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</si>
  <si>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</si>
  <si>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</si>
  <si>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</si>
  <si>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</si>
  <si>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</si>
  <si>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</si>
  <si>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</si>
  <si>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</si>
  <si>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</si>
  <si>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</si>
  <si>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</si>
  <si>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</si>
  <si>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</si>
  <si>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</si>
  <si>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</si>
  <si>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</si>
  <si>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</si>
  <si>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</si>
  <si>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</si>
  <si>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</si>
  <si>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</si>
  <si>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</si>
  <si>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</si>
  <si>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</si>
  <si>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</si>
  <si>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</si>
  <si>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</si>
  <si>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</si>
  <si>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</si>
  <si>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</si>
  <si>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</si>
  <si>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</si>
  <si>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</si>
  <si>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</si>
  <si>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</si>
  <si>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</si>
  <si>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</si>
  <si>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</si>
  <si>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</si>
  <si>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</si>
  <si>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</si>
  <si>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</si>
  <si>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</si>
  <si>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</si>
  <si>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</si>
  <si>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</si>
  <si>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</si>
  <si>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</si>
  <si>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</si>
  <si>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</si>
  <si>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</si>
  <si>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</si>
  <si>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</si>
  <si>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</si>
  <si>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</si>
  <si>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</si>
  <si>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</si>
  <si>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</si>
  <si>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</si>
  <si>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</si>
  <si>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</si>
  <si>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</si>
  <si>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</si>
  <si>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</si>
  <si>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</si>
  <si>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</si>
  <si>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</si>
  <si>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</si>
  <si>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</si>
  <si>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</si>
  <si>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</si>
  <si>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</si>
  <si>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</si>
  <si>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</si>
  <si>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</si>
  <si>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</si>
  <si>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</si>
  <si>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</si>
  <si>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</si>
  <si>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</si>
  <si>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</si>
  <si>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</si>
  <si>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</si>
  <si>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</si>
  <si>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</si>
  <si>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</si>
  <si>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</si>
  <si>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</si>
  <si>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</si>
  <si>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</si>
  <si>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</si>
  <si>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</si>
  <si>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</si>
  <si>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</si>
  <si>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</si>
  <si>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</si>
  <si>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</si>
  <si>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</si>
  <si>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</si>
  <si>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</si>
  <si>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</si>
  <si>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</si>
  <si>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</si>
  <si>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</si>
  <si>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</si>
  <si>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</si>
  <si>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</si>
  <si>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</si>
  <si>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</si>
  <si>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</si>
  <si>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</si>
  <si>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</si>
  <si>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</si>
  <si>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</si>
  <si>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</si>
  <si>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</si>
  <si>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</si>
  <si>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</si>
  <si>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</si>
  <si>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</si>
  <si>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</si>
  <si>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</si>
  <si>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</si>
  <si>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</si>
  <si>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</si>
  <si>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</si>
  <si>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</si>
  <si>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</si>
  <si>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</si>
  <si>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</si>
  <si>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</si>
  <si>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</si>
  <si>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</si>
  <si>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</si>
  <si>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</si>
  <si>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</si>
  <si>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</si>
  <si>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</si>
  <si>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</si>
  <si>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</si>
  <si>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</si>
  <si>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</si>
  <si>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</si>
  <si>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</si>
  <si>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</si>
  <si>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</si>
  <si>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</si>
  <si>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</si>
  <si>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</si>
  <si>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</si>
  <si>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</si>
  <si>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</si>
  <si>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</si>
  <si>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</si>
  <si>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</si>
  <si>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</si>
  <si>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</si>
  <si>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</si>
  <si>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</si>
  <si>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</si>
  <si>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</si>
  <si>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</si>
  <si>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</si>
  <si>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</si>
  <si>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</si>
  <si>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</si>
  <si>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</si>
  <si>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</si>
  <si>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</si>
  <si>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</si>
  <si>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</si>
  <si>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</si>
  <si>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</si>
  <si>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</si>
  <si>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</si>
  <si>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</si>
  <si>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</si>
  <si>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</si>
  <si>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</si>
  <si>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</si>
  <si>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</si>
  <si>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</si>
  <si>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</si>
  <si>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</si>
  <si>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</si>
  <si>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</si>
  <si>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</si>
  <si>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</si>
  <si>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</si>
  <si>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</si>
  <si>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</si>
  <si>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</si>
  <si>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</si>
  <si>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</si>
  <si>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</si>
  <si>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</si>
  <si>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</si>
  <si>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</si>
  <si>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</si>
  <si>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</si>
  <si>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</si>
  <si>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</si>
  <si>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</si>
  <si>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</si>
  <si>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</si>
  <si>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</si>
  <si>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</si>
  <si>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</si>
  <si>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</si>
  <si>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</si>
  <si>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</si>
  <si>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</si>
  <si>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</si>
  <si>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</si>
  <si>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</si>
  <si>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</si>
  <si>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</si>
  <si>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</si>
  <si>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</si>
  <si>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</si>
  <si>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</si>
  <si>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</si>
  <si>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</si>
  <si>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</si>
  <si>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</si>
  <si>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</si>
  <si>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</si>
  <si>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</si>
  <si>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</si>
  <si>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</si>
  <si>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</si>
  <si>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</si>
  <si>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</si>
  <si>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</si>
  <si>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</si>
  <si>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</si>
  <si>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</si>
  <si>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</si>
  <si>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</si>
  <si>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</si>
  <si>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</si>
  <si>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</si>
  <si>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</si>
  <si>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</si>
  <si>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</si>
  <si>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</si>
  <si>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</si>
  <si>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</si>
  <si>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</si>
  <si>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</si>
  <si>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</si>
  <si>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</si>
  <si>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</si>
  <si>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</si>
  <si>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</si>
  <si>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</si>
  <si>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</si>
  <si>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</si>
  <si>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</si>
  <si>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</si>
  <si>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</si>
  <si>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</si>
  <si>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</si>
  <si>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</si>
  <si>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</si>
  <si>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</si>
  <si>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</si>
  <si>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</si>
  <si>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</si>
  <si>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</si>
  <si>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</si>
  <si>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</si>
  <si>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</si>
  <si>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</si>
  <si>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</si>
  <si>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</si>
  <si>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</si>
  <si>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</si>
  <si>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</si>
  <si>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</si>
  <si>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</si>
  <si>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</si>
  <si>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</si>
  <si>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</si>
  <si>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</si>
  <si>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</si>
  <si>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</si>
  <si>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</si>
  <si>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</si>
  <si>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</si>
  <si>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</si>
  <si>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</si>
  <si>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</si>
  <si>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</si>
  <si>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</si>
  <si>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</si>
  <si>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</si>
  <si>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</si>
  <si>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</si>
  <si>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</si>
  <si>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</si>
  <si>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</si>
  <si>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</si>
  <si>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</si>
  <si>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</si>
  <si>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</si>
  <si>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</si>
  <si>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</si>
  <si>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</si>
  <si>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</si>
  <si>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</si>
  <si>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</si>
  <si>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</si>
  <si>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</si>
  <si>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</si>
  <si>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</si>
  <si>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</si>
  <si>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</si>
  <si>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</si>
  <si>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</si>
  <si>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</si>
  <si>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</si>
  <si>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</si>
  <si>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</si>
  <si>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</si>
  <si>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</si>
  <si>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</si>
  <si>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</si>
  <si>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</si>
  <si>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</si>
  <si>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</si>
  <si>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</si>
  <si>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</si>
  <si>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</si>
  <si>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</si>
  <si>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</si>
  <si>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</si>
  <si>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</si>
  <si>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</si>
  <si>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</si>
  <si>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</si>
  <si>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</si>
  <si>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</si>
  <si>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</si>
  <si>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</si>
  <si>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</si>
  <si>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</si>
  <si>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</si>
  <si>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</si>
  <si>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</si>
  <si>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</si>
  <si>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</si>
  <si>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</si>
  <si>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</si>
  <si>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</si>
  <si>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</si>
  <si>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</si>
  <si>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</si>
  <si>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</si>
  <si>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</si>
  <si>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</si>
  <si>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</si>
  <si>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</si>
  <si>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</si>
  <si>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</si>
  <si>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</si>
  <si>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</si>
  <si>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</si>
  <si>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</si>
  <si>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</si>
  <si>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</si>
  <si>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</si>
  <si>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</si>
  <si>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</si>
  <si>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</si>
  <si>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</si>
  <si>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</si>
  <si>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</si>
  <si>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</si>
  <si>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</si>
  <si>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</si>
  <si>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</si>
  <si>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</si>
  <si>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</si>
  <si>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</si>
  <si>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</si>
  <si>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</si>
  <si>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</si>
  <si>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</si>
  <si>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</si>
  <si>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</si>
  <si>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</si>
  <si>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</si>
  <si>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</si>
  <si>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</si>
  <si>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</si>
  <si>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</si>
  <si>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</si>
  <si>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</si>
  <si>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</si>
  <si>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</si>
  <si>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</si>
  <si>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</si>
  <si>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</si>
  <si>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</si>
  <si>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</si>
  <si>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</si>
  <si>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</si>
  <si>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</si>
  <si>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</si>
  <si>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</si>
  <si>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</si>
  <si>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</si>
  <si>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</si>
  <si>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</si>
  <si>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</si>
  <si>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</si>
  <si>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</si>
  <si>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</si>
  <si>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</si>
  <si>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</si>
  <si>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</si>
  <si>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</si>
  <si>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</si>
  <si>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</si>
  <si>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</si>
  <si>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</si>
  <si>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</si>
  <si>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</si>
  <si>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</si>
  <si>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</si>
  <si>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</si>
  <si>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</si>
  <si>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</si>
  <si>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</si>
  <si>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</si>
  <si>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</si>
  <si>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</si>
  <si>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</si>
  <si>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</si>
  <si>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</si>
  <si>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</si>
  <si>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</si>
  <si>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</si>
  <si>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</si>
  <si>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</si>
  <si>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</si>
  <si>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</si>
  <si>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</si>
  <si>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</si>
  <si>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</si>
  <si>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</si>
  <si>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</si>
  <si>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</si>
  <si>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</si>
  <si>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</si>
  <si>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</si>
  <si>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</si>
  <si>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</si>
  <si>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</si>
  <si>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</si>
  <si>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</si>
  <si>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</si>
  <si>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</si>
  <si>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</si>
  <si>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</si>
  <si>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</si>
  <si>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</si>
  <si>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</si>
  <si>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</si>
  <si>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</si>
  <si>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</si>
  <si>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</si>
  <si>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</si>
  <si>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</si>
  <si>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</si>
  <si>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</si>
  <si>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</si>
  <si>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</si>
  <si>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</si>
  <si>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</si>
  <si>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</si>
  <si>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</si>
  <si>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</si>
  <si>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</si>
  <si>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</si>
  <si>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</si>
  <si>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</si>
  <si>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</si>
  <si>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</si>
  <si>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</si>
  <si>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</si>
  <si>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</si>
  <si>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</si>
  <si>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</si>
  <si>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</si>
  <si>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</si>
  <si>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</si>
  <si>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</si>
  <si>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</si>
  <si>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</si>
  <si>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</si>
  <si>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</si>
  <si>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</si>
  <si>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</si>
  <si>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</si>
  <si>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</si>
  <si>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</si>
  <si>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</si>
  <si>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</si>
  <si>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</si>
  <si>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</si>
  <si>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</si>
  <si>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</si>
  <si>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</si>
  <si>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</si>
  <si>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</si>
  <si>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</si>
  <si>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</si>
  <si>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</si>
  <si>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</si>
  <si>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</si>
  <si>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</si>
  <si>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</si>
  <si>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</si>
  <si>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</si>
  <si>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</si>
  <si>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</si>
  <si>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</si>
  <si>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</si>
  <si>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</si>
  <si>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</si>
  <si>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</si>
  <si>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</si>
  <si>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</si>
  <si>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</si>
  <si>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</si>
  <si>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</si>
  <si>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</si>
  <si>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</si>
  <si>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</si>
  <si>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</si>
  <si>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</si>
  <si>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</si>
  <si>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</si>
  <si>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</si>
  <si>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</si>
  <si>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</si>
  <si>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</si>
  <si>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</si>
  <si>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</si>
  <si>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</si>
  <si>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</si>
  <si>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</si>
  <si>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</si>
  <si>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</si>
  <si>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</si>
  <si>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</si>
  <si>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</si>
  <si>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</si>
  <si>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</si>
  <si>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</si>
  <si>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</si>
  <si>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</si>
  <si>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</si>
  <si>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</si>
  <si>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</si>
  <si>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</si>
  <si>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</si>
  <si>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</si>
  <si>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</si>
  <si>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</si>
  <si>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</si>
  <si>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</si>
  <si>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</si>
  <si>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</si>
  <si>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</si>
  <si>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</si>
  <si>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</si>
  <si>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</si>
  <si>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</si>
  <si>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</si>
  <si>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</si>
  <si>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</si>
  <si>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</si>
  <si>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</si>
  <si>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</si>
  <si>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</si>
  <si>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</si>
  <si>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</si>
  <si>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</si>
  <si>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</si>
  <si>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</si>
  <si>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</si>
  <si>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</si>
  <si>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</si>
  <si>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</si>
  <si>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</si>
  <si>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</si>
  <si>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</si>
  <si>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</si>
  <si>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</si>
  <si>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</si>
  <si>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</si>
  <si>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</si>
  <si>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</si>
  <si>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</si>
  <si>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</si>
  <si>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</si>
  <si>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</si>
  <si>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</si>
  <si>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</si>
  <si>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</si>
  <si>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</si>
  <si>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</si>
  <si>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</si>
  <si>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</si>
  <si>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</si>
  <si>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</si>
  <si>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</si>
  <si>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</si>
  <si>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</si>
  <si>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</si>
  <si>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</si>
  <si>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</si>
  <si>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</si>
  <si>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</si>
  <si>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</si>
  <si>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</si>
  <si>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</si>
  <si>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</si>
  <si>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</si>
  <si>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</si>
  <si>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</si>
  <si>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</si>
  <si>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</si>
  <si>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</si>
  <si>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</si>
  <si>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</si>
  <si>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</si>
  <si>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</si>
  <si>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</si>
  <si>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</si>
  <si>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</si>
  <si>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</si>
  <si>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</si>
  <si>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</si>
  <si>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</si>
  <si>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</si>
  <si>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</si>
  <si>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</si>
  <si>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</si>
  <si>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</si>
  <si>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</si>
  <si>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</si>
  <si>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</si>
  <si>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</si>
  <si>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</si>
  <si>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</si>
  <si>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</si>
  <si>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</si>
  <si>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</si>
  <si>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</si>
  <si>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</si>
  <si>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</si>
  <si>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</si>
  <si>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</si>
  <si>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</si>
  <si>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</si>
  <si>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</si>
  <si>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</si>
  <si>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</si>
  <si>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</si>
  <si>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</si>
  <si>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</si>
  <si>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</si>
  <si>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</si>
  <si>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</si>
  <si>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</si>
  <si>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</si>
  <si>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</si>
  <si>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</si>
  <si>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</si>
  <si>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</si>
  <si>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</si>
  <si>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</si>
  <si>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</si>
  <si>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</si>
  <si>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</si>
  <si>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</si>
  <si>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</si>
  <si>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</si>
  <si>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</si>
  <si>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</si>
  <si>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</si>
  <si>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</si>
  <si>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</si>
  <si>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</si>
  <si>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</si>
  <si>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</si>
  <si>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</si>
  <si>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</si>
  <si>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</si>
  <si>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</si>
  <si>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</si>
  <si>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</si>
  <si>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</si>
  <si>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</si>
  <si>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</si>
  <si>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</si>
  <si>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</si>
  <si>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</si>
  <si>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</si>
  <si>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</si>
  <si>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</si>
  <si>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</si>
  <si>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</si>
  <si>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</si>
  <si>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</si>
  <si>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</si>
  <si>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</si>
  <si>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</si>
  <si>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</si>
  <si>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</si>
  <si>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</si>
  <si>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</si>
  <si>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</si>
  <si>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</si>
  <si>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</si>
  <si>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</si>
  <si>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</si>
  <si>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</si>
  <si>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</si>
  <si>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</si>
  <si>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</si>
  <si>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</si>
  <si>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</si>
  <si>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</si>
  <si>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</si>
  <si>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</si>
  <si>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</si>
  <si>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</si>
  <si>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</si>
  <si>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</si>
  <si>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</si>
  <si>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</si>
  <si>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</si>
  <si>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</si>
  <si>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</si>
  <si>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</si>
  <si>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</si>
  <si>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</si>
  <si>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</si>
  <si>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</si>
  <si>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</si>
  <si>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</si>
  <si>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</si>
  <si>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</si>
  <si>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</si>
  <si>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</si>
  <si>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</si>
  <si>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</si>
  <si>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</si>
  <si>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</si>
  <si>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</si>
  <si>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</si>
  <si>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</si>
  <si>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</si>
  <si>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</si>
  <si>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</si>
  <si>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</si>
  <si>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</si>
  <si>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</si>
  <si>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</si>
  <si>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</si>
  <si>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</si>
  <si>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</si>
  <si>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</si>
  <si>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</si>
  <si>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</si>
  <si>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</si>
  <si>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</si>
  <si>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</si>
  <si>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</si>
  <si>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</si>
  <si>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</si>
  <si>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</si>
  <si>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</si>
  <si>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</si>
  <si>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</si>
  <si>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</si>
  <si>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</si>
  <si>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</si>
  <si>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</si>
  <si>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</si>
  <si>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</si>
  <si>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</si>
  <si>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</si>
  <si>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</si>
  <si>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</si>
  <si>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</si>
  <si>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</si>
  <si>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</si>
  <si>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</si>
  <si>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</si>
  <si>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</si>
  <si>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</si>
  <si>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</si>
  <si>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</si>
  <si>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</si>
  <si>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</si>
  <si>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</si>
  <si>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</si>
  <si>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</si>
  <si>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</si>
  <si>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</si>
  <si>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</si>
  <si>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</si>
  <si>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</si>
  <si>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</si>
  <si>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</si>
  <si>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</si>
  <si>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</si>
  <si>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</si>
  <si>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</si>
  <si>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</si>
  <si>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</si>
  <si>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</si>
  <si>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</si>
  <si>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</si>
  <si>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</si>
  <si>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</si>
  <si>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</si>
  <si>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</si>
  <si>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</si>
  <si>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</si>
  <si>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</si>
  <si>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</si>
  <si>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</si>
  <si>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</si>
  <si>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</si>
  <si>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</si>
  <si>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</si>
  <si>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</si>
  <si>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</si>
  <si>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</si>
  <si>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</si>
  <si>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</si>
  <si>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</si>
  <si>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</si>
  <si>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</si>
  <si>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</si>
  <si>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</si>
  <si>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</si>
  <si>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</si>
  <si>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</si>
  <si>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</si>
  <si>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</si>
  <si>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</si>
  <si>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</si>
  <si>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</si>
  <si>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</si>
  <si>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</si>
  <si>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</si>
  <si>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</si>
  <si>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</si>
  <si>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</si>
  <si>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</si>
  <si>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</si>
  <si>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</si>
  <si>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</si>
  <si>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</si>
  <si>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</si>
  <si>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</si>
  <si>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</si>
  <si>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</si>
  <si>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</si>
  <si>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</si>
  <si>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</si>
  <si>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</si>
  <si>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</si>
  <si>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</si>
  <si>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</si>
  <si>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</si>
  <si>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</si>
  <si>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</si>
  <si>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</si>
  <si>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</si>
  <si>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</si>
  <si>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</si>
  <si>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</si>
  <si>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</si>
  <si>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</si>
  <si>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</si>
  <si>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</si>
  <si>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</si>
  <si>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</si>
  <si>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</si>
  <si>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</si>
  <si>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</si>
  <si>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</si>
  <si>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</si>
  <si>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</si>
  <si>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</si>
  <si>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</si>
  <si>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</si>
  <si>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</si>
  <si>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</si>
  <si>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</si>
  <si>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</si>
  <si>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</si>
  <si>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</si>
  <si>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</si>
  <si>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</si>
  <si>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</si>
  <si>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</si>
  <si>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</si>
  <si>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</si>
  <si>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</si>
  <si>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</si>
  <si>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</si>
  <si>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</si>
  <si>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</si>
  <si>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</si>
  <si>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</si>
  <si>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</si>
  <si>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</si>
  <si>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</si>
  <si>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</si>
  <si>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</si>
  <si>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</si>
  <si>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</si>
  <si>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</si>
  <si>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</si>
  <si>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</si>
  <si>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</si>
  <si>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</si>
  <si>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</si>
  <si>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</si>
  <si>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</si>
  <si>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</si>
  <si>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</si>
  <si>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</si>
  <si>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</si>
  <si>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</si>
  <si>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</si>
  <si>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</si>
  <si>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</si>
  <si>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</si>
  <si>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</si>
  <si>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</si>
  <si>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</si>
  <si>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</si>
  <si>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</si>
  <si>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</si>
  <si>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</si>
  <si>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</si>
  <si>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</si>
  <si>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</si>
  <si>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</si>
  <si>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</si>
  <si>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</si>
  <si>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</si>
  <si>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</si>
  <si>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</si>
  <si>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</si>
  <si>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</si>
  <si>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</si>
  <si>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</si>
  <si>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</si>
  <si>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</si>
  <si>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</si>
  <si>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</si>
  <si>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</si>
  <si>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</si>
  <si>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</si>
  <si>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</si>
  <si>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</si>
  <si>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</si>
  <si>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</si>
  <si>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</si>
  <si>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</si>
  <si>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</si>
  <si>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</si>
  <si>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</si>
  <si>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</si>
  <si>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</si>
  <si>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</si>
  <si>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</si>
  <si>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</si>
  <si>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</si>
  <si>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</si>
  <si>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</si>
  <si>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</si>
  <si>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</si>
  <si>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</si>
  <si>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</si>
  <si>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</si>
  <si>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</si>
  <si>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</si>
  <si>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</si>
  <si>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</si>
  <si>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</si>
  <si>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</si>
  <si>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</si>
  <si>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</si>
  <si>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</si>
  <si>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</si>
  <si>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</si>
  <si>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</si>
  <si>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</si>
  <si>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</si>
  <si>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</si>
  <si>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</si>
  <si>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</si>
  <si>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</si>
  <si>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</si>
  <si>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</si>
  <si>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</si>
  <si>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</si>
  <si>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</si>
  <si>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</si>
  <si>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</si>
  <si>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</si>
  <si>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</si>
  <si>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</si>
  <si>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</si>
  <si>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</si>
  <si>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</si>
  <si>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</si>
  <si>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</si>
  <si>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</si>
  <si>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</si>
  <si>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</si>
  <si>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</si>
  <si>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</si>
  <si>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</si>
  <si>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</si>
  <si>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</si>
  <si>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</si>
  <si>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</si>
  <si>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</si>
  <si>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</si>
  <si>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</si>
  <si>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</si>
  <si>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</si>
  <si>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</si>
  <si>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</si>
  <si>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</si>
  <si>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</si>
  <si>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</si>
  <si>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</si>
  <si>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</si>
  <si>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</si>
  <si>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</si>
  <si>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</si>
  <si>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</si>
  <si>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</si>
  <si>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</si>
  <si>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</si>
  <si>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</si>
  <si>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</si>
  <si>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</si>
  <si>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</si>
  <si>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</si>
  <si>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</si>
  <si>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</si>
  <si>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</si>
  <si>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</si>
  <si>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</si>
  <si>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</si>
  <si>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</si>
  <si>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</si>
  <si>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</si>
  <si>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</si>
  <si>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</si>
  <si>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</si>
  <si>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</si>
  <si>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</si>
  <si>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</si>
  <si>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</si>
  <si>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</si>
  <si>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</si>
  <si>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</si>
  <si>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</si>
  <si>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</si>
  <si>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</si>
  <si>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</si>
  <si>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</si>
  <si>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</si>
  <si>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</si>
  <si>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</si>
  <si>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</si>
  <si>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</si>
  <si>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</si>
  <si>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</si>
  <si>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</si>
  <si>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</si>
  <si>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</si>
  <si>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</si>
  <si>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</si>
  <si>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</si>
  <si>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</si>
  <si>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</si>
  <si>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</si>
  <si>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</si>
  <si>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</si>
  <si>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</si>
  <si>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</si>
  <si>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</si>
  <si>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</si>
  <si>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</si>
  <si>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</si>
  <si>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</si>
  <si>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</si>
  <si>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</si>
  <si>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</si>
  <si>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</si>
  <si>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</si>
  <si>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</si>
  <si>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</si>
  <si>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</si>
  <si>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</si>
  <si>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</si>
  <si>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</si>
  <si>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</si>
  <si>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</si>
  <si>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</si>
  <si>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</si>
  <si>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</si>
  <si>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</si>
  <si>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</si>
  <si>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</si>
  <si>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</si>
  <si>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</si>
  <si>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</si>
  <si>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</si>
  <si>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</si>
  <si>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</si>
  <si>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</si>
  <si>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</si>
  <si>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</si>
  <si>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</si>
  <si>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</si>
  <si>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</si>
  <si>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</si>
  <si>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</si>
  <si>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</si>
  <si>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</si>
  <si>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</si>
  <si>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</si>
  <si>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</si>
  <si>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</si>
  <si>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</si>
  <si>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</si>
  <si>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</si>
  <si>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</si>
  <si>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</si>
  <si>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</si>
  <si>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</si>
  <si>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</si>
  <si>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</si>
  <si>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</si>
  <si>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</si>
  <si>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</si>
  <si>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</si>
  <si>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</si>
  <si>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</si>
  <si>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</si>
  <si>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</si>
  <si>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</si>
  <si>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</si>
  <si>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</si>
  <si>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</si>
  <si>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</si>
  <si>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</si>
  <si>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</si>
  <si>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</si>
  <si>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</si>
  <si>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</si>
  <si>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</si>
  <si>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</si>
  <si>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</si>
  <si>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</si>
  <si>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</si>
  <si>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</si>
  <si>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</si>
  <si>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</si>
  <si>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</si>
  <si>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</si>
  <si>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</si>
  <si>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</si>
  <si>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</si>
  <si>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</si>
  <si>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</si>
  <si>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</si>
  <si>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</si>
  <si>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</si>
  <si>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</si>
  <si>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</si>
  <si>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</si>
  <si>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</si>
  <si>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</si>
  <si>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</si>
  <si>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</si>
  <si>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</si>
  <si>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</si>
  <si>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</si>
  <si>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</si>
  <si>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</si>
  <si>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</si>
  <si>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</si>
  <si>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</si>
  <si>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</si>
  <si>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</si>
  <si>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</si>
  <si>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</si>
  <si>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</si>
  <si>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</si>
  <si>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</si>
  <si>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</si>
  <si>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</si>
  <si>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</si>
  <si>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</si>
  <si>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</si>
  <si>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</si>
  <si>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</si>
  <si>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</si>
  <si>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</si>
  <si>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</si>
  <si>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</si>
  <si>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</si>
  <si>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</si>
  <si>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</si>
  <si>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</si>
  <si>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</si>
  <si>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</si>
  <si>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</si>
  <si>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</si>
  <si>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</si>
  <si>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</si>
  <si>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</si>
  <si>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</si>
  <si>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</si>
  <si>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</si>
  <si>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</si>
  <si>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</si>
  <si>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</si>
  <si>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</si>
  <si>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</si>
  <si>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</si>
  <si>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</si>
  <si>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</si>
  <si>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</si>
  <si>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</si>
  <si>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</si>
  <si>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</si>
  <si>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</si>
  <si>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</si>
  <si>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</si>
  <si>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</si>
  <si>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</si>
  <si>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</si>
  <si>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</si>
  <si>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</si>
  <si>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</si>
  <si>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</si>
  <si>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</si>
  <si>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</si>
  <si>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</si>
  <si>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</si>
  <si>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</si>
  <si>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</si>
  <si>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</si>
  <si>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</si>
  <si>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</si>
  <si>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</si>
  <si>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</si>
  <si>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</si>
  <si>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</si>
  <si>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</si>
  <si>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</si>
  <si>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</si>
  <si>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</si>
  <si>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</si>
  <si>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</si>
  <si>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</si>
  <si>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</si>
  <si>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</si>
  <si>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</si>
  <si>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</si>
  <si>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</si>
  <si>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</si>
  <si>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</si>
  <si>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</si>
  <si>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</si>
  <si>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</si>
  <si>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</si>
  <si>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</si>
  <si>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</si>
  <si>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</si>
  <si>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</si>
  <si>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</si>
  <si>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</si>
  <si>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</si>
  <si>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</si>
  <si>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</si>
  <si>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</si>
  <si>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</si>
  <si>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</si>
  <si>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</si>
  <si>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</si>
  <si>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</si>
  <si>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</si>
  <si>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</si>
  <si>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</si>
  <si>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</si>
  <si>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</si>
  <si>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</si>
  <si>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</si>
  <si>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</si>
  <si>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</si>
  <si>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</si>
  <si>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</si>
  <si>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</si>
  <si>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</si>
  <si>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</si>
  <si>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</si>
  <si>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</si>
  <si>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</si>
  <si>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</si>
  <si>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</si>
  <si>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</si>
  <si>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</si>
  <si>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</si>
  <si>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</si>
  <si>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</si>
  <si>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</si>
  <si>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</si>
  <si>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</si>
  <si>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</si>
  <si>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</si>
  <si>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</si>
  <si>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</si>
  <si>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</si>
  <si>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</si>
  <si>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</si>
  <si>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</si>
  <si>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</si>
  <si>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</si>
  <si>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</si>
  <si>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</si>
  <si>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</si>
  <si>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</si>
  <si>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</si>
  <si>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</si>
  <si>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</si>
  <si>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</si>
  <si>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</si>
  <si>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</si>
  <si>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</si>
  <si>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</si>
  <si>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</si>
  <si>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</si>
  <si>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</si>
  <si>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</si>
  <si>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</si>
  <si>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</si>
  <si>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</si>
  <si>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</si>
  <si>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</si>
  <si>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</si>
  <si>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</si>
  <si>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</si>
  <si>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</si>
  <si>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</si>
  <si>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</si>
  <si>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</si>
  <si>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</si>
  <si>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</si>
  <si>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</si>
  <si>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</si>
  <si>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</si>
  <si>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</si>
  <si>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</si>
  <si>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</si>
  <si>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</si>
  <si>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</si>
  <si>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</si>
  <si>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</si>
  <si>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</si>
  <si>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</si>
  <si>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</si>
  <si>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</si>
  <si>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</si>
  <si>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</si>
  <si>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</si>
  <si>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</si>
  <si>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</si>
  <si>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</si>
  <si>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</si>
  <si>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</si>
  <si>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</si>
  <si>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</si>
  <si>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</si>
  <si>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</si>
  <si>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</si>
  <si>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</si>
  <si>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</si>
  <si>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</si>
  <si>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</si>
  <si>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</si>
  <si>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</si>
  <si>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</si>
  <si>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</si>
  <si>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</si>
  <si>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</si>
  <si>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</si>
  <si>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</si>
  <si>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</si>
  <si>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</si>
  <si>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</si>
  <si>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</si>
  <si>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</si>
  <si>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</si>
  <si>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</si>
  <si>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</si>
  <si>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</si>
  <si>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</si>
  <si>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</si>
  <si>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</si>
  <si>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</si>
  <si>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</si>
  <si>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</si>
  <si>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</si>
  <si>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</si>
  <si>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</si>
  <si>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</si>
  <si>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</si>
  <si>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</si>
  <si>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</si>
  <si>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</si>
  <si>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</si>
  <si>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</si>
  <si>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</si>
  <si>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</si>
  <si>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</si>
  <si>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</si>
  <si>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</si>
  <si>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</si>
  <si>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</si>
  <si>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</si>
  <si>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</si>
  <si>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</si>
  <si>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</si>
  <si>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</si>
  <si>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</si>
  <si>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</si>
  <si>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</si>
  <si>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</si>
  <si>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</si>
  <si>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</si>
  <si>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</si>
  <si>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</si>
  <si>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</si>
  <si>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</si>
  <si>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</si>
  <si>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</si>
  <si>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</si>
  <si>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</si>
  <si>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</si>
  <si>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</si>
  <si>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</si>
  <si>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</si>
  <si>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</si>
  <si>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</si>
  <si>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</si>
  <si>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</si>
  <si>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</si>
  <si>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</si>
  <si>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</si>
  <si>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</si>
  <si>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</si>
  <si>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</si>
  <si>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</si>
  <si>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</si>
  <si>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</si>
  <si>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</si>
  <si>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</si>
  <si>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</si>
  <si>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</si>
  <si>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</si>
  <si>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</si>
  <si>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</si>
  <si>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</si>
  <si>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</si>
  <si>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</si>
  <si>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</si>
  <si>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</si>
  <si>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</si>
  <si>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</si>
  <si>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</si>
  <si>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</si>
  <si>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</si>
  <si>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</si>
  <si>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</si>
  <si>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</si>
  <si>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</si>
  <si>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</si>
  <si>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</si>
  <si>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</si>
  <si>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</si>
  <si>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</si>
  <si>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</si>
  <si>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</si>
  <si>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</si>
  <si>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</si>
  <si>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</si>
  <si>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</si>
  <si>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</si>
  <si>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</si>
  <si>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</si>
  <si>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</si>
  <si>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</si>
  <si>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</si>
  <si>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</si>
  <si>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</si>
  <si>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</si>
  <si>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</si>
  <si>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</si>
  <si>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</si>
  <si>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</si>
  <si>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</si>
  <si>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</si>
  <si>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</si>
  <si>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</si>
  <si>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</si>
  <si>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</si>
  <si>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</si>
  <si>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</si>
  <si>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</si>
  <si>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</si>
  <si>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</si>
  <si>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</si>
  <si>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</si>
  <si>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</si>
  <si>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</si>
  <si>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</si>
  <si>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</si>
  <si>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</si>
  <si>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</si>
  <si>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</si>
  <si>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</si>
  <si>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</si>
  <si>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</si>
  <si>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</si>
  <si>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</si>
  <si>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</si>
  <si>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</si>
  <si>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</si>
  <si>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</si>
  <si>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</si>
  <si>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</si>
  <si>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</si>
  <si>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</si>
  <si>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</si>
  <si>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</si>
  <si>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</si>
  <si>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</si>
  <si>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</si>
  <si>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</si>
  <si>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</si>
  <si>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</si>
  <si>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</si>
  <si>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</si>
  <si>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</si>
  <si>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</si>
  <si>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</si>
  <si>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</si>
  <si>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</si>
  <si>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</si>
  <si>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</si>
  <si>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</si>
  <si>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</si>
  <si>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</si>
  <si>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</si>
  <si>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</si>
  <si>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</si>
  <si>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</si>
  <si>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</si>
  <si>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</si>
  <si>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</si>
  <si>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</si>
  <si>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</si>
  <si>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</si>
  <si>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</si>
  <si>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</si>
  <si>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</si>
  <si>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</si>
  <si>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</si>
  <si>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</si>
  <si>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</si>
  <si>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</si>
  <si>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</si>
  <si>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</si>
  <si>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</si>
  <si>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</si>
  <si>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</si>
  <si>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</si>
  <si>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</si>
  <si>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</si>
  <si>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</si>
  <si>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</si>
  <si>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</si>
  <si>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</si>
  <si>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</si>
  <si>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</si>
  <si>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</si>
  <si>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</si>
  <si>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</si>
  <si>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</si>
  <si>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</si>
  <si>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</si>
  <si>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</si>
  <si>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</si>
  <si>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</si>
  <si>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</si>
  <si>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</si>
  <si>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</si>
  <si>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</si>
  <si>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</si>
  <si>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</si>
  <si>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</si>
  <si>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</si>
  <si>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</si>
  <si>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</si>
  <si>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</si>
  <si>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</si>
  <si>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</si>
  <si>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</si>
  <si>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</si>
  <si>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</si>
  <si>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</si>
  <si>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</si>
  <si>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</si>
  <si>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</si>
  <si>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</si>
  <si>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</si>
  <si>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</si>
  <si>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</si>
  <si>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</si>
  <si>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</si>
  <si>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</si>
  <si>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</si>
  <si>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</si>
  <si>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</si>
  <si>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</si>
  <si>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</si>
  <si>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</si>
  <si>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</si>
  <si>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</si>
  <si>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</si>
  <si>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</si>
  <si>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</si>
  <si>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</si>
  <si>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</si>
  <si>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</si>
  <si>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</si>
  <si>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</si>
  <si>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</si>
  <si>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</si>
  <si>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</si>
  <si>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</si>
  <si>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</si>
  <si>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</si>
  <si>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</si>
  <si>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</si>
  <si>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</si>
  <si>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</si>
  <si>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</si>
  <si>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</si>
  <si>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</si>
  <si>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</si>
  <si>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</si>
  <si>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</si>
  <si>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</si>
  <si>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</si>
  <si>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</si>
  <si>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</si>
  <si>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</si>
  <si>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</si>
  <si>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</si>
  <si>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</si>
  <si>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</si>
  <si>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</si>
  <si>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</si>
  <si>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</si>
  <si>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</si>
  <si>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</si>
  <si>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</si>
  <si>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</si>
  <si>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</si>
  <si>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</si>
  <si>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</si>
  <si>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</si>
  <si>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</si>
  <si>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</si>
  <si>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</si>
  <si>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</si>
  <si>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</si>
  <si>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</si>
  <si>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</si>
  <si>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</si>
  <si>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</si>
  <si>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</si>
  <si>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</si>
  <si>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</si>
  <si>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</si>
  <si>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</si>
  <si>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</si>
  <si>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</si>
  <si>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</si>
  <si>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</si>
  <si>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</si>
  <si>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</si>
  <si>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</si>
  <si>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</si>
  <si>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</si>
  <si>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</si>
  <si>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</si>
  <si>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</si>
  <si>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</si>
  <si>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</si>
  <si>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</si>
  <si>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</si>
  <si>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</si>
  <si>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</si>
  <si>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</si>
  <si>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</si>
  <si>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</si>
  <si>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</si>
  <si>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</si>
  <si>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</si>
  <si>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</si>
  <si>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</si>
  <si>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</si>
  <si>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</si>
  <si>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</si>
  <si>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</si>
  <si>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</si>
  <si>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</si>
  <si>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</si>
  <si>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</si>
  <si>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</si>
  <si>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</si>
  <si>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</si>
  <si>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</si>
  <si>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</si>
  <si>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</si>
  <si>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</si>
  <si>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</si>
  <si>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</si>
  <si>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</si>
  <si>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</si>
  <si>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</si>
  <si>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</si>
  <si>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</si>
  <si>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</si>
  <si>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</si>
  <si>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</si>
  <si>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</si>
  <si>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</si>
  <si>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</si>
  <si>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</si>
  <si>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</si>
  <si>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</si>
  <si>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</si>
  <si>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</si>
  <si>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</si>
  <si>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</si>
  <si>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</si>
  <si>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</si>
  <si>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</si>
  <si>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</si>
  <si>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</si>
  <si>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</si>
  <si>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</si>
  <si>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</si>
  <si>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</si>
  <si>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</si>
  <si>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</si>
  <si>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</si>
  <si>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</si>
  <si>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</si>
  <si>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</si>
  <si>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</si>
  <si>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</si>
  <si>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</si>
  <si>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</si>
  <si>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</si>
  <si>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</si>
  <si>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</si>
  <si>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</si>
  <si>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</si>
  <si>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</si>
  <si>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</si>
  <si>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</si>
  <si>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</si>
  <si>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</si>
  <si>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</si>
  <si>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</si>
  <si>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</si>
  <si>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</si>
  <si>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</si>
  <si>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</si>
  <si>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</si>
  <si>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</si>
  <si>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</si>
  <si>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</si>
  <si>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</si>
  <si>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</si>
  <si>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</si>
  <si>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</si>
  <si>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</si>
  <si>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</si>
  <si>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</si>
  <si>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</si>
  <si>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</si>
  <si>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</si>
  <si>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</si>
  <si>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</si>
  <si>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</si>
  <si>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</si>
  <si>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</si>
  <si>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</si>
  <si>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</si>
  <si>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</si>
  <si>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</si>
  <si>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</si>
  <si>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</si>
  <si>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</si>
  <si>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</si>
  <si>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</si>
  <si>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</si>
  <si>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</si>
  <si>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</si>
  <si>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</si>
  <si>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</si>
  <si>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</si>
  <si>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</si>
  <si>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</si>
  <si>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</si>
  <si>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</si>
  <si>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</si>
  <si>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</si>
  <si>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</si>
  <si>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</si>
  <si>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</si>
  <si>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</si>
  <si>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</si>
  <si>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</si>
  <si>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</si>
  <si>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</si>
  <si>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</si>
  <si>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</si>
  <si>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</si>
  <si>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</si>
  <si>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</si>
  <si>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</si>
  <si>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</si>
  <si>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</si>
  <si>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</si>
  <si>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</si>
  <si>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</si>
  <si>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</si>
  <si>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</si>
  <si>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</si>
  <si>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</si>
  <si>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</si>
  <si>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</si>
  <si>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</si>
  <si>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</si>
  <si>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</si>
  <si>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</si>
  <si>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</si>
  <si>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</si>
  <si>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</si>
  <si>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</si>
  <si>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</si>
  <si>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</si>
  <si>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</si>
  <si>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</si>
  <si>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</si>
  <si>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</si>
  <si>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</si>
  <si>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</si>
  <si>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</si>
  <si>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</si>
  <si>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</si>
  <si>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</si>
  <si>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</si>
  <si>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</si>
  <si>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</si>
  <si>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</si>
  <si>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</si>
  <si>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</si>
  <si>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</si>
  <si>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</si>
  <si>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</si>
  <si>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</si>
  <si>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</si>
  <si>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</si>
  <si>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</si>
  <si>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</si>
  <si>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</si>
  <si>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</si>
  <si>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</si>
  <si>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</si>
  <si>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</si>
  <si>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</si>
  <si>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</si>
  <si>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</si>
  <si>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</si>
  <si>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</si>
  <si>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</si>
  <si>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</si>
  <si>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</si>
  <si>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</si>
  <si>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</si>
  <si>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</si>
  <si>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</si>
  <si>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</si>
  <si>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</si>
  <si>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</si>
  <si>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</si>
  <si>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</si>
  <si>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</si>
  <si>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</si>
  <si>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</si>
  <si>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</si>
  <si>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</si>
  <si>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</si>
  <si>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</si>
  <si>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</si>
  <si>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</si>
  <si>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</si>
  <si>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</si>
  <si>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</si>
  <si>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</si>
  <si>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</si>
  <si>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</si>
  <si>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</si>
  <si>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</si>
  <si>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</si>
  <si>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</si>
  <si>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</si>
  <si>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</si>
  <si>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</si>
  <si>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</si>
  <si>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</si>
  <si>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</si>
  <si>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</si>
  <si>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</si>
  <si>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</si>
  <si>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</si>
  <si>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</si>
  <si>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</si>
  <si>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</si>
  <si>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</si>
  <si>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</si>
  <si>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</si>
  <si>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</si>
  <si>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</si>
  <si>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</si>
  <si>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</si>
  <si>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</si>
  <si>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</si>
  <si>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</si>
  <si>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</si>
  <si>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</si>
  <si>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</si>
  <si>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</si>
  <si>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</si>
  <si>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</si>
  <si>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</si>
  <si>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</si>
  <si>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</si>
  <si>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</si>
  <si>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</si>
  <si>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</si>
  <si>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</si>
  <si>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</si>
  <si>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</si>
  <si>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</si>
  <si>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</si>
  <si>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</si>
  <si>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</si>
  <si>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</si>
  <si>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</si>
  <si>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</si>
  <si>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</si>
  <si>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</si>
  <si>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</si>
  <si>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</si>
  <si>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</si>
  <si>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</si>
  <si>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</si>
  <si>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</si>
  <si>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</si>
  <si>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</si>
  <si>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</si>
  <si>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</si>
  <si>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</si>
  <si>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</si>
  <si>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</si>
  <si>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</si>
  <si>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</si>
  <si>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</si>
  <si>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</si>
  <si>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</si>
  <si>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</si>
  <si>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</si>
  <si>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</si>
  <si>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</si>
  <si>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</si>
  <si>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</si>
  <si>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</si>
  <si>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</si>
  <si>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</si>
  <si>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</si>
  <si>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</si>
  <si>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</si>
  <si>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</si>
  <si>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</si>
  <si>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</si>
  <si>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</si>
  <si>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</si>
  <si>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</si>
  <si>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</si>
  <si>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</si>
  <si>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</si>
  <si>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</si>
  <si>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</si>
  <si>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</si>
  <si>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</si>
  <si>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</si>
  <si>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</si>
  <si>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</si>
  <si>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</si>
  <si>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</si>
  <si>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</si>
  <si>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</si>
  <si>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</si>
  <si>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</si>
  <si>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</si>
  <si>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</si>
  <si>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</si>
  <si>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</si>
  <si>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</si>
  <si>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</si>
  <si>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</si>
  <si>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</si>
  <si>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</si>
  <si>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</si>
  <si>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</si>
  <si>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</si>
  <si>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</si>
  <si>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</si>
  <si>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</si>
  <si>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</si>
  <si>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</si>
  <si>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</si>
  <si>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</si>
  <si>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</si>
  <si>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</si>
  <si>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</si>
  <si>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</si>
  <si>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</si>
  <si>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</si>
  <si>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</si>
  <si>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</si>
  <si>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</si>
  <si>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</si>
  <si>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</si>
  <si>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</si>
  <si>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</si>
  <si>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</si>
  <si>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</si>
  <si>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</si>
  <si>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</si>
  <si>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</si>
  <si>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</si>
  <si>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</si>
  <si>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</si>
  <si>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</si>
  <si>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</si>
  <si>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</si>
  <si>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</si>
  <si>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</si>
  <si>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</si>
  <si>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</si>
  <si>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</si>
  <si>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</si>
  <si>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</si>
  <si>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</si>
  <si>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</si>
  <si>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</si>
  <si>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</si>
  <si>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</si>
  <si>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</si>
  <si>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</si>
  <si>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</si>
  <si>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</si>
  <si>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</si>
  <si>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</si>
  <si>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</si>
  <si>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</si>
  <si>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</si>
  <si>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</si>
  <si>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</si>
  <si>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</si>
  <si>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</si>
  <si>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</si>
  <si>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</si>
  <si>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</si>
  <si>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</si>
  <si>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</si>
  <si>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</si>
  <si>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</si>
  <si>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</si>
  <si>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</si>
  <si>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</si>
  <si>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</si>
  <si>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</si>
  <si>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</si>
  <si>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</si>
  <si>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</si>
  <si>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</si>
  <si>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</si>
  <si>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</si>
  <si>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</si>
  <si>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</si>
  <si>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</si>
  <si>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</si>
  <si>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</si>
  <si>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</si>
  <si>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</si>
  <si>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</si>
  <si>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</si>
  <si>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</si>
  <si>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</si>
  <si>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</si>
  <si>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</si>
  <si>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</si>
  <si>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</si>
  <si>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</si>
  <si>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</si>
  <si>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</si>
  <si>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</si>
  <si>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</si>
  <si>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</si>
  <si>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</si>
  <si>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</si>
  <si>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</si>
  <si>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</si>
  <si>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</si>
  <si>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</si>
  <si>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</si>
  <si>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</si>
  <si>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</si>
  <si>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</si>
  <si>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</si>
  <si>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</si>
  <si>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</si>
  <si>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</si>
  <si>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</si>
  <si>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</si>
  <si>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</si>
  <si>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</si>
  <si>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</si>
  <si>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</si>
  <si>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</si>
  <si>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</si>
  <si>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</si>
  <si>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</si>
  <si>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</si>
  <si>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</si>
  <si>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</si>
  <si>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</si>
  <si>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</si>
  <si>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</si>
  <si>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</si>
  <si>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</si>
  <si>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</si>
  <si>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</si>
  <si>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</si>
  <si>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</si>
  <si>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</si>
  <si>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</si>
  <si>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</si>
  <si>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</si>
  <si>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</si>
  <si>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</si>
  <si>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</si>
  <si>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</si>
  <si>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</si>
  <si>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</si>
  <si>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</si>
  <si>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</si>
  <si>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</si>
  <si>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</si>
  <si>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</si>
  <si>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</si>
  <si>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</si>
  <si>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</si>
  <si>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</si>
  <si>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</si>
  <si>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</si>
  <si>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</si>
  <si>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</si>
  <si>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</si>
  <si>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</si>
  <si>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</si>
  <si>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</si>
  <si>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</si>
  <si>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</si>
  <si>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</si>
  <si>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</si>
  <si>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</si>
  <si>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</si>
  <si>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</si>
  <si>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</si>
  <si>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</si>
  <si>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</si>
  <si>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</si>
  <si>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</si>
  <si>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</si>
  <si>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</si>
  <si>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</si>
  <si>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</si>
  <si>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</si>
  <si>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</si>
  <si>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</si>
  <si>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</si>
  <si>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</si>
  <si>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</si>
  <si>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</si>
  <si>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</si>
  <si>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</si>
  <si>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</si>
  <si>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</si>
  <si>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</si>
  <si>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</si>
  <si>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</si>
  <si>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</si>
  <si>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</si>
  <si>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</si>
  <si>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</si>
  <si>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</si>
  <si>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</si>
  <si>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</si>
  <si>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</si>
  <si>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</si>
  <si>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</si>
  <si>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</si>
  <si>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</si>
  <si>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</si>
  <si>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</si>
  <si>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</si>
  <si>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</si>
  <si>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</si>
  <si>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</si>
  <si>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</si>
  <si>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</si>
  <si>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</si>
  <si>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</si>
  <si>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</si>
  <si>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</si>
  <si>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</si>
  <si>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</si>
  <si>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</si>
  <si>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</si>
  <si>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</si>
  <si>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</si>
  <si>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</si>
  <si>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</si>
  <si>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</si>
  <si>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</si>
  <si>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</si>
  <si>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</si>
  <si>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</si>
  <si>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</si>
  <si>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</si>
  <si>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</si>
  <si>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</si>
  <si>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</si>
  <si>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</si>
  <si>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</si>
  <si>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</si>
  <si>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</si>
  <si>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</si>
  <si>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</si>
  <si>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</si>
  <si>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</si>
  <si>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</si>
  <si>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</si>
  <si>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</si>
  <si>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</si>
  <si>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</si>
  <si>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</si>
  <si>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</si>
  <si>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</si>
  <si>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</si>
  <si>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</si>
  <si>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</si>
  <si>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</si>
  <si>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</si>
  <si>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</si>
  <si>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</si>
  <si>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</si>
  <si>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</si>
  <si>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</si>
  <si>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</si>
  <si>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</si>
  <si>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</si>
  <si>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</si>
  <si>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</si>
  <si>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</si>
  <si>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</si>
  <si>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</si>
  <si>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</si>
  <si>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</si>
  <si>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</si>
  <si>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</si>
  <si>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</si>
  <si>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</si>
  <si>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</si>
  <si>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</si>
  <si>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</si>
  <si>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</si>
  <si>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</si>
  <si>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</si>
  <si>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</si>
  <si>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</si>
  <si>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</si>
  <si>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</si>
  <si>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</si>
  <si>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</si>
  <si>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</si>
  <si>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</si>
  <si>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</si>
  <si>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</si>
  <si>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</si>
  <si>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</si>
  <si>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</si>
  <si>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</si>
  <si>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</si>
  <si>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</si>
  <si>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</si>
  <si>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</si>
  <si>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</si>
  <si>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</si>
  <si>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</si>
  <si>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</si>
  <si>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</si>
  <si>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</si>
  <si>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</si>
  <si>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</si>
  <si>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</si>
  <si>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</si>
  <si>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</si>
  <si>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</si>
  <si>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</si>
  <si>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</si>
  <si>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</si>
  <si>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</si>
  <si>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</si>
  <si>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</si>
  <si>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</si>
  <si>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</si>
  <si>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</si>
  <si>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</si>
  <si>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</si>
  <si>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</si>
  <si>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</si>
  <si>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</si>
  <si>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</si>
  <si>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</si>
  <si>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</si>
  <si>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</si>
  <si>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</si>
  <si>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</si>
  <si>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</si>
  <si>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</si>
  <si>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</si>
  <si>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</si>
  <si>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</si>
  <si>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</si>
  <si>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</si>
  <si>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</si>
  <si>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</si>
  <si>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</si>
  <si>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</si>
  <si>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</si>
  <si>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</si>
  <si>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</si>
  <si>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</si>
  <si>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</si>
  <si>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</si>
  <si>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</si>
  <si>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</si>
  <si>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</si>
  <si>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</si>
  <si>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</si>
  <si>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</si>
  <si>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</si>
  <si>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</si>
  <si>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</si>
  <si>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</si>
  <si>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</si>
  <si>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</si>
  <si>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</si>
  <si>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</si>
  <si>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</si>
  <si>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</si>
  <si>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</si>
  <si>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</si>
  <si>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</si>
  <si>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</si>
  <si>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</si>
  <si>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</si>
  <si>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</si>
  <si>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</si>
  <si>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</si>
  <si>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</si>
  <si>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</si>
  <si>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</si>
  <si>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</si>
  <si>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</si>
  <si>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</si>
  <si>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</si>
  <si>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</si>
  <si>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</si>
  <si>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</si>
  <si>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</si>
  <si>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</si>
  <si>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</si>
  <si>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</si>
  <si>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</si>
  <si>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</si>
  <si>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</si>
  <si>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</si>
  <si>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</si>
  <si>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</si>
  <si>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</si>
  <si>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</si>
  <si>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</si>
  <si>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</si>
  <si>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</si>
  <si>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</si>
  <si>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</si>
  <si>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</si>
  <si>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</si>
  <si>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</si>
  <si>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</si>
  <si>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</si>
  <si>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</si>
  <si>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</si>
  <si>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</si>
  <si>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</si>
  <si>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</si>
  <si>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</si>
  <si>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</si>
  <si>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</si>
  <si>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</si>
  <si>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</si>
  <si>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</si>
  <si>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</si>
  <si>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</si>
  <si>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</si>
  <si>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</si>
  <si>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</si>
  <si>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</si>
  <si>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</si>
  <si>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</si>
  <si>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</si>
  <si>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</si>
  <si>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</si>
  <si>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</si>
  <si>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</si>
  <si>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</si>
  <si>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</si>
  <si>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</si>
  <si>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</si>
  <si>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</si>
  <si>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</si>
  <si>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</si>
  <si>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</si>
  <si>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</si>
  <si>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</si>
  <si>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</si>
  <si>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</si>
  <si>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</si>
  <si>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</si>
  <si>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</si>
  <si>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</si>
  <si>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</si>
  <si>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</si>
  <si>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</si>
  <si>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</si>
  <si>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</si>
  <si>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</si>
  <si>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</si>
  <si>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</si>
  <si>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</si>
  <si>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</si>
  <si>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</si>
  <si>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</si>
  <si>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</si>
  <si>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</si>
  <si>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</si>
  <si>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</si>
  <si>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</si>
  <si>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</si>
  <si>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</si>
  <si>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</si>
  <si>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</si>
  <si>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</si>
  <si>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</si>
  <si>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</si>
  <si>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</si>
  <si>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</si>
  <si>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</si>
  <si>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</si>
  <si>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</si>
  <si>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</si>
  <si>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</si>
  <si>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</si>
  <si>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</si>
  <si>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</si>
  <si>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</si>
  <si>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</si>
  <si>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</si>
  <si>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</si>
  <si>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</si>
  <si>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</si>
  <si>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</si>
  <si>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</si>
  <si>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</si>
  <si>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</si>
  <si>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</si>
  <si>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</si>
  <si>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</si>
  <si>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</si>
  <si>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</si>
  <si>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</si>
  <si>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</si>
  <si>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</si>
  <si>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</si>
  <si>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</si>
  <si>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</si>
  <si>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</si>
  <si>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</si>
  <si>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</si>
  <si>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</si>
  <si>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</si>
  <si>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</si>
  <si>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</si>
  <si>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</si>
  <si>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</si>
  <si>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</si>
  <si>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</si>
  <si>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</si>
  <si>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</si>
  <si>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</si>
  <si>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</si>
  <si>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</si>
  <si>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</si>
  <si>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</si>
  <si>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</si>
  <si>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</si>
  <si>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</si>
  <si>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</si>
  <si>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</si>
  <si>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</si>
  <si>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</si>
  <si>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</si>
  <si>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</si>
  <si>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</si>
  <si>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</si>
  <si>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</si>
  <si>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</si>
  <si>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</si>
  <si>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</si>
  <si>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</si>
  <si>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</si>
  <si>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</si>
  <si>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OPEN</t>
  </si>
  <si>
    <t>HIGH</t>
  </si>
  <si>
    <t>LOW</t>
  </si>
  <si>
    <t>CLOSE</t>
  </si>
  <si>
    <t>05/13/2013</t>
  </si>
  <si>
    <t>VIX</t>
  </si>
  <si>
    <t>NVDA</t>
  </si>
  <si>
    <t>Log_ret VIX</t>
  </si>
  <si>
    <t>Log_ret NVDA</t>
  </si>
  <si>
    <t>T-Bill</t>
  </si>
  <si>
    <t>log_ret T-Bill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</si>
</sst>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  <numFmt numFmtId="170" formatCode="0.0000"/>
  </numFmts>
  <fonts count="5" x14ac:knownFonts="1"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Border="0" applyAlignment="0"/>
    <xf numFmtId="0" fontId="1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5" xfId="0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8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6" fontId="2" fillId="0" borderId="9" xfId="0" applyNumberFormat="1" applyFont="1" applyBorder="1" applyAlignment="1">
      <alignment horizontal="right"/>
    </xf>
    <xf numFmtId="167" fontId="2" fillId="0" borderId="10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167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168" fontId="2" fillId="0" borderId="9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8" fontId="2" fillId="0" borderId="12" xfId="0" applyNumberFormat="1" applyFont="1" applyBorder="1" applyAlignment="1">
      <alignment horizontal="right"/>
    </xf>
    <xf numFmtId="49" fontId="2" fillId="0" borderId="13" xfId="0" applyNumberFormat="1" applyFont="1" applyBorder="1" applyAlignment="1">
      <alignment horizontal="right"/>
    </xf>
    <xf numFmtId="166" fontId="2" fillId="0" borderId="12" xfId="0" applyNumberFormat="1" applyFont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167" fontId="2" fillId="0" borderId="1" xfId="0" applyNumberFormat="1" applyFont="1" applyBorder="1"/>
    <xf numFmtId="166" fontId="2" fillId="0" borderId="1" xfId="0" applyNumberFormat="1" applyFont="1" applyBorder="1"/>
    <xf numFmtId="169" fontId="2" fillId="0" borderId="1" xfId="0" applyNumberFormat="1" applyFont="1" applyBorder="1"/>
    <xf numFmtId="168" fontId="2" fillId="0" borderId="1" xfId="0" applyNumberFormat="1" applyFont="1" applyBorder="1"/>
    <xf numFmtId="0" fontId="1" fillId="0" borderId="0" xfId="1"/>
    <xf numFmtId="14" fontId="1" fillId="0" borderId="0" xfId="1" applyNumberFormat="1"/>
    <xf numFmtId="170" fontId="1" fillId="0" borderId="0" xfId="1" applyNumberFormat="1"/>
    <xf numFmtId="170" fontId="4" fillId="0" borderId="0" xfId="0" applyNumberFormat="1" applyFont="1"/>
    <xf numFmtId="167" fontId="2" fillId="0" borderId="0" xfId="0" applyNumberFormat="1" applyFont="1" applyBorder="1"/>
    <xf numFmtId="166" fontId="2" fillId="0" borderId="0" xfId="0" applyNumberFormat="1" applyFont="1" applyBorder="1"/>
    <xf numFmtId="166" fontId="1" fillId="0" borderId="0" xfId="1" applyNumberFormat="1"/>
    <xf numFmtId="14" fontId="0" fillId="0" borderId="0" xfId="0" applyNumberFormat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4" xfId="0" applyFont="1" applyFill="1" applyBorder="1"/>
  </cellXfs>
  <cellStyles count="2">
    <cellStyle name="Normal" xfId="0" builtinId="0"/>
    <cellStyle name="Normale 2" xfId="1" xr:uid="{B31BCBF0-7ED0-D048-BE31-2A8798C75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36"/>
  <sheetViews>
    <sheetView topLeftCell="A13" workbookViewId="0">
      <selection activeCell="B37" sqref="B37"/>
    </sheetView>
  </sheetViews>
  <sheetFormatPr baseColWidth="10" defaultColWidth="9.1640625" defaultRowHeight="14" x14ac:dyDescent="0.2"/>
  <cols>
    <col min="1" max="1" width="20.6640625" style="1" customWidth="1"/>
    <col min="2" max="2" width="14.83203125" style="1" customWidth="1"/>
    <col min="3" max="3" width="11.33203125" style="1" customWidth="1"/>
    <col min="4" max="4" width="8.1640625" style="1" customWidth="1"/>
    <col min="5" max="5" width="13" style="1" customWidth="1"/>
    <col min="6" max="6" width="12.1640625" style="1" customWidth="1"/>
    <col min="7" max="7" width="9.83203125" style="1" customWidth="1"/>
    <col min="8" max="8" width="14.83203125" style="1" customWidth="1"/>
    <col min="9" max="9" width="16.33203125" style="1" customWidth="1"/>
    <col min="10" max="10" width="18.6640625" style="1" customWidth="1"/>
    <col min="11" max="11" width="6.33203125" style="1" customWidth="1"/>
    <col min="12" max="12" width="8.5" style="1" customWidth="1"/>
    <col min="13" max="13" width="22.83203125" style="1" customWidth="1"/>
    <col min="14" max="14" width="5.1640625" style="1" customWidth="1"/>
    <col min="15" max="15" width="17.33203125" style="1" customWidth="1"/>
    <col min="16" max="16" width="12" style="1" customWidth="1"/>
    <col min="17" max="17" width="9.1640625" style="1" customWidth="1"/>
    <col min="18" max="16384" width="9.16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7" spans="1:5" x14ac:dyDescent="0.2">
      <c r="A7" s="1" t="s">
        <v>4</v>
      </c>
    </row>
    <row r="10" spans="1:5" x14ac:dyDescent="0.2">
      <c r="A10" s="2" t="s">
        <v>5</v>
      </c>
      <c r="B10" s="3">
        <v>440272669475</v>
      </c>
    </row>
    <row r="11" spans="1:5" x14ac:dyDescent="0.2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2">
      <c r="A12" s="6" t="s">
        <v>11</v>
      </c>
      <c r="B12" s="7">
        <v>7000669160</v>
      </c>
      <c r="C12" s="8">
        <v>1.5900757974252399E-2</v>
      </c>
      <c r="D12" s="6">
        <v>32</v>
      </c>
      <c r="E12" s="8">
        <v>3.1840796019900502E-2</v>
      </c>
    </row>
    <row r="13" spans="1:5" x14ac:dyDescent="0.2">
      <c r="A13" s="6" t="s">
        <v>12</v>
      </c>
      <c r="B13" s="7">
        <v>26438279667</v>
      </c>
      <c r="C13" s="8">
        <v>6.0049786189377001E-2</v>
      </c>
      <c r="D13" s="6">
        <v>95</v>
      </c>
      <c r="E13" s="8">
        <v>9.4527363184079602E-2</v>
      </c>
    </row>
    <row r="14" spans="1:5" x14ac:dyDescent="0.2">
      <c r="A14" s="6" t="s">
        <v>13</v>
      </c>
      <c r="B14" s="7">
        <v>19007119575</v>
      </c>
      <c r="C14" s="8">
        <v>4.31712456684284E-2</v>
      </c>
      <c r="D14" s="6">
        <v>48</v>
      </c>
      <c r="E14" s="8">
        <v>4.7761194029850698E-2</v>
      </c>
    </row>
    <row r="15" spans="1:5" x14ac:dyDescent="0.2">
      <c r="A15" s="6" t="s">
        <v>14</v>
      </c>
      <c r="B15" s="7">
        <v>26723723323</v>
      </c>
      <c r="C15" s="8">
        <v>6.0698119996561502E-2</v>
      </c>
      <c r="D15" s="6">
        <v>56</v>
      </c>
      <c r="E15" s="8">
        <v>5.57213930348259E-2</v>
      </c>
    </row>
    <row r="16" spans="1:5" x14ac:dyDescent="0.2">
      <c r="A16" s="6" t="s">
        <v>15</v>
      </c>
      <c r="B16" s="7">
        <v>15708264610</v>
      </c>
      <c r="C16" s="8">
        <v>3.5678491305697502E-2</v>
      </c>
      <c r="D16" s="6">
        <v>29</v>
      </c>
      <c r="E16" s="8">
        <v>2.88557213930348E-2</v>
      </c>
    </row>
    <row r="17" spans="1:16" x14ac:dyDescent="0.2">
      <c r="A17" s="6" t="s">
        <v>16</v>
      </c>
      <c r="B17" s="7">
        <v>72490003220</v>
      </c>
      <c r="C17" s="8">
        <v>0.16464797441649101</v>
      </c>
      <c r="D17" s="6">
        <v>155</v>
      </c>
      <c r="E17" s="8">
        <v>0.154228855721393</v>
      </c>
    </row>
    <row r="18" spans="1:16" x14ac:dyDescent="0.2">
      <c r="A18" s="6" t="s">
        <v>17</v>
      </c>
      <c r="B18" s="7">
        <v>124017926860</v>
      </c>
      <c r="C18" s="8">
        <v>0.28168436393720298</v>
      </c>
      <c r="D18" s="6">
        <v>274</v>
      </c>
      <c r="E18" s="8">
        <v>0.27263681592039801</v>
      </c>
    </row>
    <row r="19" spans="1:16" x14ac:dyDescent="0.2">
      <c r="A19" s="6" t="s">
        <v>18</v>
      </c>
      <c r="B19" s="7">
        <v>148886683060</v>
      </c>
      <c r="C19" s="8">
        <v>0.33816926051198898</v>
      </c>
      <c r="D19" s="6">
        <v>316</v>
      </c>
      <c r="E19" s="8">
        <v>0.31442786069651701</v>
      </c>
    </row>
    <row r="22" spans="1:16" x14ac:dyDescent="0.2">
      <c r="A22" s="2" t="s">
        <v>19</v>
      </c>
    </row>
    <row r="23" spans="1:16" x14ac:dyDescent="0.2">
      <c r="A23" s="48" t="s">
        <v>6</v>
      </c>
      <c r="B23" s="49"/>
      <c r="C23" s="50"/>
      <c r="D23" s="48" t="s">
        <v>7</v>
      </c>
      <c r="E23" s="49"/>
      <c r="F23" s="49"/>
      <c r="G23" s="49"/>
      <c r="H23" s="50"/>
      <c r="I23" s="48" t="s">
        <v>20</v>
      </c>
      <c r="J23" s="50"/>
      <c r="K23" s="48" t="s">
        <v>21</v>
      </c>
      <c r="L23" s="49"/>
      <c r="M23" s="49"/>
      <c r="N23" s="48" t="s">
        <v>22</v>
      </c>
      <c r="O23" s="49"/>
      <c r="P23" s="50"/>
    </row>
    <row r="24" spans="1:16" x14ac:dyDescent="0.2">
      <c r="A24" s="9" t="s">
        <v>23</v>
      </c>
      <c r="B24" s="10">
        <v>153.13</v>
      </c>
      <c r="C24" s="11">
        <v>45664</v>
      </c>
      <c r="D24" s="9" t="s">
        <v>24</v>
      </c>
      <c r="E24" s="12">
        <v>1543910670</v>
      </c>
      <c r="F24" s="13">
        <v>45071</v>
      </c>
      <c r="G24" s="14" t="s">
        <v>25</v>
      </c>
      <c r="H24" s="15">
        <v>236662279839</v>
      </c>
      <c r="I24" s="9" t="s">
        <v>26</v>
      </c>
      <c r="J24" s="16">
        <v>539</v>
      </c>
      <c r="K24" s="9" t="s">
        <v>26</v>
      </c>
      <c r="L24" s="17">
        <v>0.243696378282795</v>
      </c>
      <c r="M24" s="11">
        <v>45071</v>
      </c>
      <c r="N24" s="9" t="s">
        <v>24</v>
      </c>
      <c r="O24" s="10">
        <v>104021314941</v>
      </c>
      <c r="P24" s="11">
        <v>45359</v>
      </c>
    </row>
    <row r="25" spans="1:16" x14ac:dyDescent="0.2">
      <c r="A25" s="18" t="s">
        <v>27</v>
      </c>
      <c r="B25" s="19">
        <v>10.813000000000001</v>
      </c>
      <c r="C25" s="20">
        <v>44847</v>
      </c>
      <c r="D25" s="18" t="s">
        <v>28</v>
      </c>
      <c r="E25" s="21">
        <v>105156989</v>
      </c>
      <c r="F25" s="22">
        <v>45650</v>
      </c>
      <c r="G25" s="23" t="s">
        <v>29</v>
      </c>
      <c r="H25" s="24">
        <v>202638888416</v>
      </c>
      <c r="I25" s="18" t="s">
        <v>30</v>
      </c>
      <c r="J25" s="25">
        <v>463</v>
      </c>
      <c r="K25" s="18" t="s">
        <v>30</v>
      </c>
      <c r="L25" s="26">
        <v>-0.16968167157481401</v>
      </c>
      <c r="M25" s="20">
        <v>45684</v>
      </c>
      <c r="N25" s="18" t="s">
        <v>28</v>
      </c>
      <c r="O25" s="19">
        <v>2300909024.1797199</v>
      </c>
      <c r="P25" s="20">
        <v>44232</v>
      </c>
    </row>
    <row r="26" spans="1:16" x14ac:dyDescent="0.2">
      <c r="A26" s="18" t="s">
        <v>31</v>
      </c>
      <c r="B26" s="19">
        <v>48.4207034825872</v>
      </c>
      <c r="C26" s="25"/>
      <c r="D26" s="27" t="s">
        <v>32</v>
      </c>
      <c r="E26" s="28">
        <v>438082258.18408</v>
      </c>
      <c r="F26" s="29"/>
      <c r="G26" s="29" t="s">
        <v>33</v>
      </c>
      <c r="H26" s="30">
        <v>440272669475</v>
      </c>
      <c r="I26" s="27" t="s">
        <v>34</v>
      </c>
      <c r="J26" s="31">
        <v>2</v>
      </c>
      <c r="K26" s="27" t="s">
        <v>35</v>
      </c>
      <c r="L26" s="32">
        <v>8.1847546170259697</v>
      </c>
      <c r="M26" s="33" t="s">
        <v>36</v>
      </c>
      <c r="N26" s="27" t="s">
        <v>32</v>
      </c>
      <c r="O26" s="34">
        <v>18924594779.244499</v>
      </c>
      <c r="P26" s="31"/>
    </row>
    <row r="27" spans="1:16" x14ac:dyDescent="0.2">
      <c r="A27" s="27" t="s">
        <v>37</v>
      </c>
      <c r="B27" s="34">
        <v>81.971500000000006</v>
      </c>
      <c r="C27" s="31"/>
    </row>
    <row r="30" spans="1:16" x14ac:dyDescent="0.2">
      <c r="A30" s="2" t="s">
        <v>38</v>
      </c>
    </row>
    <row r="31" spans="1:16" x14ac:dyDescent="0.2">
      <c r="A31" s="35" t="s">
        <v>39</v>
      </c>
      <c r="B31" s="35" t="s">
        <v>40</v>
      </c>
      <c r="C31" s="35" t="s">
        <v>41</v>
      </c>
      <c r="D31" s="35" t="s">
        <v>42</v>
      </c>
      <c r="E31" s="35" t="s">
        <v>43</v>
      </c>
      <c r="F31" s="35" t="s">
        <v>27</v>
      </c>
      <c r="G31" s="35" t="s">
        <v>23</v>
      </c>
      <c r="H31" s="35" t="s">
        <v>7</v>
      </c>
      <c r="I31" s="35" t="s">
        <v>44</v>
      </c>
      <c r="J31" s="5" t="s">
        <v>45</v>
      </c>
    </row>
    <row r="32" spans="1:16" x14ac:dyDescent="0.2">
      <c r="A32" s="36">
        <v>45693</v>
      </c>
      <c r="B32" s="37">
        <v>124.83</v>
      </c>
      <c r="C32" s="38">
        <v>6.1799999999999899</v>
      </c>
      <c r="D32" s="39">
        <v>5.2085967130214898E-2</v>
      </c>
      <c r="E32" s="37">
        <v>121.76</v>
      </c>
      <c r="F32" s="37">
        <v>120.76</v>
      </c>
      <c r="G32" s="37">
        <v>125</v>
      </c>
      <c r="H32" s="7">
        <v>263110629</v>
      </c>
      <c r="I32" s="37">
        <v>32383674634</v>
      </c>
      <c r="J32" s="37">
        <v>1432845144516.55</v>
      </c>
    </row>
    <row r="33" spans="1:10" x14ac:dyDescent="0.2">
      <c r="A33" s="36">
        <v>45692</v>
      </c>
      <c r="B33" s="37">
        <v>118.65</v>
      </c>
      <c r="C33" s="38">
        <v>1.99000000000001</v>
      </c>
      <c r="D33" s="39">
        <v>1.7058117606720501E-2</v>
      </c>
      <c r="E33" s="37">
        <v>116.96</v>
      </c>
      <c r="F33" s="37">
        <v>116.7</v>
      </c>
      <c r="G33" s="37">
        <v>121.2</v>
      </c>
      <c r="H33" s="7">
        <v>256550040</v>
      </c>
      <c r="I33" s="37">
        <v>30534386254</v>
      </c>
      <c r="J33" s="37">
        <v>1400461469882.55</v>
      </c>
    </row>
    <row r="34" spans="1:10" x14ac:dyDescent="0.2">
      <c r="A34" s="36">
        <v>45691</v>
      </c>
      <c r="B34" s="37">
        <v>116.66</v>
      </c>
      <c r="C34" s="38">
        <v>-3.41</v>
      </c>
      <c r="D34" s="39">
        <v>-2.8400099941700601E-2</v>
      </c>
      <c r="E34" s="37">
        <v>114.75</v>
      </c>
      <c r="F34" s="37">
        <v>113.01</v>
      </c>
      <c r="G34" s="37">
        <v>118.57</v>
      </c>
      <c r="H34" s="7">
        <v>371235677</v>
      </c>
      <c r="I34" s="37">
        <v>43100909632</v>
      </c>
      <c r="J34" s="37">
        <v>1369927083628.55</v>
      </c>
    </row>
    <row r="35" spans="1:10" x14ac:dyDescent="0.2">
      <c r="A35" s="36">
        <v>45688</v>
      </c>
      <c r="B35" s="37">
        <v>120.07</v>
      </c>
      <c r="C35" s="38">
        <v>-4.5800000000000098</v>
      </c>
      <c r="D35" s="39">
        <v>-3.6742880064179799E-2</v>
      </c>
      <c r="E35" s="37">
        <v>123.78</v>
      </c>
      <c r="F35" s="37">
        <v>119.19</v>
      </c>
      <c r="G35" s="37">
        <v>127.85</v>
      </c>
      <c r="H35" s="7">
        <v>390372899</v>
      </c>
      <c r="I35" s="37">
        <v>48202786460</v>
      </c>
      <c r="J35" s="37">
        <v>1413027993260.55</v>
      </c>
    </row>
    <row r="36" spans="1:10" x14ac:dyDescent="0.2">
      <c r="A36" s="36">
        <v>45687</v>
      </c>
      <c r="B36" s="37">
        <v>124.65</v>
      </c>
      <c r="C36" s="38">
        <v>0.95000000000000295</v>
      </c>
      <c r="D36" s="39">
        <v>7.67987065481005E-3</v>
      </c>
      <c r="E36" s="37">
        <v>123.1</v>
      </c>
      <c r="F36" s="37">
        <v>118.1</v>
      </c>
      <c r="G36" s="37">
        <v>125</v>
      </c>
      <c r="H36" s="7">
        <v>392925469</v>
      </c>
      <c r="I36" s="37">
        <v>47761445259</v>
      </c>
      <c r="J36" s="37">
        <v>1461230779720.55</v>
      </c>
    </row>
    <row r="37" spans="1:10" x14ac:dyDescent="0.2">
      <c r="A37" s="36">
        <v>45686</v>
      </c>
      <c r="B37" s="37">
        <v>123.7</v>
      </c>
      <c r="C37" s="38">
        <v>-5.2900000000000098</v>
      </c>
      <c r="D37" s="39">
        <v>-4.1010931079928703E-2</v>
      </c>
      <c r="E37" s="37">
        <v>126.5</v>
      </c>
      <c r="F37" s="37">
        <v>120.05</v>
      </c>
      <c r="G37" s="37">
        <v>126.89</v>
      </c>
      <c r="H37" s="7">
        <v>467120640</v>
      </c>
      <c r="I37" s="37">
        <v>57625585610</v>
      </c>
      <c r="J37" s="37">
        <v>1413469334461.55</v>
      </c>
    </row>
    <row r="38" spans="1:10" x14ac:dyDescent="0.2">
      <c r="A38" s="36">
        <v>45685</v>
      </c>
      <c r="B38" s="37">
        <v>128.99</v>
      </c>
      <c r="C38" s="38">
        <v>10.57</v>
      </c>
      <c r="D38" s="39">
        <v>8.9258571187299504E-2</v>
      </c>
      <c r="E38" s="37">
        <v>121.81</v>
      </c>
      <c r="F38" s="37">
        <v>116.25</v>
      </c>
      <c r="G38" s="37">
        <v>129</v>
      </c>
      <c r="H38" s="7">
        <v>579666350</v>
      </c>
      <c r="I38" s="37">
        <v>71717078952</v>
      </c>
      <c r="J38" s="37">
        <v>1471094920071.55</v>
      </c>
    </row>
    <row r="39" spans="1:10" x14ac:dyDescent="0.2">
      <c r="A39" s="36">
        <v>45684</v>
      </c>
      <c r="B39" s="37">
        <v>118.42</v>
      </c>
      <c r="C39" s="38">
        <v>-24.2</v>
      </c>
      <c r="D39" s="39">
        <v>-0.16968167157481401</v>
      </c>
      <c r="E39" s="37">
        <v>124.8</v>
      </c>
      <c r="F39" s="37">
        <v>116.7</v>
      </c>
      <c r="G39" s="37">
        <v>128.4</v>
      </c>
      <c r="H39" s="7">
        <v>818830895</v>
      </c>
      <c r="I39" s="37">
        <v>99421128076</v>
      </c>
      <c r="J39" s="37">
        <v>1399377841119.55</v>
      </c>
    </row>
    <row r="40" spans="1:10" x14ac:dyDescent="0.2">
      <c r="A40" s="36">
        <v>45681</v>
      </c>
      <c r="B40" s="37">
        <v>142.62</v>
      </c>
      <c r="C40" s="38">
        <v>-4.5999999999999899</v>
      </c>
      <c r="D40" s="39">
        <v>-3.1245754652900401E-2</v>
      </c>
      <c r="E40" s="37">
        <v>148.37</v>
      </c>
      <c r="F40" s="37">
        <v>141.88</v>
      </c>
      <c r="G40" s="37">
        <v>148.97</v>
      </c>
      <c r="H40" s="7">
        <v>234657635</v>
      </c>
      <c r="I40" s="37">
        <v>33890647603</v>
      </c>
      <c r="J40" s="37">
        <v>1498798969195.55</v>
      </c>
    </row>
    <row r="41" spans="1:10" x14ac:dyDescent="0.2">
      <c r="A41" s="36">
        <v>45680</v>
      </c>
      <c r="B41" s="37">
        <v>147.22</v>
      </c>
      <c r="C41" s="38">
        <v>0.15000000000000599</v>
      </c>
      <c r="D41" s="39">
        <v>1.01992248589111E-3</v>
      </c>
      <c r="E41" s="37">
        <v>145.05000000000001</v>
      </c>
      <c r="F41" s="37">
        <v>143.72</v>
      </c>
      <c r="G41" s="37">
        <v>147.22999999999999</v>
      </c>
      <c r="H41" s="7">
        <v>155915549</v>
      </c>
      <c r="I41" s="37">
        <v>22740119415</v>
      </c>
      <c r="J41" s="37">
        <v>1532689616798.55</v>
      </c>
    </row>
    <row r="42" spans="1:10" x14ac:dyDescent="0.2">
      <c r="A42" s="36">
        <v>45679</v>
      </c>
      <c r="B42" s="37">
        <v>147.07</v>
      </c>
      <c r="C42" s="38">
        <v>6.2399999999999798</v>
      </c>
      <c r="D42" s="39">
        <v>4.4308741035290602E-2</v>
      </c>
      <c r="E42" s="37">
        <v>144.66</v>
      </c>
      <c r="F42" s="37">
        <v>143.66999999999999</v>
      </c>
      <c r="G42" s="37">
        <v>147.79</v>
      </c>
      <c r="H42" s="7">
        <v>237651395</v>
      </c>
      <c r="I42" s="37">
        <v>34827284839</v>
      </c>
      <c r="J42" s="37">
        <v>1509949497383.55</v>
      </c>
    </row>
    <row r="43" spans="1:10" x14ac:dyDescent="0.2">
      <c r="A43" s="36">
        <v>45678</v>
      </c>
      <c r="B43" s="37">
        <v>140.83000000000001</v>
      </c>
      <c r="C43" s="38">
        <v>3.12</v>
      </c>
      <c r="D43" s="39">
        <v>2.2656306731537301E-2</v>
      </c>
      <c r="E43" s="37">
        <v>139.16</v>
      </c>
      <c r="F43" s="37">
        <v>137.09</v>
      </c>
      <c r="G43" s="37">
        <v>141.83000000000001</v>
      </c>
      <c r="H43" s="7">
        <v>197748985</v>
      </c>
      <c r="I43" s="37">
        <v>27711657243</v>
      </c>
      <c r="J43" s="37">
        <v>1475122212544.55</v>
      </c>
    </row>
    <row r="44" spans="1:10" x14ac:dyDescent="0.2">
      <c r="A44" s="36">
        <v>45674</v>
      </c>
      <c r="B44" s="37">
        <v>137.71</v>
      </c>
      <c r="C44" s="38">
        <v>4.1400000000000103</v>
      </c>
      <c r="D44" s="39">
        <v>3.0994983903571301E-2</v>
      </c>
      <c r="E44" s="37">
        <v>136.69</v>
      </c>
      <c r="F44" s="37">
        <v>135.4649</v>
      </c>
      <c r="G44" s="37">
        <v>138.5</v>
      </c>
      <c r="H44" s="7">
        <v>201188760</v>
      </c>
      <c r="I44" s="37">
        <v>27645944101</v>
      </c>
      <c r="J44" s="37">
        <v>1447410555301.55</v>
      </c>
    </row>
    <row r="45" spans="1:10" x14ac:dyDescent="0.2">
      <c r="A45" s="36">
        <v>45673</v>
      </c>
      <c r="B45" s="37">
        <v>133.57</v>
      </c>
      <c r="C45" s="38">
        <v>-2.6700000000000199</v>
      </c>
      <c r="D45" s="39">
        <v>-1.9597768643570299E-2</v>
      </c>
      <c r="E45" s="37">
        <v>138.63999999999999</v>
      </c>
      <c r="F45" s="37">
        <v>133.49</v>
      </c>
      <c r="G45" s="37">
        <v>138.75</v>
      </c>
      <c r="H45" s="7">
        <v>209235583</v>
      </c>
      <c r="I45" s="37">
        <v>28389447926</v>
      </c>
      <c r="J45" s="37">
        <v>1419764611200.55</v>
      </c>
    </row>
    <row r="46" spans="1:10" x14ac:dyDescent="0.2">
      <c r="A46" s="36">
        <v>45672</v>
      </c>
      <c r="B46" s="37">
        <v>136.24</v>
      </c>
      <c r="C46" s="38">
        <v>4.48000000000002</v>
      </c>
      <c r="D46" s="39">
        <v>3.4001214329083297E-2</v>
      </c>
      <c r="E46" s="37">
        <v>133.65</v>
      </c>
      <c r="F46" s="37">
        <v>131.29</v>
      </c>
      <c r="G46" s="37">
        <v>136.44999999999999</v>
      </c>
      <c r="H46" s="7">
        <v>185217338</v>
      </c>
      <c r="I46" s="37">
        <v>24967524392</v>
      </c>
      <c r="J46" s="37">
        <v>1448154059126.55</v>
      </c>
    </row>
    <row r="47" spans="1:10" x14ac:dyDescent="0.2">
      <c r="A47" s="36">
        <v>45671</v>
      </c>
      <c r="B47" s="37">
        <v>131.76</v>
      </c>
      <c r="C47" s="38">
        <v>-1.47</v>
      </c>
      <c r="D47" s="39">
        <v>-1.10335510020266E-2</v>
      </c>
      <c r="E47" s="37">
        <v>136.05000000000001</v>
      </c>
      <c r="F47" s="37">
        <v>130.05000000000001</v>
      </c>
      <c r="G47" s="37">
        <v>136.38</v>
      </c>
      <c r="H47" s="7">
        <v>195590485</v>
      </c>
      <c r="I47" s="37">
        <v>25873695988</v>
      </c>
      <c r="J47" s="37">
        <v>1423186534734.55</v>
      </c>
    </row>
    <row r="48" spans="1:10" x14ac:dyDescent="0.2">
      <c r="A48" s="36">
        <v>45670</v>
      </c>
      <c r="B48" s="37">
        <v>133.22999999999999</v>
      </c>
      <c r="C48" s="38">
        <v>-2.6800000000000099</v>
      </c>
      <c r="D48" s="39">
        <v>-1.9718931645942201E-2</v>
      </c>
      <c r="E48" s="37">
        <v>129.99</v>
      </c>
      <c r="F48" s="37">
        <v>129.51</v>
      </c>
      <c r="G48" s="37">
        <v>133.49</v>
      </c>
      <c r="H48" s="7">
        <v>204808914</v>
      </c>
      <c r="I48" s="37">
        <v>27028255346</v>
      </c>
      <c r="J48" s="37">
        <v>1449060230722.55</v>
      </c>
    </row>
    <row r="49" spans="1:10" x14ac:dyDescent="0.2">
      <c r="A49" s="36">
        <v>45667</v>
      </c>
      <c r="B49" s="37">
        <v>135.91</v>
      </c>
      <c r="C49" s="38">
        <v>-4.2000000000000197</v>
      </c>
      <c r="D49" s="39">
        <v>-2.9976447077296499E-2</v>
      </c>
      <c r="E49" s="37">
        <v>137.44999999999999</v>
      </c>
      <c r="F49" s="37">
        <v>134.22</v>
      </c>
      <c r="G49" s="37">
        <v>139.91999999999999</v>
      </c>
      <c r="H49" s="7">
        <v>207602514</v>
      </c>
      <c r="I49" s="37">
        <v>28214691682</v>
      </c>
      <c r="J49" s="37">
        <v>1476088486068.55</v>
      </c>
    </row>
    <row r="50" spans="1:10" x14ac:dyDescent="0.2">
      <c r="A50" s="36">
        <v>45665</v>
      </c>
      <c r="B50" s="37">
        <v>140.11000000000001</v>
      </c>
      <c r="C50" s="38">
        <v>-2.9999999999972701E-2</v>
      </c>
      <c r="D50" s="39">
        <v>-2.1407164264287699E-4</v>
      </c>
      <c r="E50" s="37">
        <v>142.58000000000001</v>
      </c>
      <c r="F50" s="37">
        <v>137.56</v>
      </c>
      <c r="G50" s="37">
        <v>143.94999999999999</v>
      </c>
      <c r="H50" s="7">
        <v>227349948</v>
      </c>
      <c r="I50" s="37">
        <v>31977685121</v>
      </c>
      <c r="J50" s="37">
        <v>1504303177750.55</v>
      </c>
    </row>
    <row r="51" spans="1:10" x14ac:dyDescent="0.2">
      <c r="A51" s="36">
        <v>45664</v>
      </c>
      <c r="B51" s="37">
        <v>140.13999999999999</v>
      </c>
      <c r="C51" s="38">
        <v>-9.2900000000000205</v>
      </c>
      <c r="D51" s="39">
        <v>-6.2169577728702498E-2</v>
      </c>
      <c r="E51" s="37">
        <v>153.03</v>
      </c>
      <c r="F51" s="37">
        <v>140.01</v>
      </c>
      <c r="G51" s="37">
        <v>153.13</v>
      </c>
      <c r="H51" s="7">
        <v>351782174</v>
      </c>
      <c r="I51" s="37">
        <v>50595643924</v>
      </c>
      <c r="J51" s="37">
        <v>1536280862871.55</v>
      </c>
    </row>
    <row r="52" spans="1:10" x14ac:dyDescent="0.2">
      <c r="A52" s="36">
        <v>45663</v>
      </c>
      <c r="B52" s="37">
        <v>149.43</v>
      </c>
      <c r="C52" s="38">
        <v>4.9600000000000097</v>
      </c>
      <c r="D52" s="39">
        <v>3.43323873468541E-2</v>
      </c>
      <c r="E52" s="37">
        <v>148.59</v>
      </c>
      <c r="F52" s="37">
        <v>147.8201</v>
      </c>
      <c r="G52" s="37">
        <v>152.15600000000001</v>
      </c>
      <c r="H52" s="7">
        <v>265377359</v>
      </c>
      <c r="I52" s="37">
        <v>39867958365</v>
      </c>
      <c r="J52" s="37">
        <v>1586876506795.55</v>
      </c>
    </row>
    <row r="53" spans="1:10" x14ac:dyDescent="0.2">
      <c r="A53" s="36">
        <v>45660</v>
      </c>
      <c r="B53" s="37">
        <v>144.47</v>
      </c>
      <c r="C53" s="38">
        <v>6.16</v>
      </c>
      <c r="D53" s="39">
        <v>4.4537632853734299E-2</v>
      </c>
      <c r="E53" s="37">
        <v>140.01</v>
      </c>
      <c r="F53" s="37">
        <v>139.72999999999999</v>
      </c>
      <c r="G53" s="37">
        <v>144.9</v>
      </c>
      <c r="H53" s="7">
        <v>229322478</v>
      </c>
      <c r="I53" s="37">
        <v>32905011935</v>
      </c>
      <c r="J53" s="37">
        <v>1547008548430.55</v>
      </c>
    </row>
    <row r="54" spans="1:10" x14ac:dyDescent="0.2">
      <c r="A54" s="36">
        <v>45659</v>
      </c>
      <c r="B54" s="37">
        <v>138.31</v>
      </c>
      <c r="C54" s="38">
        <v>4.0200000000000102</v>
      </c>
      <c r="D54" s="39">
        <v>2.9935214833569201E-2</v>
      </c>
      <c r="E54" s="37">
        <v>136</v>
      </c>
      <c r="F54" s="37">
        <v>134.63</v>
      </c>
      <c r="G54" s="37">
        <v>138.88</v>
      </c>
      <c r="H54" s="7">
        <v>198247166</v>
      </c>
      <c r="I54" s="37">
        <v>27197960392</v>
      </c>
      <c r="J54" s="37">
        <v>1514103536495.55</v>
      </c>
    </row>
    <row r="55" spans="1:10" x14ac:dyDescent="0.2">
      <c r="A55" s="36">
        <v>45657</v>
      </c>
      <c r="B55" s="37">
        <v>134.29</v>
      </c>
      <c r="C55" s="38">
        <v>-3.2000000000000202</v>
      </c>
      <c r="D55" s="39">
        <v>-2.32744199578152E-2</v>
      </c>
      <c r="E55" s="37">
        <v>138.03</v>
      </c>
      <c r="F55" s="37">
        <v>133.83000000000001</v>
      </c>
      <c r="G55" s="37">
        <v>138.07</v>
      </c>
      <c r="H55" s="7">
        <v>155659211</v>
      </c>
      <c r="I55" s="37">
        <v>21089835832</v>
      </c>
      <c r="J55" s="37">
        <v>1486905576103.55</v>
      </c>
    </row>
    <row r="56" spans="1:10" x14ac:dyDescent="0.2">
      <c r="A56" s="36">
        <v>45656</v>
      </c>
      <c r="B56" s="37">
        <v>137.49</v>
      </c>
      <c r="C56" s="38">
        <v>0.48000000000001802</v>
      </c>
      <c r="D56" s="39">
        <v>3.5033939128532102E-3</v>
      </c>
      <c r="E56" s="37">
        <v>134.83000000000001</v>
      </c>
      <c r="F56" s="37">
        <v>134.02000000000001</v>
      </c>
      <c r="G56" s="37">
        <v>140.27000000000001</v>
      </c>
      <c r="H56" s="7">
        <v>167734700</v>
      </c>
      <c r="I56" s="37">
        <v>23139214178</v>
      </c>
      <c r="J56" s="37">
        <v>1507995411935.55</v>
      </c>
    </row>
    <row r="57" spans="1:10" x14ac:dyDescent="0.2">
      <c r="A57" s="36">
        <v>45653</v>
      </c>
      <c r="B57" s="37">
        <v>137.01</v>
      </c>
      <c r="C57" s="38">
        <v>-2.9200000000000199</v>
      </c>
      <c r="D57" s="39">
        <v>-2.0867576645465701E-2</v>
      </c>
      <c r="E57" s="37">
        <v>138.55000000000001</v>
      </c>
      <c r="F57" s="37">
        <v>134.71</v>
      </c>
      <c r="G57" s="37">
        <v>139.02000000000001</v>
      </c>
      <c r="H57" s="7">
        <v>170582603</v>
      </c>
      <c r="I57" s="37">
        <v>23274067554</v>
      </c>
      <c r="J57" s="37">
        <v>1484856197757.55</v>
      </c>
    </row>
    <row r="58" spans="1:10" x14ac:dyDescent="0.2">
      <c r="A58" s="36">
        <v>45652</v>
      </c>
      <c r="B58" s="37">
        <v>139.93</v>
      </c>
      <c r="C58" s="38">
        <v>-0.28999999999999199</v>
      </c>
      <c r="D58" s="39">
        <v>-2.0681785765225501E-3</v>
      </c>
      <c r="E58" s="37">
        <v>139.69999999999999</v>
      </c>
      <c r="F58" s="37">
        <v>137.72999999999999</v>
      </c>
      <c r="G58" s="37">
        <v>140.85</v>
      </c>
      <c r="H58" s="7">
        <v>116519090</v>
      </c>
      <c r="I58" s="37">
        <v>16265340189</v>
      </c>
      <c r="J58" s="37">
        <v>1508130265311.55</v>
      </c>
    </row>
    <row r="59" spans="1:10" x14ac:dyDescent="0.2">
      <c r="A59" s="36">
        <v>45650</v>
      </c>
      <c r="B59" s="37">
        <v>140.22</v>
      </c>
      <c r="C59" s="38">
        <v>0.55000000000001104</v>
      </c>
      <c r="D59" s="39">
        <v>3.9378535118494403E-3</v>
      </c>
      <c r="E59" s="37">
        <v>140</v>
      </c>
      <c r="F59" s="37">
        <v>138.65</v>
      </c>
      <c r="G59" s="37">
        <v>141.9</v>
      </c>
      <c r="H59" s="7">
        <v>105156989</v>
      </c>
      <c r="I59" s="37">
        <v>14794495649</v>
      </c>
      <c r="J59" s="37">
        <v>1524395605500.55</v>
      </c>
    </row>
    <row r="60" spans="1:10" x14ac:dyDescent="0.2">
      <c r="A60" s="36">
        <v>45649</v>
      </c>
      <c r="B60" s="37">
        <v>139.66999999999999</v>
      </c>
      <c r="C60" s="38">
        <v>4.97</v>
      </c>
      <c r="D60" s="39">
        <v>3.6896807720861201E-2</v>
      </c>
      <c r="E60" s="37">
        <v>136.28</v>
      </c>
      <c r="F60" s="37">
        <v>135.12010000000001</v>
      </c>
      <c r="G60" s="37">
        <v>139.79</v>
      </c>
      <c r="H60" s="7">
        <v>176053506</v>
      </c>
      <c r="I60" s="37">
        <v>24298926519</v>
      </c>
      <c r="J60" s="37">
        <v>1509601109851.55</v>
      </c>
    </row>
    <row r="61" spans="1:10" x14ac:dyDescent="0.2">
      <c r="A61" s="36">
        <v>45646</v>
      </c>
      <c r="B61" s="37">
        <v>134.69999999999999</v>
      </c>
      <c r="C61" s="38">
        <v>4.01999999999998</v>
      </c>
      <c r="D61" s="39">
        <v>3.0762167125803399E-2</v>
      </c>
      <c r="E61" s="37">
        <v>129.81</v>
      </c>
      <c r="F61" s="37">
        <v>128.22</v>
      </c>
      <c r="G61" s="37">
        <v>135.28</v>
      </c>
      <c r="H61" s="7">
        <v>306528553</v>
      </c>
      <c r="I61" s="37">
        <v>40833031021</v>
      </c>
      <c r="J61" s="37">
        <v>1485302183332.55</v>
      </c>
    </row>
    <row r="62" spans="1:10" x14ac:dyDescent="0.2">
      <c r="A62" s="36">
        <v>45645</v>
      </c>
      <c r="B62" s="37">
        <v>130.68</v>
      </c>
      <c r="C62" s="38">
        <v>1.77000000000001</v>
      </c>
      <c r="D62" s="39">
        <v>1.3730509657900901E-2</v>
      </c>
      <c r="E62" s="37">
        <v>131.76</v>
      </c>
      <c r="F62" s="37">
        <v>129.55000000000001</v>
      </c>
      <c r="G62" s="37">
        <v>134.03</v>
      </c>
      <c r="H62" s="7">
        <v>209719210</v>
      </c>
      <c r="I62" s="37">
        <v>27569565145</v>
      </c>
      <c r="J62" s="37">
        <v>1444469152311.55</v>
      </c>
    </row>
    <row r="63" spans="1:10" x14ac:dyDescent="0.2">
      <c r="A63" s="36">
        <v>45644</v>
      </c>
      <c r="B63" s="37">
        <v>128.91</v>
      </c>
      <c r="C63" s="38">
        <v>-1.47999999999999</v>
      </c>
      <c r="D63" s="39">
        <v>-1.1350563693534699E-2</v>
      </c>
      <c r="E63" s="37">
        <v>133.86000000000001</v>
      </c>
      <c r="F63" s="37">
        <v>128.28</v>
      </c>
      <c r="G63" s="37">
        <v>136.69999999999999</v>
      </c>
      <c r="H63" s="7">
        <v>277444533</v>
      </c>
      <c r="I63" s="37">
        <v>36878592770</v>
      </c>
      <c r="J63" s="37">
        <v>1416899587166.55</v>
      </c>
    </row>
    <row r="64" spans="1:10" x14ac:dyDescent="0.2">
      <c r="A64" s="36">
        <v>45643</v>
      </c>
      <c r="B64" s="37">
        <v>130.38999999999999</v>
      </c>
      <c r="C64" s="38">
        <v>-1.6100000000000101</v>
      </c>
      <c r="D64" s="39">
        <v>-1.21969696969698E-2</v>
      </c>
      <c r="E64" s="37">
        <v>129.09</v>
      </c>
      <c r="F64" s="37">
        <v>126.86</v>
      </c>
      <c r="G64" s="37">
        <v>131.59</v>
      </c>
      <c r="H64" s="7">
        <v>259410263</v>
      </c>
      <c r="I64" s="37">
        <v>33546939636</v>
      </c>
      <c r="J64" s="37">
        <v>1453778179936.55</v>
      </c>
    </row>
    <row r="65" spans="1:10" x14ac:dyDescent="0.2">
      <c r="A65" s="36">
        <v>45642</v>
      </c>
      <c r="B65" s="37">
        <v>132</v>
      </c>
      <c r="C65" s="38">
        <v>-2.25</v>
      </c>
      <c r="D65" s="39">
        <v>-1.67597765363128E-2</v>
      </c>
      <c r="E65" s="37">
        <v>134.18</v>
      </c>
      <c r="F65" s="37">
        <v>130.41999999999999</v>
      </c>
      <c r="G65" s="37">
        <v>134.4</v>
      </c>
      <c r="H65" s="7">
        <v>237951130</v>
      </c>
      <c r="I65" s="37">
        <v>31360862048</v>
      </c>
      <c r="J65" s="37">
        <v>1487325119572.55</v>
      </c>
    </row>
    <row r="66" spans="1:10" x14ac:dyDescent="0.2">
      <c r="A66" s="36">
        <v>45639</v>
      </c>
      <c r="B66" s="37">
        <v>134.25</v>
      </c>
      <c r="C66" s="38">
        <v>-3.09</v>
      </c>
      <c r="D66" s="39">
        <v>-2.2498907820008799E-2</v>
      </c>
      <c r="E66" s="37">
        <v>138.94</v>
      </c>
      <c r="F66" s="37">
        <v>132.54</v>
      </c>
      <c r="G66" s="37">
        <v>139.6</v>
      </c>
      <c r="H66" s="7">
        <v>231514881</v>
      </c>
      <c r="I66" s="37">
        <v>31250503591</v>
      </c>
      <c r="J66" s="37">
        <v>1518685981620.55</v>
      </c>
    </row>
    <row r="67" spans="1:10" x14ac:dyDescent="0.2">
      <c r="A67" s="36">
        <v>45638</v>
      </c>
      <c r="B67" s="37">
        <v>137.34</v>
      </c>
      <c r="C67" s="38">
        <v>-1.97</v>
      </c>
      <c r="D67" s="39">
        <v>-1.41411241116933E-2</v>
      </c>
      <c r="E67" s="37">
        <v>137.08000000000001</v>
      </c>
      <c r="F67" s="37">
        <v>135.80000000000001</v>
      </c>
      <c r="G67" s="37">
        <v>138.44</v>
      </c>
      <c r="H67" s="7">
        <v>159211393</v>
      </c>
      <c r="I67" s="37">
        <v>21859701754</v>
      </c>
      <c r="J67" s="37">
        <v>1549936485211.55</v>
      </c>
    </row>
    <row r="68" spans="1:10" x14ac:dyDescent="0.2">
      <c r="A68" s="36">
        <v>45637</v>
      </c>
      <c r="B68" s="37">
        <v>139.31</v>
      </c>
      <c r="C68" s="38">
        <v>4.24000000000001</v>
      </c>
      <c r="D68" s="39">
        <v>3.1391130524913102E-2</v>
      </c>
      <c r="E68" s="37">
        <v>137.36000000000001</v>
      </c>
      <c r="F68" s="37">
        <v>135.21</v>
      </c>
      <c r="G68" s="37">
        <v>140.16999999999999</v>
      </c>
      <c r="H68" s="7">
        <v>184905192</v>
      </c>
      <c r="I68" s="37">
        <v>25556546764</v>
      </c>
      <c r="J68" s="37">
        <v>1571796186965.55</v>
      </c>
    </row>
    <row r="69" spans="1:10" x14ac:dyDescent="0.2">
      <c r="A69" s="36">
        <v>45636</v>
      </c>
      <c r="B69" s="37">
        <v>135.07</v>
      </c>
      <c r="C69" s="38">
        <v>-3.74000000000001</v>
      </c>
      <c r="D69" s="39">
        <v>-2.69433037965565E-2</v>
      </c>
      <c r="E69" s="37">
        <v>139.01</v>
      </c>
      <c r="F69" s="37">
        <v>133.79</v>
      </c>
      <c r="G69" s="37">
        <v>141.82</v>
      </c>
      <c r="H69" s="7">
        <v>210020888</v>
      </c>
      <c r="I69" s="37">
        <v>28772933553</v>
      </c>
      <c r="J69" s="37">
        <v>1546239640201.55</v>
      </c>
    </row>
    <row r="70" spans="1:10" x14ac:dyDescent="0.2">
      <c r="A70" s="36">
        <v>45635</v>
      </c>
      <c r="B70" s="37">
        <v>138.81</v>
      </c>
      <c r="C70" s="38">
        <v>-3.63</v>
      </c>
      <c r="D70" s="39">
        <v>-2.5484414490311701E-2</v>
      </c>
      <c r="E70" s="37">
        <v>138.97</v>
      </c>
      <c r="F70" s="37">
        <v>137.13</v>
      </c>
      <c r="G70" s="37">
        <v>139.94999999999999</v>
      </c>
      <c r="H70" s="7">
        <v>189308625</v>
      </c>
      <c r="I70" s="37">
        <v>26281716890</v>
      </c>
      <c r="J70" s="37">
        <v>1575012573754.55</v>
      </c>
    </row>
    <row r="71" spans="1:10" x14ac:dyDescent="0.2">
      <c r="A71" s="36">
        <v>45632</v>
      </c>
      <c r="B71" s="37">
        <v>142.44</v>
      </c>
      <c r="C71" s="38">
        <v>-2.62</v>
      </c>
      <c r="D71" s="39">
        <v>-1.8061491796497998E-2</v>
      </c>
      <c r="E71" s="37">
        <v>144.6</v>
      </c>
      <c r="F71" s="37">
        <v>141.31</v>
      </c>
      <c r="G71" s="37">
        <v>145.69999999999999</v>
      </c>
      <c r="H71" s="7">
        <v>188505573</v>
      </c>
      <c r="I71" s="37">
        <v>26977501215</v>
      </c>
      <c r="J71" s="37">
        <v>1601294290644.55</v>
      </c>
    </row>
    <row r="72" spans="1:10" x14ac:dyDescent="0.2">
      <c r="A72" s="36">
        <v>45631</v>
      </c>
      <c r="B72" s="37">
        <v>145.06</v>
      </c>
      <c r="C72" s="38">
        <v>-7.9999999999984098E-2</v>
      </c>
      <c r="D72" s="39">
        <v>-5.5119195259738295E-4</v>
      </c>
      <c r="E72" s="37">
        <v>145.11000000000001</v>
      </c>
      <c r="F72" s="37">
        <v>143.94999999999999</v>
      </c>
      <c r="G72" s="37">
        <v>146.54</v>
      </c>
      <c r="H72" s="7">
        <v>172621180</v>
      </c>
      <c r="I72" s="37">
        <v>25071824420</v>
      </c>
      <c r="J72" s="37">
        <v>1628271791859.55</v>
      </c>
    </row>
    <row r="73" spans="1:10" x14ac:dyDescent="0.2">
      <c r="A73" s="36">
        <v>45630</v>
      </c>
      <c r="B73" s="37">
        <v>145.13999999999999</v>
      </c>
      <c r="C73" s="38">
        <v>4.88</v>
      </c>
      <c r="D73" s="39">
        <v>3.4792528161984901E-2</v>
      </c>
      <c r="E73" s="37">
        <v>141.995</v>
      </c>
      <c r="F73" s="37">
        <v>140.29</v>
      </c>
      <c r="G73" s="37">
        <v>145.79</v>
      </c>
      <c r="H73" s="7">
        <v>231224295</v>
      </c>
      <c r="I73" s="37">
        <v>33237833224</v>
      </c>
      <c r="J73" s="37">
        <v>1653343616279.55</v>
      </c>
    </row>
    <row r="74" spans="1:10" x14ac:dyDescent="0.2">
      <c r="A74" s="36">
        <v>45629</v>
      </c>
      <c r="B74" s="37">
        <v>140.26</v>
      </c>
      <c r="C74" s="38">
        <v>1.63</v>
      </c>
      <c r="D74" s="39">
        <v>1.1757916756834699E-2</v>
      </c>
      <c r="E74" s="37">
        <v>138.26</v>
      </c>
      <c r="F74" s="37">
        <v>137.94999999999999</v>
      </c>
      <c r="G74" s="37">
        <v>140.54</v>
      </c>
      <c r="H74" s="7">
        <v>164413965</v>
      </c>
      <c r="I74" s="37">
        <v>22921658662</v>
      </c>
      <c r="J74" s="37">
        <v>1620105783055.55</v>
      </c>
    </row>
    <row r="75" spans="1:10" x14ac:dyDescent="0.2">
      <c r="A75" s="36">
        <v>45628</v>
      </c>
      <c r="B75" s="37">
        <v>138.63</v>
      </c>
      <c r="C75" s="38">
        <v>0.37999999999999501</v>
      </c>
      <c r="D75" s="39">
        <v>2.7486437613019601E-3</v>
      </c>
      <c r="E75" s="37">
        <v>138.83000000000001</v>
      </c>
      <c r="F75" s="37">
        <v>137.82499999999999</v>
      </c>
      <c r="G75" s="37">
        <v>140.44999999999999</v>
      </c>
      <c r="H75" s="7">
        <v>171682777</v>
      </c>
      <c r="I75" s="37">
        <v>23843305457</v>
      </c>
      <c r="J75" s="37">
        <v>1597184124393.55</v>
      </c>
    </row>
    <row r="76" spans="1:10" x14ac:dyDescent="0.2">
      <c r="A76" s="36">
        <v>45625</v>
      </c>
      <c r="B76" s="37">
        <v>138.25</v>
      </c>
      <c r="C76" s="38">
        <v>2.91</v>
      </c>
      <c r="D76" s="39">
        <v>2.1501403871730398E-2</v>
      </c>
      <c r="E76" s="37">
        <v>136.78</v>
      </c>
      <c r="F76" s="37">
        <v>136.05000000000001</v>
      </c>
      <c r="G76" s="37">
        <v>139.35</v>
      </c>
      <c r="H76" s="7">
        <v>141863156</v>
      </c>
      <c r="I76" s="37">
        <v>19599017187</v>
      </c>
      <c r="J76" s="37">
        <v>1573340818936.55</v>
      </c>
    </row>
    <row r="77" spans="1:10" x14ac:dyDescent="0.2">
      <c r="A77" s="36">
        <v>45623</v>
      </c>
      <c r="B77" s="37">
        <v>135.34</v>
      </c>
      <c r="C77" s="38">
        <v>-1.5799999999999801</v>
      </c>
      <c r="D77" s="39">
        <v>-1.15395851592169E-2</v>
      </c>
      <c r="E77" s="37">
        <v>135.01</v>
      </c>
      <c r="F77" s="37">
        <v>131.80000000000001</v>
      </c>
      <c r="G77" s="37">
        <v>137.22</v>
      </c>
      <c r="H77" s="7">
        <v>226370912</v>
      </c>
      <c r="I77" s="37">
        <v>30281226144</v>
      </c>
      <c r="J77" s="37">
        <v>1553741801749.55</v>
      </c>
    </row>
    <row r="78" spans="1:10" x14ac:dyDescent="0.2">
      <c r="A78" s="36">
        <v>45622</v>
      </c>
      <c r="B78" s="37">
        <v>136.91999999999999</v>
      </c>
      <c r="C78" s="38">
        <v>0.89999999999997704</v>
      </c>
      <c r="D78" s="39">
        <v>6.6166740185265201E-3</v>
      </c>
      <c r="E78" s="37">
        <v>137.69999999999999</v>
      </c>
      <c r="F78" s="37">
        <v>135.66999999999999</v>
      </c>
      <c r="G78" s="37">
        <v>139.30000000000001</v>
      </c>
      <c r="H78" s="7">
        <v>190287654</v>
      </c>
      <c r="I78" s="37">
        <v>26072684526</v>
      </c>
      <c r="J78" s="37">
        <v>1584023027893.55</v>
      </c>
    </row>
    <row r="79" spans="1:10" x14ac:dyDescent="0.2">
      <c r="A79" s="36">
        <v>45621</v>
      </c>
      <c r="B79" s="37">
        <v>136.02000000000001</v>
      </c>
      <c r="C79" s="38">
        <v>-5.9299999999999802</v>
      </c>
      <c r="D79" s="39">
        <v>-4.1775272983444703E-2</v>
      </c>
      <c r="E79" s="37">
        <v>141.99</v>
      </c>
      <c r="F79" s="37">
        <v>135.82</v>
      </c>
      <c r="G79" s="37">
        <v>142.05000000000001</v>
      </c>
      <c r="H79" s="7">
        <v>344941875</v>
      </c>
      <c r="I79" s="37">
        <v>47346029562</v>
      </c>
      <c r="J79" s="37">
        <v>1557950343367.55</v>
      </c>
    </row>
    <row r="80" spans="1:10" x14ac:dyDescent="0.2">
      <c r="A80" s="36">
        <v>45618</v>
      </c>
      <c r="B80" s="37">
        <v>141.94999999999999</v>
      </c>
      <c r="C80" s="38">
        <v>-4.72</v>
      </c>
      <c r="D80" s="39">
        <v>-3.2181086793482E-2</v>
      </c>
      <c r="E80" s="37">
        <v>145.93</v>
      </c>
      <c r="F80" s="37">
        <v>141.1</v>
      </c>
      <c r="G80" s="37">
        <v>147.16</v>
      </c>
      <c r="H80" s="7">
        <v>236406154</v>
      </c>
      <c r="I80" s="37">
        <v>33777794410</v>
      </c>
      <c r="J80" s="37">
        <v>1605296372929.55</v>
      </c>
    </row>
    <row r="81" spans="1:10" x14ac:dyDescent="0.2">
      <c r="A81" s="36">
        <v>45617</v>
      </c>
      <c r="B81" s="37">
        <v>146.66999999999999</v>
      </c>
      <c r="C81" s="38">
        <v>0.78000000000000103</v>
      </c>
      <c r="D81" s="39">
        <v>5.3464939337857396E-3</v>
      </c>
      <c r="E81" s="37">
        <v>149.35</v>
      </c>
      <c r="F81" s="37">
        <v>140.69999999999999</v>
      </c>
      <c r="G81" s="37">
        <v>152.88999999999999</v>
      </c>
      <c r="H81" s="7">
        <v>400946570</v>
      </c>
      <c r="I81" s="37">
        <v>58526436407</v>
      </c>
      <c r="J81" s="37">
        <v>1639074167339.55</v>
      </c>
    </row>
    <row r="82" spans="1:10" x14ac:dyDescent="0.2">
      <c r="A82" s="36">
        <v>45616</v>
      </c>
      <c r="B82" s="37">
        <v>145.88999999999999</v>
      </c>
      <c r="C82" s="38">
        <v>-1.1200000000000001</v>
      </c>
      <c r="D82" s="39">
        <v>-7.6185293517448101E-3</v>
      </c>
      <c r="E82" s="37">
        <v>147.41</v>
      </c>
      <c r="F82" s="37">
        <v>142.72999999999999</v>
      </c>
      <c r="G82" s="37">
        <v>147.56</v>
      </c>
      <c r="H82" s="7">
        <v>309871654</v>
      </c>
      <c r="I82" s="37">
        <v>44845665815</v>
      </c>
      <c r="J82" s="37">
        <v>1580547730932.55</v>
      </c>
    </row>
    <row r="83" spans="1:10" x14ac:dyDescent="0.2">
      <c r="A83" s="36">
        <v>45615</v>
      </c>
      <c r="B83" s="37">
        <v>147.01</v>
      </c>
      <c r="C83" s="38">
        <v>6.8599999999999897</v>
      </c>
      <c r="D83" s="39">
        <v>4.8947556189796501E-2</v>
      </c>
      <c r="E83" s="37">
        <v>141.32</v>
      </c>
      <c r="F83" s="37">
        <v>140.99</v>
      </c>
      <c r="G83" s="37">
        <v>147.13</v>
      </c>
      <c r="H83" s="7">
        <v>227834912</v>
      </c>
      <c r="I83" s="37">
        <v>32948765867</v>
      </c>
      <c r="J83" s="37">
        <v>1625393396747.55</v>
      </c>
    </row>
    <row r="84" spans="1:10" x14ac:dyDescent="0.2">
      <c r="A84" s="36">
        <v>45614</v>
      </c>
      <c r="B84" s="37">
        <v>140.15</v>
      </c>
      <c r="C84" s="38">
        <v>-1.8299999999999801</v>
      </c>
      <c r="D84" s="39">
        <v>-1.2889139315396401E-2</v>
      </c>
      <c r="E84" s="37">
        <v>139.5</v>
      </c>
      <c r="F84" s="37">
        <v>137.15</v>
      </c>
      <c r="G84" s="37">
        <v>141.55000000000001</v>
      </c>
      <c r="H84" s="7">
        <v>221865993</v>
      </c>
      <c r="I84" s="37">
        <v>30988798713</v>
      </c>
      <c r="J84" s="37">
        <v>1592444630880.55</v>
      </c>
    </row>
    <row r="85" spans="1:10" x14ac:dyDescent="0.2">
      <c r="A85" s="36">
        <v>45611</v>
      </c>
      <c r="B85" s="37">
        <v>141.97999999999999</v>
      </c>
      <c r="C85" s="38">
        <v>-4.78</v>
      </c>
      <c r="D85" s="39">
        <v>-3.2570182611065701E-2</v>
      </c>
      <c r="E85" s="37">
        <v>144.87</v>
      </c>
      <c r="F85" s="37">
        <v>140.08000000000001</v>
      </c>
      <c r="G85" s="37">
        <v>145.24</v>
      </c>
      <c r="H85" s="7">
        <v>250132869</v>
      </c>
      <c r="I85" s="37">
        <v>35605623504</v>
      </c>
      <c r="J85" s="37">
        <v>1623433429593.55</v>
      </c>
    </row>
    <row r="86" spans="1:10" x14ac:dyDescent="0.2">
      <c r="A86" s="36">
        <v>45610</v>
      </c>
      <c r="B86" s="37">
        <v>146.76</v>
      </c>
      <c r="C86" s="38">
        <v>0.48999999999998101</v>
      </c>
      <c r="D86" s="39">
        <v>3.3499692349762801E-3</v>
      </c>
      <c r="E86" s="37">
        <v>147.63999999999999</v>
      </c>
      <c r="F86" s="37">
        <v>145.55000000000001</v>
      </c>
      <c r="G86" s="37">
        <v>149</v>
      </c>
      <c r="H86" s="7">
        <v>194463301</v>
      </c>
      <c r="I86" s="37">
        <v>28646397180</v>
      </c>
      <c r="J86" s="37">
        <v>1659039053097.55</v>
      </c>
    </row>
    <row r="87" spans="1:10" x14ac:dyDescent="0.2">
      <c r="A87" s="36">
        <v>45609</v>
      </c>
      <c r="B87" s="37">
        <v>146.27000000000001</v>
      </c>
      <c r="C87" s="38">
        <v>-2.01999999999998</v>
      </c>
      <c r="D87" s="39">
        <v>-1.36219569761952E-2</v>
      </c>
      <c r="E87" s="37">
        <v>149.07</v>
      </c>
      <c r="F87" s="37">
        <v>145.9</v>
      </c>
      <c r="G87" s="37">
        <v>149.33000000000001</v>
      </c>
      <c r="H87" s="7">
        <v>191903267</v>
      </c>
      <c r="I87" s="37">
        <v>28230410344</v>
      </c>
      <c r="J87" s="37">
        <v>1630392655917.55</v>
      </c>
    </row>
    <row r="88" spans="1:10" x14ac:dyDescent="0.2">
      <c r="A88" s="36">
        <v>45608</v>
      </c>
      <c r="B88" s="37">
        <v>148.29</v>
      </c>
      <c r="C88" s="38">
        <v>3.03</v>
      </c>
      <c r="D88" s="39">
        <v>2.08591491119372E-2</v>
      </c>
      <c r="E88" s="37">
        <v>146.78</v>
      </c>
      <c r="F88" s="37">
        <v>146.01</v>
      </c>
      <c r="G88" s="37">
        <v>149.65</v>
      </c>
      <c r="H88" s="7">
        <v>198634738</v>
      </c>
      <c r="I88" s="37">
        <v>29395340065</v>
      </c>
      <c r="J88" s="37">
        <v>1658623066261.55</v>
      </c>
    </row>
    <row r="89" spans="1:10" x14ac:dyDescent="0.2">
      <c r="A89" s="36">
        <v>45607</v>
      </c>
      <c r="B89" s="37">
        <v>145.26</v>
      </c>
      <c r="C89" s="38">
        <v>-2.37</v>
      </c>
      <c r="D89" s="39">
        <v>-1.6053647632595001E-2</v>
      </c>
      <c r="E89" s="37">
        <v>148.68</v>
      </c>
      <c r="F89" s="37">
        <v>143.57</v>
      </c>
      <c r="G89" s="37">
        <v>148.85</v>
      </c>
      <c r="H89" s="7">
        <v>182325620</v>
      </c>
      <c r="I89" s="37">
        <v>26539605951</v>
      </c>
      <c r="J89" s="37">
        <v>1629227726196.55</v>
      </c>
    </row>
    <row r="90" spans="1:10" x14ac:dyDescent="0.2">
      <c r="A90" s="36">
        <v>45604</v>
      </c>
      <c r="B90" s="37">
        <v>147.63</v>
      </c>
      <c r="C90" s="38">
        <v>-1.25</v>
      </c>
      <c r="D90" s="39">
        <v>-8.3960236432025805E-3</v>
      </c>
      <c r="E90" s="37">
        <v>148.77000000000001</v>
      </c>
      <c r="F90" s="37">
        <v>146.26</v>
      </c>
      <c r="G90" s="37">
        <v>149.77000000000001</v>
      </c>
      <c r="H90" s="7">
        <v>175665830</v>
      </c>
      <c r="I90" s="37">
        <v>25946037927</v>
      </c>
      <c r="J90" s="37">
        <v>1655767332147.55</v>
      </c>
    </row>
    <row r="91" spans="1:10" x14ac:dyDescent="0.2">
      <c r="A91" s="36">
        <v>45603</v>
      </c>
      <c r="B91" s="37">
        <v>148.88</v>
      </c>
      <c r="C91" s="38">
        <v>3.26999999999998</v>
      </c>
      <c r="D91" s="39">
        <v>2.2457248815328502E-2</v>
      </c>
      <c r="E91" s="37">
        <v>146.38999999999999</v>
      </c>
      <c r="F91" s="37">
        <v>146.16999999999999</v>
      </c>
      <c r="G91" s="37">
        <v>148.93</v>
      </c>
      <c r="H91" s="7">
        <v>207323303</v>
      </c>
      <c r="I91" s="37">
        <v>30689785829</v>
      </c>
      <c r="J91" s="37">
        <v>1681713370074.55</v>
      </c>
    </row>
    <row r="92" spans="1:10" x14ac:dyDescent="0.2">
      <c r="A92" s="36">
        <v>45602</v>
      </c>
      <c r="B92" s="37">
        <v>145.61000000000001</v>
      </c>
      <c r="C92" s="38">
        <v>5.7000000000000197</v>
      </c>
      <c r="D92" s="39">
        <v>4.0740476020298899E-2</v>
      </c>
      <c r="E92" s="37">
        <v>142.96</v>
      </c>
      <c r="F92" s="37">
        <v>141.96</v>
      </c>
      <c r="G92" s="37">
        <v>146.49</v>
      </c>
      <c r="H92" s="7">
        <v>242043945</v>
      </c>
      <c r="I92" s="37">
        <v>35003784003</v>
      </c>
      <c r="J92" s="37">
        <v>1651023584245.55</v>
      </c>
    </row>
    <row r="93" spans="1:10" x14ac:dyDescent="0.2">
      <c r="A93" s="36">
        <v>45601</v>
      </c>
      <c r="B93" s="37">
        <v>139.91</v>
      </c>
      <c r="C93" s="38">
        <v>3.8599999999999901</v>
      </c>
      <c r="D93" s="39">
        <v>2.8371922087467701E-2</v>
      </c>
      <c r="E93" s="37">
        <v>137.44999999999999</v>
      </c>
      <c r="F93" s="37">
        <v>137.33000000000001</v>
      </c>
      <c r="G93" s="37">
        <v>140.37010000000001</v>
      </c>
      <c r="H93" s="7">
        <v>160537373</v>
      </c>
      <c r="I93" s="37">
        <v>22366604097</v>
      </c>
      <c r="J93" s="37">
        <v>1616019800242.55</v>
      </c>
    </row>
    <row r="94" spans="1:10" x14ac:dyDescent="0.2">
      <c r="A94" s="36">
        <v>45600</v>
      </c>
      <c r="B94" s="37">
        <v>136.05000000000001</v>
      </c>
      <c r="C94" s="38">
        <v>0.65000000000000602</v>
      </c>
      <c r="D94" s="39">
        <v>4.8005908419498202E-3</v>
      </c>
      <c r="E94" s="37">
        <v>137.21</v>
      </c>
      <c r="F94" s="37">
        <v>135.57</v>
      </c>
      <c r="G94" s="37">
        <v>138.96</v>
      </c>
      <c r="H94" s="7">
        <v>187528173</v>
      </c>
      <c r="I94" s="37">
        <v>25763972260</v>
      </c>
      <c r="J94" s="37">
        <v>1593653196145.55</v>
      </c>
    </row>
    <row r="95" spans="1:10" x14ac:dyDescent="0.2">
      <c r="A95" s="36">
        <v>45597</v>
      </c>
      <c r="B95" s="37">
        <v>135.4</v>
      </c>
      <c r="C95" s="38">
        <v>2.6400000000000099</v>
      </c>
      <c r="D95" s="39">
        <v>1.98855076830372E-2</v>
      </c>
      <c r="E95" s="37">
        <v>134.69999999999999</v>
      </c>
      <c r="F95" s="37">
        <v>134.57</v>
      </c>
      <c r="G95" s="37">
        <v>137.31</v>
      </c>
      <c r="H95" s="7">
        <v>207127838</v>
      </c>
      <c r="I95" s="37">
        <v>28172622713</v>
      </c>
      <c r="J95" s="37">
        <v>1567889223885.55</v>
      </c>
    </row>
    <row r="96" spans="1:10" x14ac:dyDescent="0.2">
      <c r="A96" s="36">
        <v>45596</v>
      </c>
      <c r="B96" s="37">
        <v>132.76</v>
      </c>
      <c r="C96" s="38">
        <v>-6.5750000000000197</v>
      </c>
      <c r="D96" s="39">
        <v>-4.71884307603977E-2</v>
      </c>
      <c r="E96" s="37">
        <v>137.6</v>
      </c>
      <c r="F96" s="37">
        <v>132.11060000000001</v>
      </c>
      <c r="G96" s="37">
        <v>137.61000000000001</v>
      </c>
      <c r="H96" s="7">
        <v>270039641</v>
      </c>
      <c r="I96" s="37">
        <v>36104872814</v>
      </c>
      <c r="J96" s="37">
        <v>1539716601172.55</v>
      </c>
    </row>
    <row r="97" spans="1:10" x14ac:dyDescent="0.2">
      <c r="A97" s="36">
        <v>45595</v>
      </c>
      <c r="B97" s="37">
        <v>139.33500000000001</v>
      </c>
      <c r="C97" s="38">
        <v>-1.91499999999999</v>
      </c>
      <c r="D97" s="39">
        <v>-1.35575221238937E-2</v>
      </c>
      <c r="E97" s="37">
        <v>139.54</v>
      </c>
      <c r="F97" s="37">
        <v>136.81</v>
      </c>
      <c r="G97" s="37">
        <v>140.33000000000001</v>
      </c>
      <c r="H97" s="7">
        <v>179418082</v>
      </c>
      <c r="I97" s="37">
        <v>24993494032</v>
      </c>
      <c r="J97" s="37">
        <v>1575821473986.55</v>
      </c>
    </row>
    <row r="98" spans="1:10" x14ac:dyDescent="0.2">
      <c r="A98" s="36">
        <v>45594</v>
      </c>
      <c r="B98" s="37">
        <v>141.25</v>
      </c>
      <c r="C98" s="38">
        <v>0.72999999999998999</v>
      </c>
      <c r="D98" s="39">
        <v>5.1949900370053398E-3</v>
      </c>
      <c r="E98" s="37">
        <v>140.285</v>
      </c>
      <c r="F98" s="37">
        <v>138.9</v>
      </c>
      <c r="G98" s="37">
        <v>142.25980000000001</v>
      </c>
      <c r="H98" s="7">
        <v>157593634</v>
      </c>
      <c r="I98" s="37">
        <v>22220623481</v>
      </c>
      <c r="J98" s="37">
        <v>1600814968018.55</v>
      </c>
    </row>
    <row r="99" spans="1:10" x14ac:dyDescent="0.2">
      <c r="A99" s="36">
        <v>45593</v>
      </c>
      <c r="B99" s="37">
        <v>140.52000000000001</v>
      </c>
      <c r="C99" s="38">
        <v>-1.01999999999998</v>
      </c>
      <c r="D99" s="39">
        <v>-7.2064434082237004E-3</v>
      </c>
      <c r="E99" s="37">
        <v>143</v>
      </c>
      <c r="F99" s="37">
        <v>140.05000000000001</v>
      </c>
      <c r="G99" s="37">
        <v>143.13999999999999</v>
      </c>
      <c r="H99" s="7">
        <v>173586745</v>
      </c>
      <c r="I99" s="37">
        <v>24502264382</v>
      </c>
      <c r="J99" s="37">
        <v>1578594344537.55</v>
      </c>
    </row>
    <row r="100" spans="1:10" x14ac:dyDescent="0.2">
      <c r="A100" s="36">
        <v>45590</v>
      </c>
      <c r="B100" s="37">
        <v>141.54</v>
      </c>
      <c r="C100" s="38">
        <v>1.1299999999999999</v>
      </c>
      <c r="D100" s="39">
        <v>8.0478598390427702E-3</v>
      </c>
      <c r="E100" s="37">
        <v>140.93</v>
      </c>
      <c r="F100" s="37">
        <v>140.80000000000001</v>
      </c>
      <c r="G100" s="37">
        <v>144.13</v>
      </c>
      <c r="H100" s="7">
        <v>205122109</v>
      </c>
      <c r="I100" s="37">
        <v>29240012393</v>
      </c>
      <c r="J100" s="37">
        <v>1603096608919.55</v>
      </c>
    </row>
    <row r="101" spans="1:10" x14ac:dyDescent="0.2">
      <c r="A101" s="36">
        <v>45589</v>
      </c>
      <c r="B101" s="37">
        <v>140.41</v>
      </c>
      <c r="C101" s="38">
        <v>0.84999999999999398</v>
      </c>
      <c r="D101" s="39">
        <v>6.0905703640011096E-3</v>
      </c>
      <c r="E101" s="37">
        <v>140.82</v>
      </c>
      <c r="F101" s="37">
        <v>138.46</v>
      </c>
      <c r="G101" s="37">
        <v>141.35</v>
      </c>
      <c r="H101" s="7">
        <v>172354888</v>
      </c>
      <c r="I101" s="37">
        <v>24130195938</v>
      </c>
      <c r="J101" s="37">
        <v>1573856596526.55</v>
      </c>
    </row>
    <row r="102" spans="1:10" x14ac:dyDescent="0.2">
      <c r="A102" s="36">
        <v>45588</v>
      </c>
      <c r="B102" s="37">
        <v>139.56</v>
      </c>
      <c r="C102" s="38">
        <v>-4.03</v>
      </c>
      <c r="D102" s="39">
        <v>-2.80660213106762E-2</v>
      </c>
      <c r="E102" s="37">
        <v>142.03</v>
      </c>
      <c r="F102" s="37">
        <v>137.46</v>
      </c>
      <c r="G102" s="37">
        <v>142.43</v>
      </c>
      <c r="H102" s="7">
        <v>285930038</v>
      </c>
      <c r="I102" s="37">
        <v>39945391865</v>
      </c>
      <c r="J102" s="37">
        <v>1549726400588.55</v>
      </c>
    </row>
    <row r="103" spans="1:10" x14ac:dyDescent="0.2">
      <c r="A103" s="36">
        <v>45587</v>
      </c>
      <c r="B103" s="37">
        <v>143.59</v>
      </c>
      <c r="C103" s="38">
        <v>-0.12000000000000501</v>
      </c>
      <c r="D103" s="39">
        <v>-8.3501496068474402E-4</v>
      </c>
      <c r="E103" s="37">
        <v>142.91</v>
      </c>
      <c r="F103" s="37">
        <v>141.78</v>
      </c>
      <c r="G103" s="37">
        <v>144.41999999999999</v>
      </c>
      <c r="H103" s="7">
        <v>226311589</v>
      </c>
      <c r="I103" s="37">
        <v>32433822366</v>
      </c>
      <c r="J103" s="37">
        <v>1589671792453.55</v>
      </c>
    </row>
    <row r="104" spans="1:10" x14ac:dyDescent="0.2">
      <c r="A104" s="36">
        <v>45586</v>
      </c>
      <c r="B104" s="37">
        <v>143.71</v>
      </c>
      <c r="C104" s="38">
        <v>5.7100000000000097</v>
      </c>
      <c r="D104" s="39">
        <v>4.1376811594202999E-2</v>
      </c>
      <c r="E104" s="37">
        <v>138.13</v>
      </c>
      <c r="F104" s="37">
        <v>138</v>
      </c>
      <c r="G104" s="37">
        <v>143.71</v>
      </c>
      <c r="H104" s="7">
        <v>264554514</v>
      </c>
      <c r="I104" s="37">
        <v>37433758792</v>
      </c>
      <c r="J104" s="37">
        <v>1622105614819.55</v>
      </c>
    </row>
    <row r="105" spans="1:10" x14ac:dyDescent="0.2">
      <c r="A105" s="36">
        <v>45583</v>
      </c>
      <c r="B105" s="37">
        <v>138</v>
      </c>
      <c r="C105" s="38">
        <v>1.0699999999999901</v>
      </c>
      <c r="D105" s="39">
        <v>7.8142116409843903E-3</v>
      </c>
      <c r="E105" s="37">
        <v>138.66499999999999</v>
      </c>
      <c r="F105" s="37">
        <v>137.28</v>
      </c>
      <c r="G105" s="37">
        <v>138.9</v>
      </c>
      <c r="H105" s="7">
        <v>176090184</v>
      </c>
      <c r="I105" s="37">
        <v>24318197321</v>
      </c>
      <c r="J105" s="37">
        <v>1584671856027.55</v>
      </c>
    </row>
    <row r="106" spans="1:10" x14ac:dyDescent="0.2">
      <c r="A106" s="36">
        <v>45582</v>
      </c>
      <c r="B106" s="37">
        <v>136.93</v>
      </c>
      <c r="C106" s="38">
        <v>1.21000000000001</v>
      </c>
      <c r="D106" s="39">
        <v>8.9154140878279393E-3</v>
      </c>
      <c r="E106" s="37">
        <v>139.34</v>
      </c>
      <c r="F106" s="37">
        <v>136.87</v>
      </c>
      <c r="G106" s="37">
        <v>140.88999999999999</v>
      </c>
      <c r="H106" s="7">
        <v>306435921</v>
      </c>
      <c r="I106" s="37">
        <v>42580777250</v>
      </c>
      <c r="J106" s="37">
        <v>1560353658706.55</v>
      </c>
    </row>
    <row r="107" spans="1:10" x14ac:dyDescent="0.2">
      <c r="A107" s="36">
        <v>45581</v>
      </c>
      <c r="B107" s="37">
        <v>135.72</v>
      </c>
      <c r="C107" s="38">
        <v>4.12</v>
      </c>
      <c r="D107" s="39">
        <v>3.1306990881459003E-2</v>
      </c>
      <c r="E107" s="37">
        <v>133.97999999999999</v>
      </c>
      <c r="F107" s="37">
        <v>131.58000000000001</v>
      </c>
      <c r="G107" s="37">
        <v>136.62</v>
      </c>
      <c r="H107" s="7">
        <v>264879720</v>
      </c>
      <c r="I107" s="37">
        <v>35620809675</v>
      </c>
      <c r="J107" s="37">
        <v>1517772881456.55</v>
      </c>
    </row>
    <row r="108" spans="1:10" x14ac:dyDescent="0.2">
      <c r="A108" s="36">
        <v>45580</v>
      </c>
      <c r="B108" s="37">
        <v>131.6</v>
      </c>
      <c r="C108" s="38">
        <v>-6.47</v>
      </c>
      <c r="D108" s="39">
        <v>-4.6860288259578498E-2</v>
      </c>
      <c r="E108" s="37">
        <v>137.87</v>
      </c>
      <c r="F108" s="37">
        <v>128.74</v>
      </c>
      <c r="G108" s="37">
        <v>138.57</v>
      </c>
      <c r="H108" s="7">
        <v>377831021</v>
      </c>
      <c r="I108" s="37">
        <v>50036060342</v>
      </c>
      <c r="J108" s="37">
        <v>1482152071781.55</v>
      </c>
    </row>
    <row r="109" spans="1:10" x14ac:dyDescent="0.2">
      <c r="A109" s="36">
        <v>45579</v>
      </c>
      <c r="B109" s="37">
        <v>138.07</v>
      </c>
      <c r="C109" s="38">
        <v>3.26999999999998</v>
      </c>
      <c r="D109" s="39">
        <v>2.4258160237388599E-2</v>
      </c>
      <c r="E109" s="37">
        <v>136.47</v>
      </c>
      <c r="F109" s="37">
        <v>136.30000000000001</v>
      </c>
      <c r="G109" s="37">
        <v>139.6</v>
      </c>
      <c r="H109" s="7">
        <v>232347668</v>
      </c>
      <c r="I109" s="37">
        <v>32146958612</v>
      </c>
      <c r="J109" s="37">
        <v>1532188132123.55</v>
      </c>
    </row>
    <row r="110" spans="1:10" x14ac:dyDescent="0.2">
      <c r="A110" s="36">
        <v>45576</v>
      </c>
      <c r="B110" s="37">
        <v>134.80000000000001</v>
      </c>
      <c r="C110" s="38">
        <v>-9.9999999999909103E-3</v>
      </c>
      <c r="D110" s="39">
        <v>-7.4178473406949798E-5</v>
      </c>
      <c r="E110" s="37">
        <v>134.01</v>
      </c>
      <c r="F110" s="37">
        <v>133.66</v>
      </c>
      <c r="G110" s="37">
        <v>135.78</v>
      </c>
      <c r="H110" s="7">
        <v>170209474</v>
      </c>
      <c r="I110" s="37">
        <v>22953557380</v>
      </c>
      <c r="J110" s="37">
        <v>1500041173511.55</v>
      </c>
    </row>
    <row r="111" spans="1:10" x14ac:dyDescent="0.2">
      <c r="A111" s="36">
        <v>45575</v>
      </c>
      <c r="B111" s="37">
        <v>134.81</v>
      </c>
      <c r="C111" s="38">
        <v>2.16</v>
      </c>
      <c r="D111" s="39">
        <v>1.6283452695062199E-2</v>
      </c>
      <c r="E111" s="37">
        <v>131.91</v>
      </c>
      <c r="F111" s="37">
        <v>131</v>
      </c>
      <c r="G111" s="37">
        <v>135</v>
      </c>
      <c r="H111" s="7">
        <v>242311337</v>
      </c>
      <c r="I111" s="37">
        <v>32448014890</v>
      </c>
      <c r="J111" s="37">
        <v>1522994730891.55</v>
      </c>
    </row>
    <row r="112" spans="1:10" x14ac:dyDescent="0.2">
      <c r="A112" s="36">
        <v>45574</v>
      </c>
      <c r="B112" s="37">
        <v>132.65</v>
      </c>
      <c r="C112" s="38">
        <v>-0.23999999999998101</v>
      </c>
      <c r="D112" s="39">
        <v>-1.80600496651351E-3</v>
      </c>
      <c r="E112" s="37">
        <v>134.11000000000001</v>
      </c>
      <c r="F112" s="37">
        <v>131.38</v>
      </c>
      <c r="G112" s="37">
        <v>134.52000000000001</v>
      </c>
      <c r="H112" s="7">
        <v>246191612</v>
      </c>
      <c r="I112" s="37">
        <v>32684650395</v>
      </c>
      <c r="J112" s="37">
        <v>1490546716001.55</v>
      </c>
    </row>
    <row r="113" spans="1:10" x14ac:dyDescent="0.2">
      <c r="A113" s="36">
        <v>45573</v>
      </c>
      <c r="B113" s="37">
        <v>132.88999999999999</v>
      </c>
      <c r="C113" s="38">
        <v>5.1699999999999902</v>
      </c>
      <c r="D113" s="39">
        <v>4.0479173191356001E-2</v>
      </c>
      <c r="E113" s="37">
        <v>130.26</v>
      </c>
      <c r="F113" s="37">
        <v>129.41999999999999</v>
      </c>
      <c r="G113" s="37">
        <v>133.47999999999999</v>
      </c>
      <c r="H113" s="7">
        <v>285722485</v>
      </c>
      <c r="I113" s="37">
        <v>37693003259</v>
      </c>
      <c r="J113" s="37">
        <v>1523231366396.55</v>
      </c>
    </row>
    <row r="114" spans="1:10" x14ac:dyDescent="0.2">
      <c r="A114" s="36">
        <v>45572</v>
      </c>
      <c r="B114" s="37">
        <v>127.72</v>
      </c>
      <c r="C114" s="38">
        <v>2.8</v>
      </c>
      <c r="D114" s="39">
        <v>2.2414345180915798E-2</v>
      </c>
      <c r="E114" s="37">
        <v>124.99</v>
      </c>
      <c r="F114" s="37">
        <v>124.95</v>
      </c>
      <c r="G114" s="37">
        <v>130.63999999999999</v>
      </c>
      <c r="H114" s="7">
        <v>346250233</v>
      </c>
      <c r="I114" s="37">
        <v>44367640637</v>
      </c>
      <c r="J114" s="37">
        <v>1485538363137.55</v>
      </c>
    </row>
    <row r="115" spans="1:10" x14ac:dyDescent="0.2">
      <c r="A115" s="36">
        <v>45569</v>
      </c>
      <c r="B115" s="37">
        <v>124.92</v>
      </c>
      <c r="C115" s="38">
        <v>2.0700000000000101</v>
      </c>
      <c r="D115" s="39">
        <v>1.6849816849816901E-2</v>
      </c>
      <c r="E115" s="37">
        <v>124.94</v>
      </c>
      <c r="F115" s="37">
        <v>121.83</v>
      </c>
      <c r="G115" s="37">
        <v>125.04</v>
      </c>
      <c r="H115" s="7">
        <v>244465552</v>
      </c>
      <c r="I115" s="37">
        <v>30311602462</v>
      </c>
      <c r="J115" s="37">
        <v>1441170722500.55</v>
      </c>
    </row>
    <row r="116" spans="1:10" x14ac:dyDescent="0.2">
      <c r="A116" s="36">
        <v>45568</v>
      </c>
      <c r="B116" s="37">
        <v>122.85</v>
      </c>
      <c r="C116" s="38">
        <v>4</v>
      </c>
      <c r="D116" s="39">
        <v>3.3655868742111898E-2</v>
      </c>
      <c r="E116" s="37">
        <v>120.92</v>
      </c>
      <c r="F116" s="37">
        <v>120.34010000000001</v>
      </c>
      <c r="G116" s="37">
        <v>124.36</v>
      </c>
      <c r="H116" s="7">
        <v>277117973</v>
      </c>
      <c r="I116" s="37">
        <v>33981209613</v>
      </c>
      <c r="J116" s="37">
        <v>1410859120038.55</v>
      </c>
    </row>
    <row r="117" spans="1:10" x14ac:dyDescent="0.2">
      <c r="A117" s="36">
        <v>45567</v>
      </c>
      <c r="B117" s="37">
        <v>118.85</v>
      </c>
      <c r="C117" s="38">
        <v>1.8499999999999901</v>
      </c>
      <c r="D117" s="39">
        <v>1.5811965811965801E-2</v>
      </c>
      <c r="E117" s="37">
        <v>116.44</v>
      </c>
      <c r="F117" s="37">
        <v>115.14</v>
      </c>
      <c r="G117" s="37">
        <v>119.38</v>
      </c>
      <c r="H117" s="7">
        <v>221845887</v>
      </c>
      <c r="I117" s="37">
        <v>26228168182</v>
      </c>
      <c r="J117" s="37">
        <v>1376877910425.55</v>
      </c>
    </row>
    <row r="118" spans="1:10" x14ac:dyDescent="0.2">
      <c r="A118" s="36">
        <v>45566</v>
      </c>
      <c r="B118" s="37">
        <v>117</v>
      </c>
      <c r="C118" s="38">
        <v>-4.4400000000000004</v>
      </c>
      <c r="D118" s="39">
        <v>-3.6561264822134398E-2</v>
      </c>
      <c r="E118" s="37">
        <v>121.765</v>
      </c>
      <c r="F118" s="37">
        <v>115.79</v>
      </c>
      <c r="G118" s="37">
        <v>122.43510000000001</v>
      </c>
      <c r="H118" s="7">
        <v>302094485</v>
      </c>
      <c r="I118" s="37">
        <v>35607208266</v>
      </c>
      <c r="J118" s="37">
        <v>1350649742243.55</v>
      </c>
    </row>
    <row r="119" spans="1:10" x14ac:dyDescent="0.2">
      <c r="A119" s="36">
        <v>45565</v>
      </c>
      <c r="B119" s="37">
        <v>121.44</v>
      </c>
      <c r="C119" s="38">
        <v>3.9999999999992E-2</v>
      </c>
      <c r="D119" s="39">
        <v>3.2948929159795799E-4</v>
      </c>
      <c r="E119" s="37">
        <v>118.31</v>
      </c>
      <c r="F119" s="37">
        <v>118.15</v>
      </c>
      <c r="G119" s="37">
        <v>121.5</v>
      </c>
      <c r="H119" s="7">
        <v>227053651</v>
      </c>
      <c r="I119" s="37">
        <v>27324391829</v>
      </c>
      <c r="J119" s="37">
        <v>1386256950509.55</v>
      </c>
    </row>
    <row r="120" spans="1:10" x14ac:dyDescent="0.2">
      <c r="A120" s="36">
        <v>45562</v>
      </c>
      <c r="B120" s="37">
        <v>121.4</v>
      </c>
      <c r="C120" s="38">
        <v>-2.64</v>
      </c>
      <c r="D120" s="39">
        <v>-2.1283456949371199E-2</v>
      </c>
      <c r="E120" s="37">
        <v>123.97</v>
      </c>
      <c r="F120" s="37">
        <v>119.26</v>
      </c>
      <c r="G120" s="37">
        <v>124.03</v>
      </c>
      <c r="H120" s="7">
        <v>271009175</v>
      </c>
      <c r="I120" s="37">
        <v>32832557467</v>
      </c>
      <c r="J120" s="37">
        <v>1358932558680.55</v>
      </c>
    </row>
    <row r="121" spans="1:10" x14ac:dyDescent="0.2">
      <c r="A121" s="36">
        <v>45561</v>
      </c>
      <c r="B121" s="37">
        <v>124.04</v>
      </c>
      <c r="C121" s="38">
        <v>0.53000000000000103</v>
      </c>
      <c r="D121" s="39">
        <v>4.29115051412842E-3</v>
      </c>
      <c r="E121" s="37">
        <v>126.8</v>
      </c>
      <c r="F121" s="37">
        <v>121.8</v>
      </c>
      <c r="G121" s="37">
        <v>127.66500000000001</v>
      </c>
      <c r="H121" s="7">
        <v>302582868</v>
      </c>
      <c r="I121" s="37">
        <v>37688913285</v>
      </c>
      <c r="J121" s="37">
        <v>1391765116147.55</v>
      </c>
    </row>
    <row r="122" spans="1:10" x14ac:dyDescent="0.2">
      <c r="A122" s="36">
        <v>45560</v>
      </c>
      <c r="B122" s="37">
        <v>123.51</v>
      </c>
      <c r="C122" s="38">
        <v>2.64</v>
      </c>
      <c r="D122" s="39">
        <v>2.1841648051625698E-2</v>
      </c>
      <c r="E122" s="37">
        <v>122.02</v>
      </c>
      <c r="F122" s="37">
        <v>121.61</v>
      </c>
      <c r="G122" s="37">
        <v>124.94</v>
      </c>
      <c r="H122" s="7">
        <v>284692948</v>
      </c>
      <c r="I122" s="37">
        <v>35179857022</v>
      </c>
      <c r="J122" s="37">
        <v>1354076202862.55</v>
      </c>
    </row>
    <row r="123" spans="1:10" x14ac:dyDescent="0.2">
      <c r="A123" s="36">
        <v>45559</v>
      </c>
      <c r="B123" s="37">
        <v>120.87</v>
      </c>
      <c r="C123" s="38">
        <v>4.6100000000000003</v>
      </c>
      <c r="D123" s="39">
        <v>3.9652503010493702E-2</v>
      </c>
      <c r="E123" s="37">
        <v>116.515</v>
      </c>
      <c r="F123" s="37">
        <v>115.38</v>
      </c>
      <c r="G123" s="37">
        <v>121.8</v>
      </c>
      <c r="H123" s="7">
        <v>354966772</v>
      </c>
      <c r="I123" s="37">
        <v>42458691253</v>
      </c>
      <c r="J123" s="37">
        <v>1318896345840.55</v>
      </c>
    </row>
    <row r="124" spans="1:10" x14ac:dyDescent="0.2">
      <c r="A124" s="36">
        <v>45558</v>
      </c>
      <c r="B124" s="37">
        <v>116.26</v>
      </c>
      <c r="C124" s="38">
        <v>0.260000000000005</v>
      </c>
      <c r="D124" s="39">
        <v>2.24137931034487E-3</v>
      </c>
      <c r="E124" s="37">
        <v>116.55</v>
      </c>
      <c r="F124" s="37">
        <v>114.86</v>
      </c>
      <c r="G124" s="37">
        <v>116.99</v>
      </c>
      <c r="H124" s="7">
        <v>206228490</v>
      </c>
      <c r="I124" s="37">
        <v>23922288322</v>
      </c>
      <c r="J124" s="37">
        <v>1276437654587.55</v>
      </c>
    </row>
    <row r="125" spans="1:10" x14ac:dyDescent="0.2">
      <c r="A125" s="36">
        <v>45555</v>
      </c>
      <c r="B125" s="37">
        <v>116</v>
      </c>
      <c r="C125" s="38">
        <v>-1.87</v>
      </c>
      <c r="D125" s="39">
        <v>-1.5864935946381602E-2</v>
      </c>
      <c r="E125" s="37">
        <v>117.06</v>
      </c>
      <c r="F125" s="37">
        <v>115.3901</v>
      </c>
      <c r="G125" s="37">
        <v>118.6181</v>
      </c>
      <c r="H125" s="7">
        <v>382462428</v>
      </c>
      <c r="I125" s="37">
        <v>44521213479</v>
      </c>
      <c r="J125" s="37">
        <v>1252515366265.55</v>
      </c>
    </row>
    <row r="126" spans="1:10" x14ac:dyDescent="0.2">
      <c r="A126" s="36">
        <v>45554</v>
      </c>
      <c r="B126" s="37">
        <v>117.87</v>
      </c>
      <c r="C126" s="38">
        <v>4.5</v>
      </c>
      <c r="D126" s="39">
        <v>3.9693040486901303E-2</v>
      </c>
      <c r="E126" s="37">
        <v>117.35</v>
      </c>
      <c r="F126" s="37">
        <v>117.25</v>
      </c>
      <c r="G126" s="37">
        <v>119.66</v>
      </c>
      <c r="H126" s="7">
        <v>293506438</v>
      </c>
      <c r="I126" s="37">
        <v>34788265764</v>
      </c>
      <c r="J126" s="37">
        <v>1297036579744.55</v>
      </c>
    </row>
    <row r="127" spans="1:10" x14ac:dyDescent="0.2">
      <c r="A127" s="36">
        <v>45553</v>
      </c>
      <c r="B127" s="37">
        <v>113.37</v>
      </c>
      <c r="C127" s="38">
        <v>-2.2200000000000002</v>
      </c>
      <c r="D127" s="39">
        <v>-1.9205813651700002E-2</v>
      </c>
      <c r="E127" s="37">
        <v>115.89</v>
      </c>
      <c r="F127" s="37">
        <v>113.22</v>
      </c>
      <c r="G127" s="37">
        <v>117.7</v>
      </c>
      <c r="H127" s="7">
        <v>310318937</v>
      </c>
      <c r="I127" s="37">
        <v>35693435698</v>
      </c>
      <c r="J127" s="37">
        <v>1262248313980.55</v>
      </c>
    </row>
    <row r="128" spans="1:10" x14ac:dyDescent="0.2">
      <c r="A128" s="36">
        <v>45552</v>
      </c>
      <c r="B128" s="37">
        <v>115.59</v>
      </c>
      <c r="C128" s="38">
        <v>-1.19</v>
      </c>
      <c r="D128" s="39">
        <v>-1.01901010446994E-2</v>
      </c>
      <c r="E128" s="37">
        <v>118.17</v>
      </c>
      <c r="F128" s="37">
        <v>114.83</v>
      </c>
      <c r="G128" s="37">
        <v>118.8</v>
      </c>
      <c r="H128" s="7">
        <v>231925876</v>
      </c>
      <c r="I128" s="37">
        <v>27030443899</v>
      </c>
      <c r="J128" s="37">
        <v>1297941749678.55</v>
      </c>
    </row>
    <row r="129" spans="1:10" x14ac:dyDescent="0.2">
      <c r="A129" s="36">
        <v>45551</v>
      </c>
      <c r="B129" s="37">
        <v>116.78</v>
      </c>
      <c r="C129" s="38">
        <v>-2.3199999999999901</v>
      </c>
      <c r="D129" s="39">
        <v>-1.9479429051217401E-2</v>
      </c>
      <c r="E129" s="37">
        <v>116.79</v>
      </c>
      <c r="F129" s="37">
        <v>114.36</v>
      </c>
      <c r="G129" s="37">
        <v>118.18</v>
      </c>
      <c r="H129" s="7">
        <v>248772308</v>
      </c>
      <c r="I129" s="37">
        <v>28993550532</v>
      </c>
      <c r="J129" s="37">
        <v>1324972193577.55</v>
      </c>
    </row>
    <row r="130" spans="1:10" x14ac:dyDescent="0.2">
      <c r="A130" s="36">
        <v>45548</v>
      </c>
      <c r="B130" s="37">
        <v>119.1</v>
      </c>
      <c r="C130" s="38">
        <v>-4.0000000000006301E-2</v>
      </c>
      <c r="D130" s="39">
        <v>-3.3573946617430098E-4</v>
      </c>
      <c r="E130" s="37">
        <v>119.08</v>
      </c>
      <c r="F130" s="37">
        <v>117.6</v>
      </c>
      <c r="G130" s="37">
        <v>119.955</v>
      </c>
      <c r="H130" s="7">
        <v>238358328</v>
      </c>
      <c r="I130" s="37">
        <v>28364828323</v>
      </c>
      <c r="J130" s="37">
        <v>1353965744109.55</v>
      </c>
    </row>
    <row r="131" spans="1:10" x14ac:dyDescent="0.2">
      <c r="A131" s="36">
        <v>45547</v>
      </c>
      <c r="B131" s="37">
        <v>119.14</v>
      </c>
      <c r="C131" s="38">
        <v>2.23</v>
      </c>
      <c r="D131" s="39">
        <v>1.9074501753485601E-2</v>
      </c>
      <c r="E131" s="37">
        <v>116.84</v>
      </c>
      <c r="F131" s="37">
        <v>115.38</v>
      </c>
      <c r="G131" s="37">
        <v>120.79</v>
      </c>
      <c r="H131" s="7">
        <v>367100496</v>
      </c>
      <c r="I131" s="37">
        <v>43649796017</v>
      </c>
      <c r="J131" s="37">
        <v>1382330572432.55</v>
      </c>
    </row>
    <row r="132" spans="1:10" x14ac:dyDescent="0.2">
      <c r="A132" s="36">
        <v>45546</v>
      </c>
      <c r="B132" s="37">
        <v>116.91</v>
      </c>
      <c r="C132" s="38">
        <v>8.81</v>
      </c>
      <c r="D132" s="39">
        <v>8.1498612395929704E-2</v>
      </c>
      <c r="E132" s="37">
        <v>109.39</v>
      </c>
      <c r="F132" s="37">
        <v>107.42</v>
      </c>
      <c r="G132" s="37">
        <v>117.19</v>
      </c>
      <c r="H132" s="7">
        <v>441422370</v>
      </c>
      <c r="I132" s="37">
        <v>49697852198</v>
      </c>
      <c r="J132" s="37">
        <v>1338680776415.55</v>
      </c>
    </row>
    <row r="133" spans="1:10" x14ac:dyDescent="0.2">
      <c r="A133" s="36">
        <v>45545</v>
      </c>
      <c r="B133" s="37">
        <v>108.1</v>
      </c>
      <c r="C133" s="38">
        <v>1.63</v>
      </c>
      <c r="D133" s="39">
        <v>1.53094768479383E-2</v>
      </c>
      <c r="E133" s="37">
        <v>107.81</v>
      </c>
      <c r="F133" s="37">
        <v>104.95</v>
      </c>
      <c r="G133" s="37">
        <v>109.4</v>
      </c>
      <c r="H133" s="7">
        <v>268283736</v>
      </c>
      <c r="I133" s="37">
        <v>28720843523</v>
      </c>
      <c r="J133" s="37">
        <v>1288982924217.55</v>
      </c>
    </row>
    <row r="134" spans="1:10" x14ac:dyDescent="0.2">
      <c r="A134" s="36">
        <v>45544</v>
      </c>
      <c r="B134" s="37">
        <v>106.47</v>
      </c>
      <c r="C134" s="38">
        <v>3.64</v>
      </c>
      <c r="D134" s="39">
        <v>3.5398230088495602E-2</v>
      </c>
      <c r="E134" s="37">
        <v>104.88</v>
      </c>
      <c r="F134" s="37">
        <v>103.69</v>
      </c>
      <c r="G134" s="37">
        <v>106.55</v>
      </c>
      <c r="H134" s="7">
        <v>273912015</v>
      </c>
      <c r="I134" s="37">
        <v>28880463237</v>
      </c>
      <c r="J134" s="37">
        <v>1260262080694.55</v>
      </c>
    </row>
    <row r="135" spans="1:10" x14ac:dyDescent="0.2">
      <c r="A135" s="36">
        <v>45541</v>
      </c>
      <c r="B135" s="37">
        <v>102.83</v>
      </c>
      <c r="C135" s="38">
        <v>-4.38</v>
      </c>
      <c r="D135" s="39">
        <v>-4.0854397910642597E-2</v>
      </c>
      <c r="E135" s="37">
        <v>108.04</v>
      </c>
      <c r="F135" s="37">
        <v>100.95</v>
      </c>
      <c r="G135" s="37">
        <v>108.15</v>
      </c>
      <c r="H135" s="7">
        <v>413638098</v>
      </c>
      <c r="I135" s="37">
        <v>42756637751</v>
      </c>
      <c r="J135" s="37">
        <v>1231381617457.55</v>
      </c>
    </row>
    <row r="136" spans="1:10" x14ac:dyDescent="0.2">
      <c r="A136" s="36">
        <v>45540</v>
      </c>
      <c r="B136" s="37">
        <v>107.21</v>
      </c>
      <c r="C136" s="38">
        <v>1</v>
      </c>
      <c r="D136" s="39">
        <v>9.4153092929102691E-3</v>
      </c>
      <c r="E136" s="37">
        <v>104.985</v>
      </c>
      <c r="F136" s="37">
        <v>104.76</v>
      </c>
      <c r="G136" s="37">
        <v>109.65</v>
      </c>
      <c r="H136" s="7">
        <v>306850696</v>
      </c>
      <c r="I136" s="37">
        <v>32957373826</v>
      </c>
      <c r="J136" s="37">
        <v>1274138255208.55</v>
      </c>
    </row>
    <row r="137" spans="1:10" x14ac:dyDescent="0.2">
      <c r="A137" s="36">
        <v>45539</v>
      </c>
      <c r="B137" s="37">
        <v>106.21</v>
      </c>
      <c r="C137" s="38">
        <v>-1.79000000000001</v>
      </c>
      <c r="D137" s="39">
        <v>-1.6574074074074099E-2</v>
      </c>
      <c r="E137" s="37">
        <v>105.41</v>
      </c>
      <c r="F137" s="37">
        <v>104.12</v>
      </c>
      <c r="G137" s="37">
        <v>113.27</v>
      </c>
      <c r="H137" s="7">
        <v>372470291</v>
      </c>
      <c r="I137" s="37">
        <v>39967324218</v>
      </c>
      <c r="J137" s="37">
        <v>1241180881382.55</v>
      </c>
    </row>
    <row r="138" spans="1:10" x14ac:dyDescent="0.2">
      <c r="A138" s="36">
        <v>45538</v>
      </c>
      <c r="B138" s="37">
        <v>108</v>
      </c>
      <c r="C138" s="38">
        <v>-11.37</v>
      </c>
      <c r="D138" s="39">
        <v>-9.5250062829856805E-2</v>
      </c>
      <c r="E138" s="37">
        <v>116.01</v>
      </c>
      <c r="F138" s="37">
        <v>107.29</v>
      </c>
      <c r="G138" s="37">
        <v>116.21</v>
      </c>
      <c r="H138" s="7">
        <v>477155100</v>
      </c>
      <c r="I138" s="37">
        <v>52645957040</v>
      </c>
      <c r="J138" s="37">
        <v>1281148205600.55</v>
      </c>
    </row>
    <row r="139" spans="1:10" x14ac:dyDescent="0.2">
      <c r="A139" s="36">
        <v>45534</v>
      </c>
      <c r="B139" s="37">
        <v>119.37</v>
      </c>
      <c r="C139" s="38">
        <v>1.78</v>
      </c>
      <c r="D139" s="39">
        <v>1.51373416106812E-2</v>
      </c>
      <c r="E139" s="37">
        <v>119.53</v>
      </c>
      <c r="F139" s="37">
        <v>117.22</v>
      </c>
      <c r="G139" s="37">
        <v>121.75</v>
      </c>
      <c r="H139" s="7">
        <v>333751583</v>
      </c>
      <c r="I139" s="37">
        <v>39761132432</v>
      </c>
      <c r="J139" s="37">
        <v>1333794162640.55</v>
      </c>
    </row>
    <row r="140" spans="1:10" x14ac:dyDescent="0.2">
      <c r="A140" s="36">
        <v>45533</v>
      </c>
      <c r="B140" s="37">
        <v>117.59</v>
      </c>
      <c r="C140" s="38">
        <v>-8.02</v>
      </c>
      <c r="D140" s="39">
        <v>-6.3848419711806395E-2</v>
      </c>
      <c r="E140" s="37">
        <v>121.355</v>
      </c>
      <c r="F140" s="37">
        <v>116.71</v>
      </c>
      <c r="G140" s="37">
        <v>124.43</v>
      </c>
      <c r="H140" s="7">
        <v>453023305</v>
      </c>
      <c r="I140" s="37">
        <v>54546225560</v>
      </c>
      <c r="J140" s="37">
        <v>1294033030208.55</v>
      </c>
    </row>
    <row r="141" spans="1:10" x14ac:dyDescent="0.2">
      <c r="A141" s="36">
        <v>45532</v>
      </c>
      <c r="B141" s="37">
        <v>125.61</v>
      </c>
      <c r="C141" s="38">
        <v>-2.6900000000000102</v>
      </c>
      <c r="D141" s="39">
        <v>-2.0966484801247201E-2</v>
      </c>
      <c r="E141" s="37">
        <v>128.12</v>
      </c>
      <c r="F141" s="37">
        <v>122.64</v>
      </c>
      <c r="G141" s="37">
        <v>128.33000000000001</v>
      </c>
      <c r="H141" s="7">
        <v>448101115</v>
      </c>
      <c r="I141" s="37">
        <v>55857241814</v>
      </c>
      <c r="J141" s="37">
        <v>1348579255768.55</v>
      </c>
    </row>
    <row r="142" spans="1:10" x14ac:dyDescent="0.2">
      <c r="A142" s="36">
        <v>45531</v>
      </c>
      <c r="B142" s="37">
        <v>128.30000000000001</v>
      </c>
      <c r="C142" s="38">
        <v>1.8400000000000201</v>
      </c>
      <c r="D142" s="39">
        <v>1.45500553534716E-2</v>
      </c>
      <c r="E142" s="37">
        <v>125.05</v>
      </c>
      <c r="F142" s="37">
        <v>123.88</v>
      </c>
      <c r="G142" s="37">
        <v>129.19999999999999</v>
      </c>
      <c r="H142" s="7">
        <v>303134573</v>
      </c>
      <c r="I142" s="37">
        <v>38684978583</v>
      </c>
      <c r="J142" s="37">
        <v>1404436497582.55</v>
      </c>
    </row>
    <row r="143" spans="1:10" x14ac:dyDescent="0.2">
      <c r="A143" s="36">
        <v>45530</v>
      </c>
      <c r="B143" s="37">
        <v>126.46</v>
      </c>
      <c r="C143" s="38">
        <v>-2.9100000000000099</v>
      </c>
      <c r="D143" s="39">
        <v>-2.2493622941949499E-2</v>
      </c>
      <c r="E143" s="37">
        <v>129.57</v>
      </c>
      <c r="F143" s="37">
        <v>124.37</v>
      </c>
      <c r="G143" s="37">
        <v>131.26</v>
      </c>
      <c r="H143" s="7">
        <v>331964672</v>
      </c>
      <c r="I143" s="37">
        <v>42243927090</v>
      </c>
      <c r="J143" s="37">
        <v>1365751518999.55</v>
      </c>
    </row>
    <row r="144" spans="1:10" x14ac:dyDescent="0.2">
      <c r="A144" s="36">
        <v>45527</v>
      </c>
      <c r="B144" s="37">
        <v>129.37</v>
      </c>
      <c r="C144" s="38">
        <v>5.6300000000000097</v>
      </c>
      <c r="D144" s="39">
        <v>4.5498626151608303E-2</v>
      </c>
      <c r="E144" s="37">
        <v>125.86</v>
      </c>
      <c r="F144" s="37">
        <v>125.22</v>
      </c>
      <c r="G144" s="37">
        <v>129.6</v>
      </c>
      <c r="H144" s="7">
        <v>323230332</v>
      </c>
      <c r="I144" s="37">
        <v>41420658914</v>
      </c>
      <c r="J144" s="37">
        <v>1407995446089.55</v>
      </c>
    </row>
    <row r="145" spans="1:10" x14ac:dyDescent="0.2">
      <c r="A145" s="36">
        <v>45526</v>
      </c>
      <c r="B145" s="37">
        <v>123.74</v>
      </c>
      <c r="C145" s="38">
        <v>-4.7600000000000096</v>
      </c>
      <c r="D145" s="39">
        <v>-3.7042801556420299E-2</v>
      </c>
      <c r="E145" s="37">
        <v>130.02000000000001</v>
      </c>
      <c r="F145" s="37">
        <v>123.1</v>
      </c>
      <c r="G145" s="37">
        <v>130.75</v>
      </c>
      <c r="H145" s="7">
        <v>376189076</v>
      </c>
      <c r="I145" s="37">
        <v>47509954557</v>
      </c>
      <c r="J145" s="37">
        <v>1366574787175.55</v>
      </c>
    </row>
    <row r="146" spans="1:10" x14ac:dyDescent="0.2">
      <c r="A146" s="36">
        <v>45525</v>
      </c>
      <c r="B146" s="37">
        <v>128.5</v>
      </c>
      <c r="C146" s="38">
        <v>1.25</v>
      </c>
      <c r="D146" s="39">
        <v>9.8231827111984298E-3</v>
      </c>
      <c r="E146" s="37">
        <v>127.315</v>
      </c>
      <c r="F146" s="37">
        <v>126.66</v>
      </c>
      <c r="G146" s="37">
        <v>129.35</v>
      </c>
      <c r="H146" s="7">
        <v>257883572</v>
      </c>
      <c r="I146" s="37">
        <v>33039895297</v>
      </c>
      <c r="J146" s="37">
        <v>1414084741732.55</v>
      </c>
    </row>
    <row r="147" spans="1:10" x14ac:dyDescent="0.2">
      <c r="A147" s="36">
        <v>45524</v>
      </c>
      <c r="B147" s="37">
        <v>127.25</v>
      </c>
      <c r="C147" s="38">
        <v>-2.75</v>
      </c>
      <c r="D147" s="39">
        <v>-2.11538461538462E-2</v>
      </c>
      <c r="E147" s="37">
        <v>128.4</v>
      </c>
      <c r="F147" s="37">
        <v>125.89</v>
      </c>
      <c r="G147" s="37">
        <v>129.88</v>
      </c>
      <c r="H147" s="7">
        <v>300087415</v>
      </c>
      <c r="I147" s="37">
        <v>38355143502</v>
      </c>
      <c r="J147" s="37">
        <v>1381044846435.55</v>
      </c>
    </row>
    <row r="148" spans="1:10" x14ac:dyDescent="0.2">
      <c r="A148" s="36">
        <v>45523</v>
      </c>
      <c r="B148" s="37">
        <v>130</v>
      </c>
      <c r="C148" s="38">
        <v>5.42</v>
      </c>
      <c r="D148" s="39">
        <v>4.3506180767378402E-2</v>
      </c>
      <c r="E148" s="37">
        <v>124.28</v>
      </c>
      <c r="F148" s="37">
        <v>123.42</v>
      </c>
      <c r="G148" s="37">
        <v>130</v>
      </c>
      <c r="H148" s="7">
        <v>318333577</v>
      </c>
      <c r="I148" s="37">
        <v>40458450350</v>
      </c>
      <c r="J148" s="37">
        <v>1419399989937.55</v>
      </c>
    </row>
    <row r="149" spans="1:10" x14ac:dyDescent="0.2">
      <c r="A149" s="36">
        <v>45520</v>
      </c>
      <c r="B149" s="37">
        <v>124.58</v>
      </c>
      <c r="C149" s="38">
        <v>1.72</v>
      </c>
      <c r="D149" s="39">
        <v>1.39996744261761E-2</v>
      </c>
      <c r="E149" s="37">
        <v>121.94</v>
      </c>
      <c r="F149" s="37">
        <v>121.18</v>
      </c>
      <c r="G149" s="37">
        <v>125</v>
      </c>
      <c r="H149" s="7">
        <v>302589872</v>
      </c>
      <c r="I149" s="37">
        <v>37426508383</v>
      </c>
      <c r="J149" s="37">
        <v>1378941539587.55</v>
      </c>
    </row>
    <row r="150" spans="1:10" x14ac:dyDescent="0.2">
      <c r="A150" s="36">
        <v>45519</v>
      </c>
      <c r="B150" s="37">
        <v>122.86</v>
      </c>
      <c r="C150" s="38">
        <v>4.78</v>
      </c>
      <c r="D150" s="39">
        <v>4.0481029810298101E-2</v>
      </c>
      <c r="E150" s="37">
        <v>118.76</v>
      </c>
      <c r="F150" s="37">
        <v>117.47</v>
      </c>
      <c r="G150" s="37">
        <v>123.24</v>
      </c>
      <c r="H150" s="7">
        <v>318086673</v>
      </c>
      <c r="I150" s="37">
        <v>38628378165</v>
      </c>
      <c r="J150" s="37">
        <v>1341515031204.55</v>
      </c>
    </row>
    <row r="151" spans="1:10" x14ac:dyDescent="0.2">
      <c r="A151" s="36">
        <v>45518</v>
      </c>
      <c r="B151" s="37">
        <v>118.08</v>
      </c>
      <c r="C151" s="38">
        <v>1.94</v>
      </c>
      <c r="D151" s="39">
        <v>1.6703977957637301E-2</v>
      </c>
      <c r="E151" s="37">
        <v>118.53</v>
      </c>
      <c r="F151" s="37">
        <v>114.07</v>
      </c>
      <c r="G151" s="37">
        <v>118.6</v>
      </c>
      <c r="H151" s="7">
        <v>339246407</v>
      </c>
      <c r="I151" s="37">
        <v>39651749768</v>
      </c>
      <c r="J151" s="37">
        <v>1302886653039.55</v>
      </c>
    </row>
    <row r="152" spans="1:10" x14ac:dyDescent="0.2">
      <c r="A152" s="36">
        <v>45517</v>
      </c>
      <c r="B152" s="37">
        <v>116.14</v>
      </c>
      <c r="C152" s="38">
        <v>7.12</v>
      </c>
      <c r="D152" s="39">
        <v>6.5309117593102206E-2</v>
      </c>
      <c r="E152" s="37">
        <v>112.44</v>
      </c>
      <c r="F152" s="37">
        <v>111.58</v>
      </c>
      <c r="G152" s="37">
        <v>116.23</v>
      </c>
      <c r="H152" s="7">
        <v>312646660</v>
      </c>
      <c r="I152" s="37">
        <v>35808816226</v>
      </c>
      <c r="J152" s="37">
        <v>1263234903271.55</v>
      </c>
    </row>
    <row r="153" spans="1:10" x14ac:dyDescent="0.2">
      <c r="A153" s="36">
        <v>45516</v>
      </c>
      <c r="B153" s="37">
        <v>109.02</v>
      </c>
      <c r="C153" s="38">
        <v>4.2699999999999996</v>
      </c>
      <c r="D153" s="39">
        <v>4.0763723150357999E-2</v>
      </c>
      <c r="E153" s="37">
        <v>106.32</v>
      </c>
      <c r="F153" s="37">
        <v>106.26</v>
      </c>
      <c r="G153" s="37">
        <v>111.07</v>
      </c>
      <c r="H153" s="7">
        <v>325559870</v>
      </c>
      <c r="I153" s="37">
        <v>35531660282</v>
      </c>
      <c r="J153" s="37">
        <v>1227426087045.55</v>
      </c>
    </row>
    <row r="154" spans="1:10" x14ac:dyDescent="0.2">
      <c r="A154" s="36">
        <v>45513</v>
      </c>
      <c r="B154" s="37">
        <v>104.75</v>
      </c>
      <c r="C154" s="38">
        <v>-0.219999999999999</v>
      </c>
      <c r="D154" s="39">
        <v>-2.0958369057825898E-3</v>
      </c>
      <c r="E154" s="37">
        <v>105.64</v>
      </c>
      <c r="F154" s="37">
        <v>103.43</v>
      </c>
      <c r="G154" s="37">
        <v>106.6</v>
      </c>
      <c r="H154" s="7">
        <v>290844157</v>
      </c>
      <c r="I154" s="37">
        <v>30508403089</v>
      </c>
      <c r="J154" s="37">
        <v>1191894426763.55</v>
      </c>
    </row>
    <row r="155" spans="1:10" x14ac:dyDescent="0.2">
      <c r="A155" s="36">
        <v>45512</v>
      </c>
      <c r="B155" s="37">
        <v>104.97</v>
      </c>
      <c r="C155" s="38">
        <v>6.06</v>
      </c>
      <c r="D155" s="39">
        <v>6.1267819229602699E-2</v>
      </c>
      <c r="E155" s="37">
        <v>102</v>
      </c>
      <c r="F155" s="37">
        <v>97.52</v>
      </c>
      <c r="G155" s="37">
        <v>105.5</v>
      </c>
      <c r="H155" s="7">
        <v>391910023</v>
      </c>
      <c r="I155" s="37">
        <v>40306268770</v>
      </c>
      <c r="J155" s="37">
        <v>1222402829852.55</v>
      </c>
    </row>
    <row r="156" spans="1:10" x14ac:dyDescent="0.2">
      <c r="A156" s="36">
        <v>45511</v>
      </c>
      <c r="B156" s="37">
        <v>98.91</v>
      </c>
      <c r="C156" s="38">
        <v>-5.34</v>
      </c>
      <c r="D156" s="39">
        <v>-5.1223021582733799E-2</v>
      </c>
      <c r="E156" s="37">
        <v>107.81</v>
      </c>
      <c r="F156" s="37">
        <v>98.69</v>
      </c>
      <c r="G156" s="37">
        <v>108.8</v>
      </c>
      <c r="H156" s="7">
        <v>411440423</v>
      </c>
      <c r="I156" s="37">
        <v>42345664951</v>
      </c>
      <c r="J156" s="37">
        <v>1182096561082.55</v>
      </c>
    </row>
    <row r="157" spans="1:10" x14ac:dyDescent="0.2">
      <c r="A157" s="36">
        <v>45510</v>
      </c>
      <c r="B157" s="37">
        <v>104.25</v>
      </c>
      <c r="C157" s="38">
        <v>3.8</v>
      </c>
      <c r="D157" s="39">
        <v>3.7829766052762497E-2</v>
      </c>
      <c r="E157" s="37">
        <v>103.84</v>
      </c>
      <c r="F157" s="37">
        <v>100.55</v>
      </c>
      <c r="G157" s="37">
        <v>107.71</v>
      </c>
      <c r="H157" s="7">
        <v>409012089</v>
      </c>
      <c r="I157" s="37">
        <v>42911328143</v>
      </c>
      <c r="J157" s="37">
        <v>1224442226033.55</v>
      </c>
    </row>
    <row r="158" spans="1:10" x14ac:dyDescent="0.2">
      <c r="A158" s="36">
        <v>45509</v>
      </c>
      <c r="B158" s="37">
        <v>100.45</v>
      </c>
      <c r="C158" s="38">
        <v>-6.8199999999999896</v>
      </c>
      <c r="D158" s="39">
        <v>-6.3577887573412803E-2</v>
      </c>
      <c r="E158" s="37">
        <v>92.06</v>
      </c>
      <c r="F158" s="37">
        <v>90.69</v>
      </c>
      <c r="G158" s="37">
        <v>103.41</v>
      </c>
      <c r="H158" s="7">
        <v>552842375</v>
      </c>
      <c r="I158" s="37">
        <v>54719112224</v>
      </c>
      <c r="J158" s="37">
        <v>1181530897890.55</v>
      </c>
    </row>
    <row r="159" spans="1:10" x14ac:dyDescent="0.2">
      <c r="A159" s="36">
        <v>45506</v>
      </c>
      <c r="B159" s="37">
        <v>107.27</v>
      </c>
      <c r="C159" s="38">
        <v>-1.94</v>
      </c>
      <c r="D159" s="39">
        <v>-1.7763941031041099E-2</v>
      </c>
      <c r="E159" s="37">
        <v>103.76</v>
      </c>
      <c r="F159" s="37">
        <v>101.37</v>
      </c>
      <c r="G159" s="37">
        <v>108.72</v>
      </c>
      <c r="H159" s="7">
        <v>482027464</v>
      </c>
      <c r="I159" s="37">
        <v>50832139355</v>
      </c>
      <c r="J159" s="37">
        <v>1236250010114.55</v>
      </c>
    </row>
    <row r="160" spans="1:10" x14ac:dyDescent="0.2">
      <c r="A160" s="36">
        <v>45505</v>
      </c>
      <c r="B160" s="37">
        <v>109.21</v>
      </c>
      <c r="C160" s="38">
        <v>-7.81</v>
      </c>
      <c r="D160" s="39">
        <v>-6.6740728080669998E-2</v>
      </c>
      <c r="E160" s="37">
        <v>117.53</v>
      </c>
      <c r="F160" s="37">
        <v>106.8104</v>
      </c>
      <c r="G160" s="37">
        <v>120.16</v>
      </c>
      <c r="H160" s="7">
        <v>523462326</v>
      </c>
      <c r="I160" s="37">
        <v>58671880515</v>
      </c>
      <c r="J160" s="37">
        <v>1287082149469.55</v>
      </c>
    </row>
    <row r="161" spans="1:10" x14ac:dyDescent="0.2">
      <c r="A161" s="36">
        <v>45504</v>
      </c>
      <c r="B161" s="37">
        <v>117.02</v>
      </c>
      <c r="C161" s="38">
        <v>13.29</v>
      </c>
      <c r="D161" s="39">
        <v>0.128121083582377</v>
      </c>
      <c r="E161" s="37">
        <v>112.9</v>
      </c>
      <c r="F161" s="37">
        <v>110.88</v>
      </c>
      <c r="G161" s="37">
        <v>118.34</v>
      </c>
      <c r="H161" s="7">
        <v>473174182</v>
      </c>
      <c r="I161" s="37">
        <v>54603900521</v>
      </c>
      <c r="J161" s="37">
        <v>1345754029984.55</v>
      </c>
    </row>
    <row r="162" spans="1:10" x14ac:dyDescent="0.2">
      <c r="A162" s="36">
        <v>45503</v>
      </c>
      <c r="B162" s="37">
        <v>103.73</v>
      </c>
      <c r="C162" s="38">
        <v>-7.86</v>
      </c>
      <c r="D162" s="39">
        <v>-7.0436419033963596E-2</v>
      </c>
      <c r="E162" s="37">
        <v>111.52</v>
      </c>
      <c r="F162" s="37">
        <v>102.54</v>
      </c>
      <c r="G162" s="37">
        <v>111.99</v>
      </c>
      <c r="H162" s="7">
        <v>486833274</v>
      </c>
      <c r="I162" s="37">
        <v>51486086432</v>
      </c>
      <c r="J162" s="37">
        <v>1291150129463.55</v>
      </c>
    </row>
    <row r="163" spans="1:10" x14ac:dyDescent="0.2">
      <c r="A163" s="36">
        <v>45502</v>
      </c>
      <c r="B163" s="37">
        <v>111.59</v>
      </c>
      <c r="C163" s="38">
        <v>-1.47</v>
      </c>
      <c r="D163" s="39">
        <v>-1.3001945869449799E-2</v>
      </c>
      <c r="E163" s="37">
        <v>113.69</v>
      </c>
      <c r="F163" s="37">
        <v>111.3</v>
      </c>
      <c r="G163" s="37">
        <v>116.28</v>
      </c>
      <c r="H163" s="7">
        <v>248152068</v>
      </c>
      <c r="I163" s="37">
        <v>28079943292</v>
      </c>
      <c r="J163" s="37">
        <v>1342636215895.55</v>
      </c>
    </row>
    <row r="164" spans="1:10" x14ac:dyDescent="0.2">
      <c r="A164" s="36">
        <v>45499</v>
      </c>
      <c r="B164" s="37">
        <v>113.06</v>
      </c>
      <c r="C164" s="38">
        <v>0.78000000000000103</v>
      </c>
      <c r="D164" s="39">
        <v>6.9469184182401203E-3</v>
      </c>
      <c r="E164" s="37">
        <v>116.19</v>
      </c>
      <c r="F164" s="37">
        <v>111.58</v>
      </c>
      <c r="G164" s="37">
        <v>116.2</v>
      </c>
      <c r="H164" s="7">
        <v>293399073</v>
      </c>
      <c r="I164" s="37">
        <v>33305804946</v>
      </c>
      <c r="J164" s="37">
        <v>1370716159187.55</v>
      </c>
    </row>
    <row r="165" spans="1:10" x14ac:dyDescent="0.2">
      <c r="A165" s="36">
        <v>45498</v>
      </c>
      <c r="B165" s="37">
        <v>112.28</v>
      </c>
      <c r="C165" s="38">
        <v>-1.97</v>
      </c>
      <c r="D165" s="39">
        <v>-1.7242888402625799E-2</v>
      </c>
      <c r="E165" s="37">
        <v>113.04</v>
      </c>
      <c r="F165" s="37">
        <v>106.3</v>
      </c>
      <c r="G165" s="37">
        <v>116.63</v>
      </c>
      <c r="H165" s="7">
        <v>460067019</v>
      </c>
      <c r="I165" s="37">
        <v>51866773074</v>
      </c>
      <c r="J165" s="37">
        <v>1337410354241.55</v>
      </c>
    </row>
    <row r="166" spans="1:10" x14ac:dyDescent="0.2">
      <c r="A166" s="36">
        <v>45497</v>
      </c>
      <c r="B166" s="37">
        <v>114.25</v>
      </c>
      <c r="C166" s="38">
        <v>-8.34</v>
      </c>
      <c r="D166" s="39">
        <v>-6.8031650216167694E-2</v>
      </c>
      <c r="E166" s="37">
        <v>119.17</v>
      </c>
      <c r="F166" s="37">
        <v>113.44</v>
      </c>
      <c r="G166" s="37">
        <v>119.95</v>
      </c>
      <c r="H166" s="7">
        <v>327776884</v>
      </c>
      <c r="I166" s="37">
        <v>38132251937</v>
      </c>
      <c r="J166" s="37">
        <v>1389277127315.55</v>
      </c>
    </row>
    <row r="167" spans="1:10" x14ac:dyDescent="0.2">
      <c r="A167" s="36">
        <v>45496</v>
      </c>
      <c r="B167" s="37">
        <v>122.59</v>
      </c>
      <c r="C167" s="38">
        <v>-0.95000000000000295</v>
      </c>
      <c r="D167" s="39">
        <v>-7.6898170632993604E-3</v>
      </c>
      <c r="E167" s="37">
        <v>122.78</v>
      </c>
      <c r="F167" s="37">
        <v>122.1</v>
      </c>
      <c r="G167" s="37">
        <v>124.69</v>
      </c>
      <c r="H167" s="7">
        <v>173910983</v>
      </c>
      <c r="I167" s="37">
        <v>21427927183</v>
      </c>
      <c r="J167" s="37">
        <v>1427409379252.55</v>
      </c>
    </row>
    <row r="168" spans="1:10" x14ac:dyDescent="0.2">
      <c r="A168" s="36">
        <v>45495</v>
      </c>
      <c r="B168" s="37">
        <v>123.54</v>
      </c>
      <c r="C168" s="38">
        <v>5.61</v>
      </c>
      <c r="D168" s="39">
        <v>4.7570592724497603E-2</v>
      </c>
      <c r="E168" s="37">
        <v>120.35</v>
      </c>
      <c r="F168" s="37">
        <v>119.86</v>
      </c>
      <c r="G168" s="37">
        <v>124.07</v>
      </c>
      <c r="H168" s="7">
        <v>258068943</v>
      </c>
      <c r="I168" s="37">
        <v>31596222760</v>
      </c>
      <c r="J168" s="37">
        <v>1448837306435.55</v>
      </c>
    </row>
    <row r="169" spans="1:10" x14ac:dyDescent="0.2">
      <c r="A169" s="36">
        <v>45492</v>
      </c>
      <c r="B169" s="37">
        <v>117.93</v>
      </c>
      <c r="C169" s="38">
        <v>-3.16</v>
      </c>
      <c r="D169" s="39">
        <v>-2.6096292014204301E-2</v>
      </c>
      <c r="E169" s="37">
        <v>120.35</v>
      </c>
      <c r="F169" s="37">
        <v>117.37</v>
      </c>
      <c r="G169" s="37">
        <v>121.6</v>
      </c>
      <c r="H169" s="7">
        <v>217223800</v>
      </c>
      <c r="I169" s="37">
        <v>25850459428</v>
      </c>
      <c r="J169" s="37">
        <v>1417241083675.55</v>
      </c>
    </row>
    <row r="170" spans="1:10" x14ac:dyDescent="0.2">
      <c r="A170" s="36">
        <v>45491</v>
      </c>
      <c r="B170" s="37">
        <v>121.09</v>
      </c>
      <c r="C170" s="38">
        <v>3.1000000000000099</v>
      </c>
      <c r="D170" s="39">
        <v>2.6273413001101899E-2</v>
      </c>
      <c r="E170" s="37">
        <v>121.85</v>
      </c>
      <c r="F170" s="37">
        <v>116.56</v>
      </c>
      <c r="G170" s="37">
        <v>122.4</v>
      </c>
      <c r="H170" s="7">
        <v>320979530</v>
      </c>
      <c r="I170" s="37">
        <v>38465431620</v>
      </c>
      <c r="J170" s="37">
        <v>1443091543103.55</v>
      </c>
    </row>
    <row r="171" spans="1:10" x14ac:dyDescent="0.2">
      <c r="A171" s="36">
        <v>45490</v>
      </c>
      <c r="B171" s="37">
        <v>117.99</v>
      </c>
      <c r="C171" s="38">
        <v>-8.3699999999999992</v>
      </c>
      <c r="D171" s="39">
        <v>-6.6239316239316295E-2</v>
      </c>
      <c r="E171" s="37">
        <v>121.35</v>
      </c>
      <c r="F171" s="37">
        <v>116.72</v>
      </c>
      <c r="G171" s="37">
        <v>121.85</v>
      </c>
      <c r="H171" s="7">
        <v>390086189</v>
      </c>
      <c r="I171" s="37">
        <v>46425973860</v>
      </c>
      <c r="J171" s="37">
        <v>1404626111483.55</v>
      </c>
    </row>
    <row r="172" spans="1:10" x14ac:dyDescent="0.2">
      <c r="A172" s="36">
        <v>45489</v>
      </c>
      <c r="B172" s="37">
        <v>126.36</v>
      </c>
      <c r="C172" s="38">
        <v>-2.08</v>
      </c>
      <c r="D172" s="39">
        <v>-1.6194331983805699E-2</v>
      </c>
      <c r="E172" s="37">
        <v>128.44</v>
      </c>
      <c r="F172" s="37">
        <v>124.58</v>
      </c>
      <c r="G172" s="37">
        <v>129.04</v>
      </c>
      <c r="H172" s="7">
        <v>214769515</v>
      </c>
      <c r="I172" s="37">
        <v>27122868306</v>
      </c>
      <c r="J172" s="37">
        <v>1451052085343.55</v>
      </c>
    </row>
    <row r="173" spans="1:10" x14ac:dyDescent="0.2">
      <c r="A173" s="36">
        <v>45488</v>
      </c>
      <c r="B173" s="37">
        <v>128.44</v>
      </c>
      <c r="C173" s="38">
        <v>-0.80000000000001104</v>
      </c>
      <c r="D173" s="39">
        <v>-6.1900340451873396E-3</v>
      </c>
      <c r="E173" s="37">
        <v>130.56</v>
      </c>
      <c r="F173" s="37">
        <v>127.18</v>
      </c>
      <c r="G173" s="37">
        <v>131.38999999999999</v>
      </c>
      <c r="H173" s="7">
        <v>208326164</v>
      </c>
      <c r="I173" s="37">
        <v>26843087379</v>
      </c>
      <c r="J173" s="37">
        <v>1478174953649.55</v>
      </c>
    </row>
    <row r="174" spans="1:10" x14ac:dyDescent="0.2">
      <c r="A174" s="36">
        <v>45485</v>
      </c>
      <c r="B174" s="37">
        <v>129.24</v>
      </c>
      <c r="C174" s="38">
        <v>1.84</v>
      </c>
      <c r="D174" s="39">
        <v>1.4442700156985899E-2</v>
      </c>
      <c r="E174" s="37">
        <v>128.26</v>
      </c>
      <c r="F174" s="37">
        <v>127.22</v>
      </c>
      <c r="G174" s="37">
        <v>131.91999999999999</v>
      </c>
      <c r="H174" s="7">
        <v>252680535</v>
      </c>
      <c r="I174" s="37">
        <v>32816686365</v>
      </c>
      <c r="J174" s="37">
        <v>1505018041028.55</v>
      </c>
    </row>
    <row r="175" spans="1:10" x14ac:dyDescent="0.2">
      <c r="A175" s="36">
        <v>45484</v>
      </c>
      <c r="B175" s="37">
        <v>127.4</v>
      </c>
      <c r="C175" s="38">
        <v>-7.50999999999999</v>
      </c>
      <c r="D175" s="39">
        <v>-5.5666740790156301E-2</v>
      </c>
      <c r="E175" s="37">
        <v>135.75</v>
      </c>
      <c r="F175" s="37">
        <v>127.05</v>
      </c>
      <c r="G175" s="37">
        <v>136.15</v>
      </c>
      <c r="H175" s="7">
        <v>374782738</v>
      </c>
      <c r="I175" s="37">
        <v>48769243331</v>
      </c>
      <c r="J175" s="37">
        <v>1472201354663.55</v>
      </c>
    </row>
    <row r="176" spans="1:10" x14ac:dyDescent="0.2">
      <c r="A176" s="36">
        <v>45483</v>
      </c>
      <c r="B176" s="37">
        <v>134.91</v>
      </c>
      <c r="C176" s="38">
        <v>3.53</v>
      </c>
      <c r="D176" s="39">
        <v>2.6868625361546699E-2</v>
      </c>
      <c r="E176" s="37">
        <v>134.03</v>
      </c>
      <c r="F176" s="37">
        <v>132.41999999999999</v>
      </c>
      <c r="G176" s="37">
        <v>135.1</v>
      </c>
      <c r="H176" s="7">
        <v>248978569</v>
      </c>
      <c r="I176" s="37">
        <v>33418335043</v>
      </c>
      <c r="J176" s="37">
        <v>1520970597994.55</v>
      </c>
    </row>
    <row r="177" spans="1:10" x14ac:dyDescent="0.2">
      <c r="A177" s="36">
        <v>45482</v>
      </c>
      <c r="B177" s="37">
        <v>131.38</v>
      </c>
      <c r="C177" s="38">
        <v>3.1800000000000099</v>
      </c>
      <c r="D177" s="39">
        <v>2.4804992199688E-2</v>
      </c>
      <c r="E177" s="37">
        <v>130.35</v>
      </c>
      <c r="F177" s="37">
        <v>128.65</v>
      </c>
      <c r="G177" s="37">
        <v>133.82</v>
      </c>
      <c r="H177" s="7">
        <v>287020820</v>
      </c>
      <c r="I177" s="37">
        <v>37708289910</v>
      </c>
      <c r="J177" s="37">
        <v>1487552262951.55</v>
      </c>
    </row>
    <row r="178" spans="1:10" x14ac:dyDescent="0.2">
      <c r="A178" s="36">
        <v>45481</v>
      </c>
      <c r="B178" s="37">
        <v>128.19999999999999</v>
      </c>
      <c r="C178" s="38">
        <v>2.3699999999999899</v>
      </c>
      <c r="D178" s="39">
        <v>1.8834936024795301E-2</v>
      </c>
      <c r="E178" s="37">
        <v>127.49</v>
      </c>
      <c r="F178" s="37">
        <v>127.04</v>
      </c>
      <c r="G178" s="37">
        <v>130.77000000000001</v>
      </c>
      <c r="H178" s="7">
        <v>237677322</v>
      </c>
      <c r="I178" s="37">
        <v>30560991643</v>
      </c>
      <c r="J178" s="37">
        <v>1449843973041.55</v>
      </c>
    </row>
    <row r="179" spans="1:10" x14ac:dyDescent="0.2">
      <c r="A179" s="36">
        <v>45478</v>
      </c>
      <c r="B179" s="37">
        <v>125.83</v>
      </c>
      <c r="C179" s="38">
        <v>-2.4500000000000002</v>
      </c>
      <c r="D179" s="39">
        <v>-1.9098846273776102E-2</v>
      </c>
      <c r="E179" s="37">
        <v>127.38</v>
      </c>
      <c r="F179" s="37">
        <v>125.68</v>
      </c>
      <c r="G179" s="37">
        <v>128.85</v>
      </c>
      <c r="H179" s="7">
        <v>214176689</v>
      </c>
      <c r="I179" s="37">
        <v>27202242679</v>
      </c>
      <c r="J179" s="37">
        <v>1419282981398.55</v>
      </c>
    </row>
    <row r="180" spans="1:10" x14ac:dyDescent="0.2">
      <c r="A180" s="36">
        <v>45476</v>
      </c>
      <c r="B180" s="37">
        <v>128.28</v>
      </c>
      <c r="C180" s="38">
        <v>5.61</v>
      </c>
      <c r="D180" s="39">
        <v>4.5732452922474902E-2</v>
      </c>
      <c r="E180" s="37">
        <v>121.66</v>
      </c>
      <c r="F180" s="37">
        <v>121.36</v>
      </c>
      <c r="G180" s="37">
        <v>128.28</v>
      </c>
      <c r="H180" s="7">
        <v>215748955</v>
      </c>
      <c r="I180" s="37">
        <v>27018562967</v>
      </c>
      <c r="J180" s="37">
        <v>1446485224077.55</v>
      </c>
    </row>
    <row r="181" spans="1:10" x14ac:dyDescent="0.2">
      <c r="A181" s="36">
        <v>45475</v>
      </c>
      <c r="B181" s="37">
        <v>122.67</v>
      </c>
      <c r="C181" s="38">
        <v>-1.63</v>
      </c>
      <c r="D181" s="39">
        <v>-1.3113435237329E-2</v>
      </c>
      <c r="E181" s="37">
        <v>121.13</v>
      </c>
      <c r="F181" s="37">
        <v>121.03</v>
      </c>
      <c r="G181" s="37">
        <v>123.41</v>
      </c>
      <c r="H181" s="7">
        <v>218373969</v>
      </c>
      <c r="I181" s="37">
        <v>26704385950</v>
      </c>
      <c r="J181" s="37">
        <v>1419466661110.55</v>
      </c>
    </row>
    <row r="182" spans="1:10" x14ac:dyDescent="0.2">
      <c r="A182" s="36">
        <v>45474</v>
      </c>
      <c r="B182" s="37">
        <v>124.3</v>
      </c>
      <c r="C182" s="38">
        <v>0.75999999999999102</v>
      </c>
      <c r="D182" s="39">
        <v>6.1518536506393997E-3</v>
      </c>
      <c r="E182" s="37">
        <v>123.47</v>
      </c>
      <c r="F182" s="37">
        <v>118.83</v>
      </c>
      <c r="G182" s="37">
        <v>124.84</v>
      </c>
      <c r="H182" s="7">
        <v>284885534</v>
      </c>
      <c r="I182" s="37">
        <v>34962899110</v>
      </c>
      <c r="J182" s="37">
        <v>1446171047060.55</v>
      </c>
    </row>
    <row r="183" spans="1:10" x14ac:dyDescent="0.2">
      <c r="A183" s="36">
        <v>45471</v>
      </c>
      <c r="B183" s="37">
        <v>123.54</v>
      </c>
      <c r="C183" s="38">
        <v>-0.44999999999998902</v>
      </c>
      <c r="D183" s="39">
        <v>-3.6293249455600302E-3</v>
      </c>
      <c r="E183" s="37">
        <v>124.58</v>
      </c>
      <c r="F183" s="37">
        <v>122.75</v>
      </c>
      <c r="G183" s="37">
        <v>127.71</v>
      </c>
      <c r="H183" s="7">
        <v>315516740</v>
      </c>
      <c r="I183" s="37">
        <v>39370329425</v>
      </c>
      <c r="J183" s="37">
        <v>1411208147950.55</v>
      </c>
    </row>
    <row r="184" spans="1:10" x14ac:dyDescent="0.2">
      <c r="A184" s="36">
        <v>45470</v>
      </c>
      <c r="B184" s="37">
        <v>123.99</v>
      </c>
      <c r="C184" s="38">
        <v>-2.4100000000000099</v>
      </c>
      <c r="D184" s="39">
        <v>-1.9066455696202599E-2</v>
      </c>
      <c r="E184" s="37">
        <v>124.1</v>
      </c>
      <c r="F184" s="37">
        <v>122.92</v>
      </c>
      <c r="G184" s="37">
        <v>126.41</v>
      </c>
      <c r="H184" s="7">
        <v>252571693</v>
      </c>
      <c r="I184" s="37">
        <v>31393852371</v>
      </c>
      <c r="J184" s="37">
        <v>1450578477375.55</v>
      </c>
    </row>
    <row r="185" spans="1:10" x14ac:dyDescent="0.2">
      <c r="A185" s="36">
        <v>45469</v>
      </c>
      <c r="B185" s="37">
        <v>126.4</v>
      </c>
      <c r="C185" s="38">
        <v>0.310000000000002</v>
      </c>
      <c r="D185" s="39">
        <v>2.4585613450710002E-3</v>
      </c>
      <c r="E185" s="37">
        <v>126.13</v>
      </c>
      <c r="F185" s="37">
        <v>122.6</v>
      </c>
      <c r="G185" s="37">
        <v>128.12</v>
      </c>
      <c r="H185" s="7">
        <v>362975918</v>
      </c>
      <c r="I185" s="37">
        <v>45401906257</v>
      </c>
      <c r="J185" s="37">
        <v>1481972329746.55</v>
      </c>
    </row>
    <row r="186" spans="1:10" x14ac:dyDescent="0.2">
      <c r="A186" s="36">
        <v>45468</v>
      </c>
      <c r="B186" s="37">
        <v>126.09</v>
      </c>
      <c r="C186" s="38">
        <v>7.98</v>
      </c>
      <c r="D186" s="39">
        <v>6.7564135128270295E-2</v>
      </c>
      <c r="E186" s="37">
        <v>121.2</v>
      </c>
      <c r="F186" s="37">
        <v>119.32</v>
      </c>
      <c r="G186" s="37">
        <v>126.5</v>
      </c>
      <c r="H186" s="7">
        <v>425787456</v>
      </c>
      <c r="I186" s="37">
        <v>52638677983</v>
      </c>
      <c r="J186" s="37">
        <v>1436570423489.55</v>
      </c>
    </row>
    <row r="187" spans="1:10" x14ac:dyDescent="0.2">
      <c r="A187" s="36">
        <v>45467</v>
      </c>
      <c r="B187" s="37">
        <v>118.11</v>
      </c>
      <c r="C187" s="38">
        <v>-8.4599999999999902</v>
      </c>
      <c r="D187" s="39">
        <v>-6.6840483526902097E-2</v>
      </c>
      <c r="E187" s="37">
        <v>123.24</v>
      </c>
      <c r="F187" s="37">
        <v>118.04</v>
      </c>
      <c r="G187" s="37">
        <v>124.46</v>
      </c>
      <c r="H187" s="7">
        <v>476060866</v>
      </c>
      <c r="I187" s="37">
        <v>57310917981</v>
      </c>
      <c r="J187" s="37">
        <v>1383931745506.55</v>
      </c>
    </row>
    <row r="188" spans="1:10" x14ac:dyDescent="0.2">
      <c r="A188" s="36">
        <v>45464</v>
      </c>
      <c r="B188" s="37">
        <v>126.57</v>
      </c>
      <c r="C188" s="38">
        <v>-4.2100000000000097</v>
      </c>
      <c r="D188" s="39">
        <v>-3.21914665851048E-2</v>
      </c>
      <c r="E188" s="37">
        <v>127.12</v>
      </c>
      <c r="F188" s="37">
        <v>124.3</v>
      </c>
      <c r="G188" s="37">
        <v>130.63</v>
      </c>
      <c r="H188" s="7">
        <v>655484664</v>
      </c>
      <c r="I188" s="37">
        <v>83223698835</v>
      </c>
      <c r="J188" s="37">
        <v>1441242663487.55</v>
      </c>
    </row>
    <row r="189" spans="1:10" x14ac:dyDescent="0.2">
      <c r="A189" s="36">
        <v>45463</v>
      </c>
      <c r="B189" s="37">
        <v>130.78</v>
      </c>
      <c r="C189" s="38">
        <v>-4.8000000000000096</v>
      </c>
      <c r="D189" s="39">
        <v>-3.5403451836554099E-2</v>
      </c>
      <c r="E189" s="37">
        <v>139.80000000000001</v>
      </c>
      <c r="F189" s="37">
        <v>129.52000000000001</v>
      </c>
      <c r="G189" s="37">
        <v>140.76</v>
      </c>
      <c r="H189" s="7">
        <v>517768425</v>
      </c>
      <c r="I189" s="37">
        <v>69892457387</v>
      </c>
      <c r="J189" s="37">
        <v>1524466362322.55</v>
      </c>
    </row>
    <row r="190" spans="1:10" x14ac:dyDescent="0.2">
      <c r="A190" s="36">
        <v>45461</v>
      </c>
      <c r="B190" s="37">
        <v>135.58000000000001</v>
      </c>
      <c r="C190" s="38">
        <v>4.6000000000000201</v>
      </c>
      <c r="D190" s="39">
        <v>3.5119865628340401E-2</v>
      </c>
      <c r="E190" s="37">
        <v>131.13999999999999</v>
      </c>
      <c r="F190" s="37">
        <v>130.69</v>
      </c>
      <c r="G190" s="37">
        <v>136.33000000000001</v>
      </c>
      <c r="H190" s="7">
        <v>294335054</v>
      </c>
      <c r="I190" s="37">
        <v>39526235949</v>
      </c>
      <c r="J190" s="37">
        <v>1594358819709.55</v>
      </c>
    </row>
    <row r="191" spans="1:10" x14ac:dyDescent="0.2">
      <c r="A191" s="36">
        <v>45460</v>
      </c>
      <c r="B191" s="37">
        <v>130.97999999999999</v>
      </c>
      <c r="C191" s="38">
        <v>-0.90000000000000602</v>
      </c>
      <c r="D191" s="39">
        <v>-6.82438580527757E-3</v>
      </c>
      <c r="E191" s="37">
        <v>132.99</v>
      </c>
      <c r="F191" s="37">
        <v>129.58000000000001</v>
      </c>
      <c r="G191" s="37">
        <v>133.72999999999999</v>
      </c>
      <c r="H191" s="7">
        <v>288504444</v>
      </c>
      <c r="I191" s="37">
        <v>37998890521</v>
      </c>
      <c r="J191" s="37">
        <v>1554832583760.55</v>
      </c>
    </row>
    <row r="192" spans="1:10" x14ac:dyDescent="0.2">
      <c r="A192" s="36">
        <v>45457</v>
      </c>
      <c r="B192" s="37">
        <v>131.88</v>
      </c>
      <c r="C192" s="38">
        <v>2.26999999999998</v>
      </c>
      <c r="D192" s="39">
        <v>1.75140807036493E-2</v>
      </c>
      <c r="E192" s="37">
        <v>129.96</v>
      </c>
      <c r="F192" s="37">
        <v>128.32</v>
      </c>
      <c r="G192" s="37">
        <v>132.84</v>
      </c>
      <c r="H192" s="7">
        <v>309320376</v>
      </c>
      <c r="I192" s="37">
        <v>40583694033</v>
      </c>
      <c r="J192" s="37">
        <v>1592831474281.55</v>
      </c>
    </row>
    <row r="193" spans="1:10" x14ac:dyDescent="0.2">
      <c r="A193" s="36">
        <v>45456</v>
      </c>
      <c r="B193" s="37">
        <v>129.61000000000001</v>
      </c>
      <c r="C193" s="38">
        <v>4.4100000000000099</v>
      </c>
      <c r="D193" s="39">
        <v>3.5223642172524099E-2</v>
      </c>
      <c r="E193" s="37">
        <v>129.38999999999999</v>
      </c>
      <c r="F193" s="37">
        <v>127.16</v>
      </c>
      <c r="G193" s="37">
        <v>129.80000000000001</v>
      </c>
      <c r="H193" s="7">
        <v>260704537</v>
      </c>
      <c r="I193" s="37">
        <v>33580657520</v>
      </c>
      <c r="J193" s="37">
        <v>1552247780248.55</v>
      </c>
    </row>
    <row r="194" spans="1:10" x14ac:dyDescent="0.2">
      <c r="A194" s="36">
        <v>45455</v>
      </c>
      <c r="B194" s="37">
        <v>125.2</v>
      </c>
      <c r="C194" s="38">
        <v>4.2900000000000098</v>
      </c>
      <c r="D194" s="39">
        <v>3.5480936233562202E-2</v>
      </c>
      <c r="E194" s="37">
        <v>123.06</v>
      </c>
      <c r="F194" s="37">
        <v>122.57</v>
      </c>
      <c r="G194" s="37">
        <v>126.88</v>
      </c>
      <c r="H194" s="7">
        <v>299595001</v>
      </c>
      <c r="I194" s="37">
        <v>37500462371</v>
      </c>
      <c r="J194" s="37">
        <v>1518667122728.55</v>
      </c>
    </row>
    <row r="195" spans="1:10" x14ac:dyDescent="0.2">
      <c r="A195" s="36">
        <v>45454</v>
      </c>
      <c r="B195" s="37">
        <v>120.91</v>
      </c>
      <c r="C195" s="38">
        <v>-0.88000000000001</v>
      </c>
      <c r="D195" s="39">
        <v>-7.2255521799820203E-3</v>
      </c>
      <c r="E195" s="37">
        <v>121.77</v>
      </c>
      <c r="F195" s="37">
        <v>118.74</v>
      </c>
      <c r="G195" s="37">
        <v>122.87</v>
      </c>
      <c r="H195" s="7">
        <v>222551158</v>
      </c>
      <c r="I195" s="37">
        <v>26892764617</v>
      </c>
      <c r="J195" s="37">
        <v>1481166660357.55</v>
      </c>
    </row>
    <row r="196" spans="1:10" x14ac:dyDescent="0.2">
      <c r="A196" s="36">
        <v>45453</v>
      </c>
      <c r="B196" s="37">
        <v>121.79</v>
      </c>
      <c r="C196" s="38">
        <v>0.90200000000000102</v>
      </c>
      <c r="D196" s="39">
        <v>7.46145192244061E-3</v>
      </c>
      <c r="E196" s="37">
        <v>120.37</v>
      </c>
      <c r="F196" s="37">
        <v>117.01</v>
      </c>
      <c r="G196" s="37">
        <v>123.1</v>
      </c>
      <c r="H196" s="7">
        <v>314162650</v>
      </c>
      <c r="I196" s="37">
        <v>38049959367</v>
      </c>
      <c r="J196" s="37">
        <v>1508059424974.55</v>
      </c>
    </row>
    <row r="197" spans="1:10" x14ac:dyDescent="0.2">
      <c r="A197" s="36">
        <v>45450</v>
      </c>
      <c r="B197" s="37">
        <v>120.88800000000001</v>
      </c>
      <c r="C197" s="38">
        <v>-0.109999999999999</v>
      </c>
      <c r="D197" s="39">
        <v>-9.0910593563529505E-4</v>
      </c>
      <c r="E197" s="37">
        <v>119.77</v>
      </c>
      <c r="F197" s="37">
        <v>118.02200000000001</v>
      </c>
      <c r="G197" s="37">
        <v>121.69171</v>
      </c>
      <c r="H197" s="7">
        <v>412385800</v>
      </c>
      <c r="I197" s="37">
        <v>49503884940</v>
      </c>
      <c r="J197" s="37">
        <v>1470009465607.55</v>
      </c>
    </row>
    <row r="198" spans="1:10" x14ac:dyDescent="0.2">
      <c r="A198" s="36">
        <v>45449</v>
      </c>
      <c r="B198" s="37">
        <v>120.998</v>
      </c>
      <c r="C198" s="38">
        <v>-1.44199999999999</v>
      </c>
      <c r="D198" s="39">
        <v>-1.1777196994446199E-2</v>
      </c>
      <c r="E198" s="37">
        <v>124.048</v>
      </c>
      <c r="F198" s="37">
        <v>118.32</v>
      </c>
      <c r="G198" s="37">
        <v>125.587</v>
      </c>
      <c r="H198" s="7">
        <v>664696190</v>
      </c>
      <c r="I198" s="37">
        <v>80513280766</v>
      </c>
      <c r="J198" s="37">
        <v>1519513350547.55</v>
      </c>
    </row>
    <row r="199" spans="1:10" x14ac:dyDescent="0.2">
      <c r="A199" s="36">
        <v>45448</v>
      </c>
      <c r="B199" s="37">
        <v>122.44</v>
      </c>
      <c r="C199" s="38">
        <v>6.0030000000000001</v>
      </c>
      <c r="D199" s="39">
        <v>5.1555776943755002E-2</v>
      </c>
      <c r="E199" s="37">
        <v>118.371</v>
      </c>
      <c r="F199" s="37">
        <v>117.468</v>
      </c>
      <c r="G199" s="37">
        <v>122.4495</v>
      </c>
      <c r="H199" s="7">
        <v>528401780</v>
      </c>
      <c r="I199" s="37">
        <v>63630682344</v>
      </c>
      <c r="J199" s="37">
        <v>1600026631313.55</v>
      </c>
    </row>
    <row r="200" spans="1:10" x14ac:dyDescent="0.2">
      <c r="A200" s="36">
        <v>45447</v>
      </c>
      <c r="B200" s="37">
        <v>116.437</v>
      </c>
      <c r="C200" s="38">
        <v>1.4370000000000001</v>
      </c>
      <c r="D200" s="39">
        <v>1.2495652173913E-2</v>
      </c>
      <c r="E200" s="37">
        <v>115.71599999999999</v>
      </c>
      <c r="F200" s="37">
        <v>114.045</v>
      </c>
      <c r="G200" s="37">
        <v>116.6</v>
      </c>
      <c r="H200" s="7">
        <v>403324010</v>
      </c>
      <c r="I200" s="37">
        <v>46502247645</v>
      </c>
      <c r="J200" s="37">
        <v>1536395948969.55</v>
      </c>
    </row>
    <row r="201" spans="1:10" x14ac:dyDescent="0.2">
      <c r="A201" s="36">
        <v>45446</v>
      </c>
      <c r="B201" s="37">
        <v>115</v>
      </c>
      <c r="C201" s="38">
        <v>5.367</v>
      </c>
      <c r="D201" s="39">
        <v>4.8954238231189599E-2</v>
      </c>
      <c r="E201" s="37">
        <v>113.621</v>
      </c>
      <c r="F201" s="37">
        <v>112.003</v>
      </c>
      <c r="G201" s="37">
        <v>115</v>
      </c>
      <c r="H201" s="7">
        <v>438391760</v>
      </c>
      <c r="I201" s="37">
        <v>49831326753</v>
      </c>
      <c r="J201" s="37">
        <v>1489893701324.55</v>
      </c>
    </row>
    <row r="202" spans="1:10" x14ac:dyDescent="0.2">
      <c r="A202" s="36">
        <v>45443</v>
      </c>
      <c r="B202" s="37">
        <v>109.633</v>
      </c>
      <c r="C202" s="38">
        <v>-0.86700000000000399</v>
      </c>
      <c r="D202" s="39">
        <v>-7.8461538461538898E-3</v>
      </c>
      <c r="E202" s="37">
        <v>112.52</v>
      </c>
      <c r="F202" s="37">
        <v>106.94</v>
      </c>
      <c r="G202" s="37">
        <v>112.717</v>
      </c>
      <c r="H202" s="7">
        <v>613262500</v>
      </c>
      <c r="I202" s="37">
        <v>67198770298</v>
      </c>
      <c r="J202" s="37">
        <v>1440062374571.55</v>
      </c>
    </row>
    <row r="203" spans="1:10" x14ac:dyDescent="0.2">
      <c r="A203" s="36">
        <v>45442</v>
      </c>
      <c r="B203" s="37">
        <v>110.5</v>
      </c>
      <c r="C203" s="38">
        <v>-4.3250000000000002</v>
      </c>
      <c r="D203" s="39">
        <v>-3.7666013498802497E-2</v>
      </c>
      <c r="E203" s="37">
        <v>114.65</v>
      </c>
      <c r="F203" s="37">
        <v>109.663</v>
      </c>
      <c r="G203" s="37">
        <v>115.81914999999999</v>
      </c>
      <c r="H203" s="7">
        <v>487350330</v>
      </c>
      <c r="I203" s="37">
        <v>55110311180</v>
      </c>
      <c r="J203" s="37">
        <v>1507261144869.55</v>
      </c>
    </row>
    <row r="204" spans="1:10" x14ac:dyDescent="0.2">
      <c r="A204" s="36">
        <v>45441</v>
      </c>
      <c r="B204" s="37">
        <v>114.825</v>
      </c>
      <c r="C204" s="38">
        <v>0.92400000000000704</v>
      </c>
      <c r="D204" s="39">
        <v>8.1123080569969197E-3</v>
      </c>
      <c r="E204" s="37">
        <v>113.05</v>
      </c>
      <c r="F204" s="37">
        <v>110.901</v>
      </c>
      <c r="G204" s="37">
        <v>115.492</v>
      </c>
      <c r="H204" s="7">
        <v>557441930</v>
      </c>
      <c r="I204" s="37">
        <v>63493914397</v>
      </c>
      <c r="J204" s="37">
        <v>1562371456049.55</v>
      </c>
    </row>
    <row r="205" spans="1:10" x14ac:dyDescent="0.2">
      <c r="A205" s="36">
        <v>45440</v>
      </c>
      <c r="B205" s="37">
        <v>113.901</v>
      </c>
      <c r="C205" s="38">
        <v>7.4320000000000004</v>
      </c>
      <c r="D205" s="39">
        <v>6.9804356197578701E-2</v>
      </c>
      <c r="E205" s="37">
        <v>110.244</v>
      </c>
      <c r="F205" s="37">
        <v>109.883</v>
      </c>
      <c r="G205" s="37">
        <v>114.93899999999999</v>
      </c>
      <c r="H205" s="7">
        <v>652727890</v>
      </c>
      <c r="I205" s="37">
        <v>73517213568</v>
      </c>
      <c r="J205" s="37">
        <v>1498877541652.55</v>
      </c>
    </row>
    <row r="206" spans="1:10" x14ac:dyDescent="0.2">
      <c r="A206" s="36">
        <v>45436</v>
      </c>
      <c r="B206" s="37">
        <v>106.46899999999999</v>
      </c>
      <c r="C206" s="38">
        <v>2.6699999999999902</v>
      </c>
      <c r="D206" s="39">
        <v>2.5722791163691201E-2</v>
      </c>
      <c r="E206" s="37">
        <v>104.449</v>
      </c>
      <c r="F206" s="37">
        <v>103</v>
      </c>
      <c r="G206" s="37">
        <v>106.47499999999999</v>
      </c>
      <c r="H206" s="7">
        <v>429493670</v>
      </c>
      <c r="I206" s="37">
        <v>45051090401</v>
      </c>
      <c r="J206" s="37">
        <v>1425360328084.55</v>
      </c>
    </row>
    <row r="207" spans="1:10" x14ac:dyDescent="0.2">
      <c r="A207" s="36">
        <v>45435</v>
      </c>
      <c r="B207" s="37">
        <v>103.79900000000001</v>
      </c>
      <c r="C207" s="38">
        <v>8.8490000000000002</v>
      </c>
      <c r="D207" s="39">
        <v>9.3196419167983199E-2</v>
      </c>
      <c r="E207" s="37">
        <v>102.02800000000001</v>
      </c>
      <c r="F207" s="37">
        <v>101.52</v>
      </c>
      <c r="G207" s="37">
        <v>106.32</v>
      </c>
      <c r="H207" s="7">
        <v>835065280</v>
      </c>
      <c r="I207" s="37">
        <v>86714517387</v>
      </c>
      <c r="J207" s="37">
        <v>1380309237683.55</v>
      </c>
    </row>
    <row r="208" spans="1:10" x14ac:dyDescent="0.2">
      <c r="A208" s="36">
        <v>45434</v>
      </c>
      <c r="B208" s="37">
        <v>94.95</v>
      </c>
      <c r="C208" s="38">
        <v>-0.435999999999993</v>
      </c>
      <c r="D208" s="39">
        <v>-4.5709013901410397E-3</v>
      </c>
      <c r="E208" s="37">
        <v>95.459000000000003</v>
      </c>
      <c r="F208" s="37">
        <v>93.248999999999995</v>
      </c>
      <c r="G208" s="37">
        <v>96.02</v>
      </c>
      <c r="H208" s="7">
        <v>548647990</v>
      </c>
      <c r="I208" s="37">
        <v>52462075673</v>
      </c>
      <c r="J208" s="37">
        <v>1293594720296.55</v>
      </c>
    </row>
    <row r="209" spans="1:10" x14ac:dyDescent="0.2">
      <c r="A209" s="36">
        <v>45433</v>
      </c>
      <c r="B209" s="37">
        <v>95.385999999999996</v>
      </c>
      <c r="C209" s="38">
        <v>0.60599999999999499</v>
      </c>
      <c r="D209" s="39">
        <v>6.39375395653086E-3</v>
      </c>
      <c r="E209" s="37">
        <v>93.599000000000004</v>
      </c>
      <c r="F209" s="37">
        <v>93.18</v>
      </c>
      <c r="G209" s="37">
        <v>95.4</v>
      </c>
      <c r="H209" s="7">
        <v>328946460</v>
      </c>
      <c r="I209" s="37">
        <v>31108767280</v>
      </c>
      <c r="J209" s="37">
        <v>1346056795969.55</v>
      </c>
    </row>
    <row r="210" spans="1:10" x14ac:dyDescent="0.2">
      <c r="A210" s="36">
        <v>45432</v>
      </c>
      <c r="B210" s="37">
        <v>94.78</v>
      </c>
      <c r="C210" s="38">
        <v>2.3010000000000002</v>
      </c>
      <c r="D210" s="39">
        <v>2.48813244087847E-2</v>
      </c>
      <c r="E210" s="37">
        <v>93.75</v>
      </c>
      <c r="F210" s="37">
        <v>93.44</v>
      </c>
      <c r="G210" s="37">
        <v>95.2</v>
      </c>
      <c r="H210" s="7">
        <v>318764460</v>
      </c>
      <c r="I210" s="37">
        <v>30177040884</v>
      </c>
      <c r="J210" s="37">
        <v>1314948028689.55</v>
      </c>
    </row>
    <row r="211" spans="1:10" x14ac:dyDescent="0.2">
      <c r="A211" s="36">
        <v>45429</v>
      </c>
      <c r="B211" s="37">
        <v>92.478999999999999</v>
      </c>
      <c r="C211" s="38">
        <v>-1.88</v>
      </c>
      <c r="D211" s="39">
        <v>-1.9923907629372899E-2</v>
      </c>
      <c r="E211" s="37">
        <v>94.369</v>
      </c>
      <c r="F211" s="37">
        <v>91.805999999999997</v>
      </c>
      <c r="G211" s="37">
        <v>94.74</v>
      </c>
      <c r="H211" s="7">
        <v>359691030</v>
      </c>
      <c r="I211" s="37">
        <v>33506245441</v>
      </c>
      <c r="J211" s="37">
        <v>1284770987805.55</v>
      </c>
    </row>
    <row r="212" spans="1:10" x14ac:dyDescent="0.2">
      <c r="A212" s="36">
        <v>45428</v>
      </c>
      <c r="B212" s="37">
        <v>94.358999999999995</v>
      </c>
      <c r="C212" s="38">
        <v>-0.27100000000000102</v>
      </c>
      <c r="D212" s="39">
        <v>-2.8637852689421999E-3</v>
      </c>
      <c r="E212" s="37">
        <v>94.91</v>
      </c>
      <c r="F212" s="37">
        <v>94.102999999999994</v>
      </c>
      <c r="G212" s="37">
        <v>95.818989999999999</v>
      </c>
      <c r="H212" s="7">
        <v>323951820</v>
      </c>
      <c r="I212" s="37">
        <v>30755494772</v>
      </c>
      <c r="J212" s="37">
        <v>1318277233246.55</v>
      </c>
    </row>
    <row r="213" spans="1:10" x14ac:dyDescent="0.2">
      <c r="A213" s="36">
        <v>45427</v>
      </c>
      <c r="B213" s="37">
        <v>94.63</v>
      </c>
      <c r="C213" s="38">
        <v>3.274</v>
      </c>
      <c r="D213" s="39">
        <v>3.5837821270633598E-2</v>
      </c>
      <c r="E213" s="37">
        <v>92.471999999999994</v>
      </c>
      <c r="F213" s="37">
        <v>91.599000000000004</v>
      </c>
      <c r="G213" s="37">
        <v>94.861999999999995</v>
      </c>
      <c r="H213" s="7">
        <v>417735450</v>
      </c>
      <c r="I213" s="37">
        <v>39224137749</v>
      </c>
      <c r="J213" s="37">
        <v>1349032728018.55</v>
      </c>
    </row>
    <row r="214" spans="1:10" x14ac:dyDescent="0.2">
      <c r="A214" s="36">
        <v>45426</v>
      </c>
      <c r="B214" s="37">
        <v>91.355999999999995</v>
      </c>
      <c r="C214" s="38">
        <v>0.95699999999999397</v>
      </c>
      <c r="D214" s="39">
        <v>1.0586400292038599E-2</v>
      </c>
      <c r="E214" s="37">
        <v>89.599000000000004</v>
      </c>
      <c r="F214" s="37">
        <v>88.933999999999997</v>
      </c>
      <c r="G214" s="37">
        <v>91.650999999999996</v>
      </c>
      <c r="H214" s="7">
        <v>296507080</v>
      </c>
      <c r="I214" s="37">
        <v>26893381118</v>
      </c>
      <c r="J214" s="37">
        <v>1309808590269.55</v>
      </c>
    </row>
    <row r="215" spans="1:10" x14ac:dyDescent="0.2">
      <c r="A215" s="36">
        <v>45425</v>
      </c>
      <c r="B215" s="37">
        <v>90.399000000000001</v>
      </c>
      <c r="C215" s="38">
        <v>0.52100000000000102</v>
      </c>
      <c r="D215" s="39">
        <v>5.7967467010837E-3</v>
      </c>
      <c r="E215" s="37">
        <v>90.477999999999994</v>
      </c>
      <c r="F215" s="37">
        <v>88.528999999999996</v>
      </c>
      <c r="G215" s="37">
        <v>90.998000000000005</v>
      </c>
      <c r="H215" s="7">
        <v>289680170</v>
      </c>
      <c r="I215" s="37">
        <v>26107982597</v>
      </c>
      <c r="J215" s="37">
        <v>1282915209151.55</v>
      </c>
    </row>
    <row r="216" spans="1:10" x14ac:dyDescent="0.2">
      <c r="A216" s="36">
        <v>45422</v>
      </c>
      <c r="B216" s="37">
        <v>89.878</v>
      </c>
      <c r="C216" s="38">
        <v>1.131</v>
      </c>
      <c r="D216" s="39">
        <v>1.2744092758065101E-2</v>
      </c>
      <c r="E216" s="37">
        <v>90.304500000000004</v>
      </c>
      <c r="F216" s="37">
        <v>89.227000000000004</v>
      </c>
      <c r="G216" s="37">
        <v>91.400999999999996</v>
      </c>
      <c r="H216" s="7">
        <v>335325410</v>
      </c>
      <c r="I216" s="37">
        <v>30196687476</v>
      </c>
      <c r="J216" s="37">
        <v>1256807226554.55</v>
      </c>
    </row>
    <row r="217" spans="1:10" x14ac:dyDescent="0.2">
      <c r="A217" s="36">
        <v>45421</v>
      </c>
      <c r="B217" s="37">
        <v>88.747</v>
      </c>
      <c r="C217" s="38">
        <v>-1.66500000000001</v>
      </c>
      <c r="D217" s="39">
        <v>-1.8415697031367601E-2</v>
      </c>
      <c r="E217" s="37">
        <v>90.528999999999996</v>
      </c>
      <c r="F217" s="37">
        <v>88.230999999999995</v>
      </c>
      <c r="G217" s="37">
        <v>91.072000000000003</v>
      </c>
      <c r="H217" s="7">
        <v>378012680</v>
      </c>
      <c r="I217" s="37">
        <v>33680531092</v>
      </c>
      <c r="J217" s="37">
        <v>1226610539078.55</v>
      </c>
    </row>
    <row r="218" spans="1:10" x14ac:dyDescent="0.2">
      <c r="A218" s="36">
        <v>45420</v>
      </c>
      <c r="B218" s="37">
        <v>90.412000000000006</v>
      </c>
      <c r="C218" s="38">
        <v>-0.14199999999999599</v>
      </c>
      <c r="D218" s="39">
        <v>-1.56812509662738E-3</v>
      </c>
      <c r="E218" s="37">
        <v>89.482500000000002</v>
      </c>
      <c r="F218" s="37">
        <v>89.42</v>
      </c>
      <c r="G218" s="37">
        <v>91.194000000000003</v>
      </c>
      <c r="H218" s="7">
        <v>325721020</v>
      </c>
      <c r="I218" s="37">
        <v>29417331512</v>
      </c>
      <c r="J218" s="37">
        <v>1260291070170.55</v>
      </c>
    </row>
    <row r="219" spans="1:10" x14ac:dyDescent="0.2">
      <c r="A219" s="36">
        <v>45419</v>
      </c>
      <c r="B219" s="37">
        <v>90.554000000000002</v>
      </c>
      <c r="C219" s="38">
        <v>-1.5860000000000001</v>
      </c>
      <c r="D219" s="39">
        <v>-1.72129368352507E-2</v>
      </c>
      <c r="E219" s="37">
        <v>91.097999999999999</v>
      </c>
      <c r="F219" s="37">
        <v>89.010999999999996</v>
      </c>
      <c r="G219" s="37">
        <v>91.780990000000003</v>
      </c>
      <c r="H219" s="7">
        <v>437341610</v>
      </c>
      <c r="I219" s="37">
        <v>39609338960</v>
      </c>
      <c r="J219" s="37">
        <v>1289708401682.55</v>
      </c>
    </row>
    <row r="220" spans="1:10" x14ac:dyDescent="0.2">
      <c r="A220" s="36">
        <v>45418</v>
      </c>
      <c r="B220" s="37">
        <v>92.14</v>
      </c>
      <c r="C220" s="38">
        <v>3.351</v>
      </c>
      <c r="D220" s="39">
        <v>3.7741161630382103E-2</v>
      </c>
      <c r="E220" s="37">
        <v>89.39</v>
      </c>
      <c r="F220" s="37">
        <v>89.055000000000007</v>
      </c>
      <c r="G220" s="37">
        <v>92.22</v>
      </c>
      <c r="H220" s="7">
        <v>376202550</v>
      </c>
      <c r="I220" s="37">
        <v>34369427863</v>
      </c>
      <c r="J220" s="37">
        <v>1329317740642.55</v>
      </c>
    </row>
    <row r="221" spans="1:10" x14ac:dyDescent="0.2">
      <c r="A221" s="36">
        <v>45415</v>
      </c>
      <c r="B221" s="37">
        <v>88.789000000000001</v>
      </c>
      <c r="C221" s="38">
        <v>2.9720000000000102</v>
      </c>
      <c r="D221" s="39">
        <v>3.4631832853630501E-2</v>
      </c>
      <c r="E221" s="37">
        <v>87.789000000000001</v>
      </c>
      <c r="F221" s="37">
        <v>87.04</v>
      </c>
      <c r="G221" s="37">
        <v>89.281000000000006</v>
      </c>
      <c r="H221" s="7">
        <v>398340720</v>
      </c>
      <c r="I221" s="37">
        <v>35189232774</v>
      </c>
      <c r="J221" s="37">
        <v>1294948312779.55</v>
      </c>
    </row>
    <row r="222" spans="1:10" x14ac:dyDescent="0.2">
      <c r="A222" s="36">
        <v>45414</v>
      </c>
      <c r="B222" s="37">
        <v>85.816999999999993</v>
      </c>
      <c r="C222" s="38">
        <v>2.7759999999999998</v>
      </c>
      <c r="D222" s="39">
        <v>3.3429269878734597E-2</v>
      </c>
      <c r="E222" s="37">
        <v>84.448999999999998</v>
      </c>
      <c r="F222" s="37">
        <v>83.2</v>
      </c>
      <c r="G222" s="37">
        <v>86.236999999999995</v>
      </c>
      <c r="H222" s="7">
        <v>377897540</v>
      </c>
      <c r="I222" s="37">
        <v>32117972001</v>
      </c>
      <c r="J222" s="37">
        <v>1259759080005.55</v>
      </c>
    </row>
    <row r="223" spans="1:10" x14ac:dyDescent="0.2">
      <c r="A223" s="36">
        <v>45413</v>
      </c>
      <c r="B223" s="37">
        <v>83.040999999999997</v>
      </c>
      <c r="C223" s="38">
        <v>-3.3610000000000002</v>
      </c>
      <c r="D223" s="39">
        <v>-3.8899562510127099E-2</v>
      </c>
      <c r="E223" s="37">
        <v>85.076999999999998</v>
      </c>
      <c r="F223" s="37">
        <v>81.254559999999998</v>
      </c>
      <c r="G223" s="37">
        <v>86</v>
      </c>
      <c r="H223" s="7">
        <v>559863170</v>
      </c>
      <c r="I223" s="37">
        <v>46774993629</v>
      </c>
      <c r="J223" s="37">
        <v>1227641108004.55</v>
      </c>
    </row>
    <row r="224" spans="1:10" x14ac:dyDescent="0.2">
      <c r="A224" s="36">
        <v>45412</v>
      </c>
      <c r="B224" s="37">
        <v>86.402000000000001</v>
      </c>
      <c r="C224" s="38">
        <v>-1.355</v>
      </c>
      <c r="D224" s="39">
        <v>-1.54403637316682E-2</v>
      </c>
      <c r="E224" s="37">
        <v>87.24</v>
      </c>
      <c r="F224" s="37">
        <v>86.3</v>
      </c>
      <c r="G224" s="37">
        <v>88.819000000000003</v>
      </c>
      <c r="H224" s="7">
        <v>363708700</v>
      </c>
      <c r="I224" s="37">
        <v>31721378479</v>
      </c>
      <c r="J224" s="37">
        <v>1274416101633.55</v>
      </c>
    </row>
    <row r="225" spans="1:10" x14ac:dyDescent="0.2">
      <c r="A225" s="36">
        <v>45411</v>
      </c>
      <c r="B225" s="37">
        <v>87.757000000000005</v>
      </c>
      <c r="C225" s="38">
        <v>2.2000000000005598E-2</v>
      </c>
      <c r="D225" s="39">
        <v>2.5075511483450803E-4</v>
      </c>
      <c r="E225" s="37">
        <v>87.594999999999999</v>
      </c>
      <c r="F225" s="37">
        <v>85.266000000000005</v>
      </c>
      <c r="G225" s="37">
        <v>87.992000000000004</v>
      </c>
      <c r="H225" s="7">
        <v>388970760</v>
      </c>
      <c r="I225" s="37">
        <v>33862296004</v>
      </c>
      <c r="J225" s="37">
        <v>1306137480112.55</v>
      </c>
    </row>
    <row r="226" spans="1:10" x14ac:dyDescent="0.2">
      <c r="A226" s="36">
        <v>45408</v>
      </c>
      <c r="B226" s="37">
        <v>87.734999999999999</v>
      </c>
      <c r="C226" s="38">
        <v>5.10299999999999</v>
      </c>
      <c r="D226" s="39">
        <v>6.1755736276503E-2</v>
      </c>
      <c r="E226" s="37">
        <v>83.817999999999998</v>
      </c>
      <c r="F226" s="37">
        <v>83.387</v>
      </c>
      <c r="G226" s="37">
        <v>88.330929999999995</v>
      </c>
      <c r="H226" s="7">
        <v>551010780</v>
      </c>
      <c r="I226" s="37">
        <v>47737382235</v>
      </c>
      <c r="J226" s="37">
        <v>1272275184108.55</v>
      </c>
    </row>
    <row r="227" spans="1:10" x14ac:dyDescent="0.2">
      <c r="A227" s="36">
        <v>45407</v>
      </c>
      <c r="B227" s="37">
        <v>82.632000000000005</v>
      </c>
      <c r="C227" s="38">
        <v>2.9550000000000001</v>
      </c>
      <c r="D227" s="39">
        <v>3.7087239730411503E-2</v>
      </c>
      <c r="E227" s="37">
        <v>78.868009999999998</v>
      </c>
      <c r="F227" s="37">
        <v>78.222999999999999</v>
      </c>
      <c r="G227" s="37">
        <v>83.322990000000004</v>
      </c>
      <c r="H227" s="7">
        <v>424640730</v>
      </c>
      <c r="I227" s="37">
        <v>34702736876</v>
      </c>
      <c r="J227" s="37">
        <v>1224537801873.55</v>
      </c>
    </row>
    <row r="228" spans="1:10" x14ac:dyDescent="0.2">
      <c r="A228" s="36">
        <v>45406</v>
      </c>
      <c r="B228" s="37">
        <v>79.677000000000007</v>
      </c>
      <c r="C228" s="38">
        <v>-2.746</v>
      </c>
      <c r="D228" s="39">
        <v>-3.3315943365322703E-2</v>
      </c>
      <c r="E228" s="37">
        <v>83.95</v>
      </c>
      <c r="F228" s="37">
        <v>79.183000000000007</v>
      </c>
      <c r="G228" s="37">
        <v>84.081999999999994</v>
      </c>
      <c r="H228" s="7">
        <v>512207530</v>
      </c>
      <c r="I228" s="37">
        <v>41654349876</v>
      </c>
      <c r="J228" s="37">
        <v>1189835064997.55</v>
      </c>
    </row>
    <row r="229" spans="1:10" x14ac:dyDescent="0.2">
      <c r="A229" s="36">
        <v>45405</v>
      </c>
      <c r="B229" s="37">
        <v>82.423000000000002</v>
      </c>
      <c r="C229" s="38">
        <v>2.9049999999999998</v>
      </c>
      <c r="D229" s="39">
        <v>3.6532608969038503E-2</v>
      </c>
      <c r="E229" s="37">
        <v>80.769000000000005</v>
      </c>
      <c r="F229" s="37">
        <v>80.263999999999996</v>
      </c>
      <c r="G229" s="37">
        <v>82.769000000000005</v>
      </c>
      <c r="H229" s="7">
        <v>438559370</v>
      </c>
      <c r="I229" s="37">
        <v>35929288246</v>
      </c>
      <c r="J229" s="37">
        <v>1231489414873.55</v>
      </c>
    </row>
    <row r="230" spans="1:10" x14ac:dyDescent="0.2">
      <c r="A230" s="36">
        <v>45404</v>
      </c>
      <c r="B230" s="37">
        <v>79.518000000000001</v>
      </c>
      <c r="C230" s="38">
        <v>3.3180000000000001</v>
      </c>
      <c r="D230" s="39">
        <v>4.3543307086614101E-2</v>
      </c>
      <c r="E230" s="37">
        <v>78.103999999999999</v>
      </c>
      <c r="F230" s="37">
        <v>76.400000000000006</v>
      </c>
      <c r="G230" s="37">
        <v>80.072999999999993</v>
      </c>
      <c r="H230" s="7">
        <v>596340510</v>
      </c>
      <c r="I230" s="37">
        <v>46877076049</v>
      </c>
      <c r="J230" s="37">
        <v>1195560126627.55</v>
      </c>
    </row>
    <row r="231" spans="1:10" x14ac:dyDescent="0.2">
      <c r="A231" s="36">
        <v>45401</v>
      </c>
      <c r="B231" s="37">
        <v>76.2</v>
      </c>
      <c r="C231" s="38">
        <v>-8.4710000000000001</v>
      </c>
      <c r="D231" s="39">
        <v>-0.100046060634692</v>
      </c>
      <c r="E231" s="37">
        <v>83.15</v>
      </c>
      <c r="F231" s="37">
        <v>75.605999999999995</v>
      </c>
      <c r="G231" s="37">
        <v>84.323999999999998</v>
      </c>
      <c r="H231" s="7">
        <v>875198000</v>
      </c>
      <c r="I231" s="37">
        <v>69697834116</v>
      </c>
      <c r="J231" s="37">
        <v>1148683050578.55</v>
      </c>
    </row>
    <row r="232" spans="1:10" x14ac:dyDescent="0.2">
      <c r="A232" s="36">
        <v>45400</v>
      </c>
      <c r="B232" s="37">
        <v>84.671000000000006</v>
      </c>
      <c r="C232" s="38">
        <v>0.63600000000001</v>
      </c>
      <c r="D232" s="39">
        <v>7.5682751234605796E-3</v>
      </c>
      <c r="E232" s="37">
        <v>84.97</v>
      </c>
      <c r="F232" s="37">
        <v>82.402000000000001</v>
      </c>
      <c r="G232" s="37">
        <v>86.189989999999995</v>
      </c>
      <c r="H232" s="7">
        <v>447260340</v>
      </c>
      <c r="I232" s="37">
        <v>37911005759</v>
      </c>
      <c r="J232" s="37">
        <v>1218380884694.55</v>
      </c>
    </row>
    <row r="233" spans="1:10" x14ac:dyDescent="0.2">
      <c r="A233" s="36">
        <v>45399</v>
      </c>
      <c r="B233" s="37">
        <v>84.034999999999997</v>
      </c>
      <c r="C233" s="38">
        <v>-3.3800000000000101</v>
      </c>
      <c r="D233" s="39">
        <v>-3.8666132814734397E-2</v>
      </c>
      <c r="E233" s="37">
        <v>88.34</v>
      </c>
      <c r="F233" s="37">
        <v>83.95</v>
      </c>
      <c r="G233" s="37">
        <v>88.775000000000006</v>
      </c>
      <c r="H233" s="7">
        <v>495399510</v>
      </c>
      <c r="I233" s="37">
        <v>42450604294</v>
      </c>
      <c r="J233" s="37">
        <v>1180469878935.55</v>
      </c>
    </row>
    <row r="234" spans="1:10" x14ac:dyDescent="0.2">
      <c r="A234" s="36">
        <v>45398</v>
      </c>
      <c r="B234" s="37">
        <v>87.415000000000006</v>
      </c>
      <c r="C234" s="38">
        <v>1.4139999999999999</v>
      </c>
      <c r="D234" s="39">
        <v>1.6441669282915301E-2</v>
      </c>
      <c r="E234" s="37">
        <v>86.432500000000005</v>
      </c>
      <c r="F234" s="37">
        <v>86.063900000000004</v>
      </c>
      <c r="G234" s="37">
        <v>88.117999999999995</v>
      </c>
      <c r="H234" s="7">
        <v>370453020</v>
      </c>
      <c r="I234" s="37">
        <v>32327509822</v>
      </c>
      <c r="J234" s="37">
        <v>1222920483229.55</v>
      </c>
    </row>
    <row r="235" spans="1:10" x14ac:dyDescent="0.2">
      <c r="A235" s="36">
        <v>45397</v>
      </c>
      <c r="B235" s="37">
        <v>86.001000000000005</v>
      </c>
      <c r="C235" s="38">
        <v>-2.1850000000000001</v>
      </c>
      <c r="D235" s="39">
        <v>-2.4777175515388002E-2</v>
      </c>
      <c r="E235" s="37">
        <v>89.097999999999999</v>
      </c>
      <c r="F235" s="37">
        <v>85.929010000000005</v>
      </c>
      <c r="G235" s="37">
        <v>90.613</v>
      </c>
      <c r="H235" s="7">
        <v>443076950</v>
      </c>
      <c r="I235" s="37">
        <v>39044193614</v>
      </c>
      <c r="J235" s="37">
        <v>1190592973407.55</v>
      </c>
    </row>
    <row r="236" spans="1:10" x14ac:dyDescent="0.2">
      <c r="A236" s="36">
        <v>45394</v>
      </c>
      <c r="B236" s="37">
        <v>88.186000000000007</v>
      </c>
      <c r="C236" s="38">
        <v>-2.4299999999999899</v>
      </c>
      <c r="D236" s="39">
        <v>-2.6816456254965901E-2</v>
      </c>
      <c r="E236" s="37">
        <v>89.698999999999998</v>
      </c>
      <c r="F236" s="37">
        <v>87.53</v>
      </c>
      <c r="G236" s="37">
        <v>90.174989999999994</v>
      </c>
      <c r="H236" s="7">
        <v>426804790</v>
      </c>
      <c r="I236" s="37">
        <v>37873440500</v>
      </c>
      <c r="J236" s="37">
        <v>1229637167021.55</v>
      </c>
    </row>
    <row r="237" spans="1:10" x14ac:dyDescent="0.2">
      <c r="A237" s="36">
        <v>45393</v>
      </c>
      <c r="B237" s="37">
        <v>90.616</v>
      </c>
      <c r="C237" s="38">
        <v>3.577</v>
      </c>
      <c r="D237" s="39">
        <v>4.1096519950826603E-2</v>
      </c>
      <c r="E237" s="37">
        <v>87.42</v>
      </c>
      <c r="F237" s="37">
        <v>86.926000000000002</v>
      </c>
      <c r="G237" s="37">
        <v>90.738990000000001</v>
      </c>
      <c r="H237" s="7">
        <v>431637270</v>
      </c>
      <c r="I237" s="37">
        <v>38458091298</v>
      </c>
      <c r="J237" s="37">
        <v>1267510607521.55</v>
      </c>
    </row>
    <row r="238" spans="1:10" x14ac:dyDescent="0.2">
      <c r="A238" s="36">
        <v>45392</v>
      </c>
      <c r="B238" s="37">
        <v>87.039000000000001</v>
      </c>
      <c r="C238" s="38">
        <v>1.6850000000000001</v>
      </c>
      <c r="D238" s="39">
        <v>1.9741312650842401E-2</v>
      </c>
      <c r="E238" s="37">
        <v>83.926000000000002</v>
      </c>
      <c r="F238" s="37">
        <v>83.709000000000003</v>
      </c>
      <c r="G238" s="37">
        <v>87.4</v>
      </c>
      <c r="H238" s="7">
        <v>431928530</v>
      </c>
      <c r="I238" s="37">
        <v>37307369824</v>
      </c>
      <c r="J238" s="37">
        <v>1229052516223.55</v>
      </c>
    </row>
    <row r="239" spans="1:10" x14ac:dyDescent="0.2">
      <c r="A239" s="36">
        <v>45391</v>
      </c>
      <c r="B239" s="37">
        <v>85.353999999999999</v>
      </c>
      <c r="C239" s="38">
        <v>-1.7789999999999999</v>
      </c>
      <c r="D239" s="39">
        <v>-2.0417063569485701E-2</v>
      </c>
      <c r="E239" s="37">
        <v>87.441999999999993</v>
      </c>
      <c r="F239" s="37">
        <v>83.022000000000006</v>
      </c>
      <c r="G239" s="37">
        <v>87.635000000000005</v>
      </c>
      <c r="H239" s="7">
        <v>503547350</v>
      </c>
      <c r="I239" s="37">
        <v>42709611852</v>
      </c>
      <c r="J239" s="37">
        <v>1191745146399.55</v>
      </c>
    </row>
    <row r="240" spans="1:10" x14ac:dyDescent="0.2">
      <c r="A240" s="36">
        <v>45390</v>
      </c>
      <c r="B240" s="37">
        <v>87.132999999999996</v>
      </c>
      <c r="C240" s="38">
        <v>-0.875</v>
      </c>
      <c r="D240" s="39">
        <v>-9.9422779747295707E-3</v>
      </c>
      <c r="E240" s="37">
        <v>88.7</v>
      </c>
      <c r="F240" s="37">
        <v>86.731999999999999</v>
      </c>
      <c r="G240" s="37">
        <v>88.83</v>
      </c>
      <c r="H240" s="7">
        <v>283220000</v>
      </c>
      <c r="I240" s="37">
        <v>24761289839</v>
      </c>
      <c r="J240" s="37">
        <v>1234454758251.55</v>
      </c>
    </row>
    <row r="241" spans="1:10" x14ac:dyDescent="0.2">
      <c r="A241" s="36">
        <v>45387</v>
      </c>
      <c r="B241" s="37">
        <v>88.007999999999996</v>
      </c>
      <c r="C241" s="38">
        <v>2.10299999999999</v>
      </c>
      <c r="D241" s="39">
        <v>2.4480530818927801E-2</v>
      </c>
      <c r="E241" s="37">
        <v>86.866</v>
      </c>
      <c r="F241" s="37">
        <v>85.926000000000002</v>
      </c>
      <c r="G241" s="37">
        <v>88.480999999999995</v>
      </c>
      <c r="H241" s="7">
        <v>399678460</v>
      </c>
      <c r="I241" s="37">
        <v>35005509750</v>
      </c>
      <c r="J241" s="37">
        <v>1259216048090.55</v>
      </c>
    </row>
    <row r="242" spans="1:10" x14ac:dyDescent="0.2">
      <c r="A242" s="36">
        <v>45386</v>
      </c>
      <c r="B242" s="37">
        <v>85.905000000000001</v>
      </c>
      <c r="C242" s="38">
        <v>-3.0590000000000002</v>
      </c>
      <c r="D242" s="39">
        <v>-3.4384694932781797E-2</v>
      </c>
      <c r="E242" s="37">
        <v>90.406000000000006</v>
      </c>
      <c r="F242" s="37">
        <v>85.88</v>
      </c>
      <c r="G242" s="37">
        <v>90.633989999999997</v>
      </c>
      <c r="H242" s="7">
        <v>434964920</v>
      </c>
      <c r="I242" s="37">
        <v>38429115043</v>
      </c>
      <c r="J242" s="37">
        <v>1224210538340.55</v>
      </c>
    </row>
    <row r="243" spans="1:10" x14ac:dyDescent="0.2">
      <c r="A243" s="36">
        <v>45385</v>
      </c>
      <c r="B243" s="37">
        <v>88.963999999999999</v>
      </c>
      <c r="C243" s="38">
        <v>-0.48799999999999999</v>
      </c>
      <c r="D243" s="39">
        <v>-5.45543978893708E-3</v>
      </c>
      <c r="E243" s="37">
        <v>88.483999999999995</v>
      </c>
      <c r="F243" s="37">
        <v>88.4</v>
      </c>
      <c r="G243" s="37">
        <v>90.373999999999995</v>
      </c>
      <c r="H243" s="7">
        <v>370066550</v>
      </c>
      <c r="I243" s="37">
        <v>33137733289</v>
      </c>
      <c r="J243" s="37">
        <v>1262639653383.55</v>
      </c>
    </row>
    <row r="244" spans="1:10" x14ac:dyDescent="0.2">
      <c r="A244" s="36">
        <v>45384</v>
      </c>
      <c r="B244" s="37">
        <v>89.451999999999998</v>
      </c>
      <c r="C244" s="38">
        <v>-0.91100000000000103</v>
      </c>
      <c r="D244" s="39">
        <v>-1.00815599305025E-2</v>
      </c>
      <c r="E244" s="37">
        <v>88.447999999999993</v>
      </c>
      <c r="F244" s="37">
        <v>87.62</v>
      </c>
      <c r="G244" s="37">
        <v>90.093999999999994</v>
      </c>
      <c r="H244" s="7">
        <v>433063550</v>
      </c>
      <c r="I244" s="37">
        <v>38525726884</v>
      </c>
      <c r="J244" s="37">
        <v>1295777386672.55</v>
      </c>
    </row>
    <row r="245" spans="1:10" x14ac:dyDescent="0.2">
      <c r="A245" s="36">
        <v>45383</v>
      </c>
      <c r="B245" s="37">
        <v>90.363</v>
      </c>
      <c r="C245" s="38">
        <v>7.0000000000049996E-3</v>
      </c>
      <c r="D245" s="39">
        <v>7.7471335605881197E-5</v>
      </c>
      <c r="E245" s="37">
        <v>90.299000000000007</v>
      </c>
      <c r="F245" s="37">
        <v>89.203999999999994</v>
      </c>
      <c r="G245" s="37">
        <v>92.224999999999994</v>
      </c>
      <c r="H245" s="7">
        <v>452441490</v>
      </c>
      <c r="I245" s="37">
        <v>40952405243</v>
      </c>
      <c r="J245" s="37">
        <v>1334303113556.55</v>
      </c>
    </row>
    <row r="246" spans="1:10" x14ac:dyDescent="0.2">
      <c r="A246" s="36">
        <v>45379</v>
      </c>
      <c r="B246" s="37">
        <v>90.355999999999995</v>
      </c>
      <c r="C246" s="38">
        <v>0.105999999999995</v>
      </c>
      <c r="D246" s="39">
        <v>1.1745152354569999E-3</v>
      </c>
      <c r="E246" s="37">
        <v>90</v>
      </c>
      <c r="F246" s="37">
        <v>89.192999999999998</v>
      </c>
      <c r="G246" s="37">
        <v>91.3</v>
      </c>
      <c r="H246" s="7">
        <v>435212270</v>
      </c>
      <c r="I246" s="37">
        <v>39386864917</v>
      </c>
      <c r="J246" s="37">
        <v>1293350708313.55</v>
      </c>
    </row>
    <row r="247" spans="1:10" x14ac:dyDescent="0.2">
      <c r="A247" s="36">
        <v>45378</v>
      </c>
      <c r="B247" s="37">
        <v>90.25</v>
      </c>
      <c r="C247" s="38">
        <v>-2.3110000000000102</v>
      </c>
      <c r="D247" s="39">
        <v>-2.49673188491914E-2</v>
      </c>
      <c r="E247" s="37">
        <v>93.111999999999995</v>
      </c>
      <c r="F247" s="37">
        <v>89.123000000000005</v>
      </c>
      <c r="G247" s="37">
        <v>93.24</v>
      </c>
      <c r="H247" s="7">
        <v>586067230</v>
      </c>
      <c r="I247" s="37">
        <v>52936168090</v>
      </c>
      <c r="J247" s="37">
        <v>1253963843396.55</v>
      </c>
    </row>
    <row r="248" spans="1:10" x14ac:dyDescent="0.2">
      <c r="A248" s="36">
        <v>45377</v>
      </c>
      <c r="B248" s="37">
        <v>92.561000000000007</v>
      </c>
      <c r="C248" s="38">
        <v>-2.4409999999999901</v>
      </c>
      <c r="D248" s="39">
        <v>-2.5694195911664899E-2</v>
      </c>
      <c r="E248" s="37">
        <v>95.850999999999999</v>
      </c>
      <c r="F248" s="37">
        <v>92.501999999999995</v>
      </c>
      <c r="G248" s="37">
        <v>96.375</v>
      </c>
      <c r="H248" s="7">
        <v>513647580</v>
      </c>
      <c r="I248" s="37">
        <v>48515331564</v>
      </c>
      <c r="J248" s="37">
        <v>1306900011486.55</v>
      </c>
    </row>
    <row r="249" spans="1:10" x14ac:dyDescent="0.2">
      <c r="A249" s="36">
        <v>45376</v>
      </c>
      <c r="B249" s="37">
        <v>95.001999999999995</v>
      </c>
      <c r="C249" s="38">
        <v>0.71299999999999397</v>
      </c>
      <c r="D249" s="39">
        <v>7.5618576928379103E-3</v>
      </c>
      <c r="E249" s="37">
        <v>93.941000000000003</v>
      </c>
      <c r="F249" s="37">
        <v>93.51</v>
      </c>
      <c r="G249" s="37">
        <v>96.765990000000002</v>
      </c>
      <c r="H249" s="7">
        <v>552136080</v>
      </c>
      <c r="I249" s="37">
        <v>52700342698</v>
      </c>
      <c r="J249" s="37">
        <v>1355415343050.55</v>
      </c>
    </row>
    <row r="250" spans="1:10" x14ac:dyDescent="0.2">
      <c r="A250" s="36">
        <v>45373</v>
      </c>
      <c r="B250" s="37">
        <v>94.289000000000001</v>
      </c>
      <c r="C250" s="38">
        <v>2.8540000000000001</v>
      </c>
      <c r="D250" s="39">
        <v>3.1213430305681598E-2</v>
      </c>
      <c r="E250" s="37">
        <v>91.141000000000005</v>
      </c>
      <c r="F250" s="37">
        <v>90.834010000000006</v>
      </c>
      <c r="G250" s="37">
        <v>94.777990000000003</v>
      </c>
      <c r="H250" s="7">
        <v>586719360</v>
      </c>
      <c r="I250" s="37">
        <v>54868880676</v>
      </c>
      <c r="J250" s="37">
        <v>1302715000352.55</v>
      </c>
    </row>
    <row r="251" spans="1:10" x14ac:dyDescent="0.2">
      <c r="A251" s="36">
        <v>45372</v>
      </c>
      <c r="B251" s="37">
        <v>91.435000000000002</v>
      </c>
      <c r="C251" s="38">
        <v>1.0629999999999999</v>
      </c>
      <c r="D251" s="39">
        <v>1.17624928075068E-2</v>
      </c>
      <c r="E251" s="37">
        <v>92.3</v>
      </c>
      <c r="F251" s="37">
        <v>90.405000000000001</v>
      </c>
      <c r="G251" s="37">
        <v>92.647999999999996</v>
      </c>
      <c r="H251" s="7">
        <v>480372310</v>
      </c>
      <c r="I251" s="37">
        <v>44023403596</v>
      </c>
      <c r="J251" s="37">
        <v>1247846119676.55</v>
      </c>
    </row>
    <row r="252" spans="1:10" x14ac:dyDescent="0.2">
      <c r="A252" s="36">
        <v>45371</v>
      </c>
      <c r="B252" s="37">
        <v>90.372</v>
      </c>
      <c r="C252" s="38">
        <v>0.97400000000000397</v>
      </c>
      <c r="D252" s="39">
        <v>1.08950983243473E-2</v>
      </c>
      <c r="E252" s="37">
        <v>89.796999999999997</v>
      </c>
      <c r="F252" s="37">
        <v>88.222999999999999</v>
      </c>
      <c r="G252" s="37">
        <v>90.41</v>
      </c>
      <c r="H252" s="7">
        <v>479062790</v>
      </c>
      <c r="I252" s="37">
        <v>42819980470</v>
      </c>
      <c r="J252" s="37">
        <v>1203822716080.55</v>
      </c>
    </row>
    <row r="253" spans="1:10" x14ac:dyDescent="0.2">
      <c r="A253" s="36">
        <v>45370</v>
      </c>
      <c r="B253" s="37">
        <v>89.397999999999996</v>
      </c>
      <c r="C253" s="38">
        <v>0.94299999999999795</v>
      </c>
      <c r="D253" s="39">
        <v>1.0660787971284801E-2</v>
      </c>
      <c r="E253" s="37">
        <v>86.7</v>
      </c>
      <c r="F253" s="37">
        <v>85.01</v>
      </c>
      <c r="G253" s="37">
        <v>90.543999999999997</v>
      </c>
      <c r="H253" s="7">
        <v>672171270</v>
      </c>
      <c r="I253" s="37">
        <v>59057331975</v>
      </c>
      <c r="J253" s="37">
        <v>1161002735610.55</v>
      </c>
    </row>
    <row r="254" spans="1:10" x14ac:dyDescent="0.2">
      <c r="A254" s="36">
        <v>45369</v>
      </c>
      <c r="B254" s="37">
        <v>88.454999999999998</v>
      </c>
      <c r="C254" s="38">
        <v>0.61849999999999705</v>
      </c>
      <c r="D254" s="39">
        <v>7.0414918627221901E-3</v>
      </c>
      <c r="E254" s="37">
        <v>90.388000000000005</v>
      </c>
      <c r="F254" s="37">
        <v>87.084999999999994</v>
      </c>
      <c r="G254" s="37">
        <v>92.405000000000001</v>
      </c>
      <c r="H254" s="7">
        <v>668975930</v>
      </c>
      <c r="I254" s="37">
        <v>59770056493</v>
      </c>
      <c r="J254" s="37">
        <v>1101945403635.55</v>
      </c>
    </row>
    <row r="255" spans="1:10" x14ac:dyDescent="0.2">
      <c r="A255" s="36">
        <v>45366</v>
      </c>
      <c r="B255" s="37">
        <v>87.836500000000001</v>
      </c>
      <c r="C255" s="38">
        <v>-0.107500000000002</v>
      </c>
      <c r="D255" s="39">
        <v>-1.22236878013283E-3</v>
      </c>
      <c r="E255" s="37">
        <v>86.93</v>
      </c>
      <c r="F255" s="37">
        <v>86.257000000000005</v>
      </c>
      <c r="G255" s="37">
        <v>89.546000000000006</v>
      </c>
      <c r="H255" s="7">
        <v>642086160</v>
      </c>
      <c r="I255" s="37">
        <v>56658312077</v>
      </c>
      <c r="J255" s="37">
        <v>1042175347142.55</v>
      </c>
    </row>
    <row r="256" spans="1:10" x14ac:dyDescent="0.2">
      <c r="A256" s="36">
        <v>45365</v>
      </c>
      <c r="B256" s="37">
        <v>87.944000000000003</v>
      </c>
      <c r="C256" s="38">
        <v>-2.944</v>
      </c>
      <c r="D256" s="39">
        <v>-3.2391514831440898E-2</v>
      </c>
      <c r="E256" s="37">
        <v>89.576999999999998</v>
      </c>
      <c r="F256" s="37">
        <v>86.6</v>
      </c>
      <c r="G256" s="37">
        <v>90.646000000000001</v>
      </c>
      <c r="H256" s="7">
        <v>602318160</v>
      </c>
      <c r="I256" s="37">
        <v>53053743117</v>
      </c>
      <c r="J256" s="37">
        <v>1098833659219.55</v>
      </c>
    </row>
    <row r="257" spans="1:10" x14ac:dyDescent="0.2">
      <c r="A257" s="36">
        <v>45364</v>
      </c>
      <c r="B257" s="37">
        <v>90.888000000000005</v>
      </c>
      <c r="C257" s="38">
        <v>-1.0249999999999899</v>
      </c>
      <c r="D257" s="39">
        <v>-1.1151850119134299E-2</v>
      </c>
      <c r="E257" s="37">
        <v>91.055000000000007</v>
      </c>
      <c r="F257" s="37">
        <v>88.435000000000002</v>
      </c>
      <c r="G257" s="37">
        <v>91.504000000000005</v>
      </c>
      <c r="H257" s="7">
        <v>635712890</v>
      </c>
      <c r="I257" s="37">
        <v>57188202194</v>
      </c>
      <c r="J257" s="37">
        <v>1151887402336.55</v>
      </c>
    </row>
    <row r="258" spans="1:10" x14ac:dyDescent="0.2">
      <c r="A258" s="36">
        <v>45363</v>
      </c>
      <c r="B258" s="37">
        <v>91.912999999999997</v>
      </c>
      <c r="C258" s="38">
        <v>6.1390000000000002</v>
      </c>
      <c r="D258" s="39">
        <v>7.1571804975866807E-2</v>
      </c>
      <c r="E258" s="37">
        <v>88.049000000000007</v>
      </c>
      <c r="F258" s="37">
        <v>86.150099999999995</v>
      </c>
      <c r="G258" s="37">
        <v>91.96</v>
      </c>
      <c r="H258" s="7">
        <v>668075150</v>
      </c>
      <c r="I258" s="37">
        <v>59936578893</v>
      </c>
      <c r="J258" s="37">
        <v>1209075604530.55</v>
      </c>
    </row>
    <row r="259" spans="1:10" x14ac:dyDescent="0.2">
      <c r="A259" s="36">
        <v>45362</v>
      </c>
      <c r="B259" s="37">
        <v>85.774000000000001</v>
      </c>
      <c r="C259" s="38">
        <v>-1.754</v>
      </c>
      <c r="D259" s="39">
        <v>-2.0039301709167401E-2</v>
      </c>
      <c r="E259" s="37">
        <v>86.429000000000002</v>
      </c>
      <c r="F259" s="37">
        <v>84.165999999999997</v>
      </c>
      <c r="G259" s="37">
        <v>88.796999999999997</v>
      </c>
      <c r="H259" s="7">
        <v>678364120</v>
      </c>
      <c r="I259" s="37">
        <v>58780440906</v>
      </c>
      <c r="J259" s="37">
        <v>1149139025637.55</v>
      </c>
    </row>
    <row r="260" spans="1:10" x14ac:dyDescent="0.2">
      <c r="A260" s="36">
        <v>45359</v>
      </c>
      <c r="B260" s="37">
        <v>87.528000000000006</v>
      </c>
      <c r="C260" s="38">
        <v>-5.1409999999999902</v>
      </c>
      <c r="D260" s="39">
        <v>-5.5477020362796503E-2</v>
      </c>
      <c r="E260" s="37">
        <v>95.137900000000002</v>
      </c>
      <c r="F260" s="37">
        <v>86.506</v>
      </c>
      <c r="G260" s="37">
        <v>97.4</v>
      </c>
      <c r="H260" s="7">
        <v>1142269060</v>
      </c>
      <c r="I260" s="37">
        <v>104021314941</v>
      </c>
      <c r="J260" s="37">
        <v>1207919466543.55</v>
      </c>
    </row>
    <row r="261" spans="1:10" x14ac:dyDescent="0.2">
      <c r="A261" s="36">
        <v>45358</v>
      </c>
      <c r="B261" s="37">
        <v>92.668999999999997</v>
      </c>
      <c r="C261" s="38">
        <v>3.9689999999999901</v>
      </c>
      <c r="D261" s="39">
        <v>4.47463359639233E-2</v>
      </c>
      <c r="E261" s="37">
        <v>90.158000000000001</v>
      </c>
      <c r="F261" s="37">
        <v>89.602010000000007</v>
      </c>
      <c r="G261" s="37">
        <v>92.766999999999996</v>
      </c>
      <c r="H261" s="7">
        <v>608119160</v>
      </c>
      <c r="I261" s="37">
        <v>55714139935</v>
      </c>
      <c r="J261" s="37">
        <v>1311940781484.55</v>
      </c>
    </row>
    <row r="262" spans="1:10" x14ac:dyDescent="0.2">
      <c r="A262" s="36">
        <v>45357</v>
      </c>
      <c r="B262" s="37">
        <v>88.7</v>
      </c>
      <c r="C262" s="38">
        <v>2.7360000000000002</v>
      </c>
      <c r="D262" s="39">
        <v>3.1827276534363298E-2</v>
      </c>
      <c r="E262" s="37">
        <v>88.022000000000006</v>
      </c>
      <c r="F262" s="37">
        <v>87.030010000000004</v>
      </c>
      <c r="G262" s="37">
        <v>89.724000000000004</v>
      </c>
      <c r="H262" s="7">
        <v>582520300</v>
      </c>
      <c r="I262" s="37">
        <v>51525249382</v>
      </c>
      <c r="J262" s="37">
        <v>1256226641549.55</v>
      </c>
    </row>
    <row r="263" spans="1:10" x14ac:dyDescent="0.2">
      <c r="A263" s="36">
        <v>45356</v>
      </c>
      <c r="B263" s="37">
        <v>85.963999999999999</v>
      </c>
      <c r="C263" s="38">
        <v>0.72700000000000398</v>
      </c>
      <c r="D263" s="39">
        <v>8.5291598718866702E-3</v>
      </c>
      <c r="E263" s="37">
        <v>85.27</v>
      </c>
      <c r="F263" s="37">
        <v>83.417010000000005</v>
      </c>
      <c r="G263" s="37">
        <v>86.096999999999994</v>
      </c>
      <c r="H263" s="7">
        <v>520639300</v>
      </c>
      <c r="I263" s="37">
        <v>44245697188</v>
      </c>
      <c r="J263" s="37">
        <v>1204701392167.55</v>
      </c>
    </row>
    <row r="264" spans="1:10" x14ac:dyDescent="0.2">
      <c r="A264" s="36">
        <v>45355</v>
      </c>
      <c r="B264" s="37">
        <v>85.236999999999995</v>
      </c>
      <c r="C264" s="38">
        <v>2.9580000000000002</v>
      </c>
      <c r="D264" s="39">
        <v>3.5950850156175898E-2</v>
      </c>
      <c r="E264" s="37">
        <v>84.13</v>
      </c>
      <c r="F264" s="37">
        <v>83.718999999999994</v>
      </c>
      <c r="G264" s="37">
        <v>87.694999999999993</v>
      </c>
      <c r="H264" s="7">
        <v>615616450</v>
      </c>
      <c r="I264" s="37">
        <v>52771306181</v>
      </c>
      <c r="J264" s="37">
        <v>1160455694979.55</v>
      </c>
    </row>
    <row r="265" spans="1:10" x14ac:dyDescent="0.2">
      <c r="A265" s="36">
        <v>45352</v>
      </c>
      <c r="B265" s="37">
        <v>82.278999999999996</v>
      </c>
      <c r="C265" s="38">
        <v>3.1669999999999998</v>
      </c>
      <c r="D265" s="39">
        <v>4.0031853574678998E-2</v>
      </c>
      <c r="E265" s="37">
        <v>80</v>
      </c>
      <c r="F265" s="37">
        <v>79.435029999999998</v>
      </c>
      <c r="G265" s="37">
        <v>82.3</v>
      </c>
      <c r="H265" s="7">
        <v>479135100</v>
      </c>
      <c r="I265" s="37">
        <v>38986376108</v>
      </c>
      <c r="J265" s="37">
        <v>1107684388798.55</v>
      </c>
    </row>
    <row r="266" spans="1:10" x14ac:dyDescent="0.2">
      <c r="A266" s="36">
        <v>45351</v>
      </c>
      <c r="B266" s="37">
        <v>79.111999999999995</v>
      </c>
      <c r="C266" s="38">
        <v>1.4490000000000001</v>
      </c>
      <c r="D266" s="39">
        <v>1.8657533188262101E-2</v>
      </c>
      <c r="E266" s="37">
        <v>79.093999999999994</v>
      </c>
      <c r="F266" s="37">
        <v>78.349999999999994</v>
      </c>
      <c r="G266" s="37">
        <v>79.989999999999995</v>
      </c>
      <c r="H266" s="7">
        <v>507288980</v>
      </c>
      <c r="I266" s="37">
        <v>40205911653</v>
      </c>
      <c r="J266" s="37">
        <v>1068698012690.55</v>
      </c>
    </row>
    <row r="267" spans="1:10" x14ac:dyDescent="0.2">
      <c r="A267" s="36">
        <v>45350</v>
      </c>
      <c r="B267" s="37">
        <v>77.662999999999997</v>
      </c>
      <c r="C267" s="38">
        <v>-1.038</v>
      </c>
      <c r="D267" s="39">
        <v>-1.31891589687551E-2</v>
      </c>
      <c r="E267" s="37">
        <v>77.62</v>
      </c>
      <c r="F267" s="37">
        <v>77.125</v>
      </c>
      <c r="G267" s="37">
        <v>78.933000000000007</v>
      </c>
      <c r="H267" s="7">
        <v>393110400</v>
      </c>
      <c r="I267" s="37">
        <v>30646038250</v>
      </c>
      <c r="J267" s="37">
        <v>1028492101037.55</v>
      </c>
    </row>
    <row r="268" spans="1:10" x14ac:dyDescent="0.2">
      <c r="A268" s="36">
        <v>45349</v>
      </c>
      <c r="B268" s="37">
        <v>78.700999999999993</v>
      </c>
      <c r="C268" s="38">
        <v>-0.39100000000000501</v>
      </c>
      <c r="D268" s="39">
        <v>-4.9436099731958397E-3</v>
      </c>
      <c r="E268" s="37">
        <v>79.381</v>
      </c>
      <c r="F268" s="37">
        <v>77.162000000000006</v>
      </c>
      <c r="G268" s="37">
        <v>79.48</v>
      </c>
      <c r="H268" s="7">
        <v>391705240</v>
      </c>
      <c r="I268" s="37">
        <v>30852889884</v>
      </c>
      <c r="J268" s="37">
        <v>1059138139287.55</v>
      </c>
    </row>
    <row r="269" spans="1:10" x14ac:dyDescent="0.2">
      <c r="A269" s="36">
        <v>45348</v>
      </c>
      <c r="B269" s="37">
        <v>79.091999999999999</v>
      </c>
      <c r="C269" s="38">
        <v>0.27500000000000602</v>
      </c>
      <c r="D269" s="39">
        <v>3.4890949921971902E-3</v>
      </c>
      <c r="E269" s="37">
        <v>79.7</v>
      </c>
      <c r="F269" s="37">
        <v>78.504999999999995</v>
      </c>
      <c r="G269" s="37">
        <v>80.645989999999998</v>
      </c>
      <c r="H269" s="7">
        <v>503972730</v>
      </c>
      <c r="I269" s="37">
        <v>40095259031</v>
      </c>
      <c r="J269" s="37">
        <v>1089991029171.55</v>
      </c>
    </row>
    <row r="270" spans="1:10" x14ac:dyDescent="0.2">
      <c r="A270" s="36">
        <v>45345</v>
      </c>
      <c r="B270" s="37">
        <v>78.816999999999993</v>
      </c>
      <c r="C270" s="38">
        <v>0.27899999999999597</v>
      </c>
      <c r="D270" s="39">
        <v>3.5524204843514801E-3</v>
      </c>
      <c r="E270" s="37">
        <v>80.790000000000006</v>
      </c>
      <c r="F270" s="37">
        <v>77.569999999999993</v>
      </c>
      <c r="G270" s="37">
        <v>82.394000000000005</v>
      </c>
      <c r="H270" s="7">
        <v>829388370</v>
      </c>
      <c r="I270" s="37">
        <v>66264397613</v>
      </c>
      <c r="J270" s="37">
        <v>1049895770140.55</v>
      </c>
    </row>
    <row r="271" spans="1:10" x14ac:dyDescent="0.2">
      <c r="A271" s="36">
        <v>45344</v>
      </c>
      <c r="B271" s="37">
        <v>78.537999999999997</v>
      </c>
      <c r="C271" s="38">
        <v>11.066000000000001</v>
      </c>
      <c r="D271" s="39">
        <v>0.16400877400996</v>
      </c>
      <c r="E271" s="37">
        <v>75.025000000000006</v>
      </c>
      <c r="F271" s="37">
        <v>74.22</v>
      </c>
      <c r="G271" s="37">
        <v>78.575000000000003</v>
      </c>
      <c r="H271" s="7">
        <v>865099740</v>
      </c>
      <c r="I271" s="37">
        <v>66857013998</v>
      </c>
      <c r="J271" s="37">
        <v>983631372527.55505</v>
      </c>
    </row>
    <row r="272" spans="1:10" x14ac:dyDescent="0.2">
      <c r="A272" s="36">
        <v>45343</v>
      </c>
      <c r="B272" s="37">
        <v>67.471999999999994</v>
      </c>
      <c r="C272" s="38">
        <v>-1.98</v>
      </c>
      <c r="D272" s="39">
        <v>-2.8508898231872401E-2</v>
      </c>
      <c r="E272" s="37">
        <v>68.006</v>
      </c>
      <c r="F272" s="37">
        <v>66.248000000000005</v>
      </c>
      <c r="G272" s="37">
        <v>68.888000000000005</v>
      </c>
      <c r="H272" s="7">
        <v>690298130</v>
      </c>
      <c r="I272" s="37">
        <v>47182539886</v>
      </c>
      <c r="J272" s="37">
        <v>916774358529.55505</v>
      </c>
    </row>
    <row r="273" spans="1:10" x14ac:dyDescent="0.2">
      <c r="A273" s="36">
        <v>45342</v>
      </c>
      <c r="B273" s="37">
        <v>69.451999999999998</v>
      </c>
      <c r="C273" s="38">
        <v>-3.161</v>
      </c>
      <c r="D273" s="39">
        <v>-4.3532149890515501E-2</v>
      </c>
      <c r="E273" s="37">
        <v>71.947000000000003</v>
      </c>
      <c r="F273" s="37">
        <v>67.733999999999995</v>
      </c>
      <c r="G273" s="37">
        <v>71.956000000000003</v>
      </c>
      <c r="H273" s="7">
        <v>704833100</v>
      </c>
      <c r="I273" s="37">
        <v>48671378170</v>
      </c>
      <c r="J273" s="37">
        <v>963956898415.55505</v>
      </c>
    </row>
    <row r="274" spans="1:10" x14ac:dyDescent="0.2">
      <c r="A274" s="36">
        <v>45338</v>
      </c>
      <c r="B274" s="37">
        <v>72.613</v>
      </c>
      <c r="C274" s="38">
        <v>-4.5000000000001698E-2</v>
      </c>
      <c r="D274" s="39">
        <v>-6.1933992127503803E-4</v>
      </c>
      <c r="E274" s="37">
        <v>74.099999999999994</v>
      </c>
      <c r="F274" s="37">
        <v>72.501000000000005</v>
      </c>
      <c r="G274" s="37">
        <v>74.402000000000001</v>
      </c>
      <c r="H274" s="7">
        <v>495326620</v>
      </c>
      <c r="I274" s="37">
        <v>36370936661</v>
      </c>
      <c r="J274" s="37">
        <v>1012628276585.55</v>
      </c>
    </row>
    <row r="275" spans="1:10" x14ac:dyDescent="0.2">
      <c r="A275" s="36">
        <v>45337</v>
      </c>
      <c r="B275" s="37">
        <v>72.658000000000001</v>
      </c>
      <c r="C275" s="38">
        <v>-1.242</v>
      </c>
      <c r="D275" s="39">
        <v>-1.6806495263870201E-2</v>
      </c>
      <c r="E275" s="37">
        <v>73.869</v>
      </c>
      <c r="F275" s="37">
        <v>72.400000000000006</v>
      </c>
      <c r="G275" s="37">
        <v>73.974999999999994</v>
      </c>
      <c r="H275" s="7">
        <v>420121810</v>
      </c>
      <c r="I275" s="37">
        <v>30681234798</v>
      </c>
      <c r="J275" s="37">
        <v>1048999213246.55</v>
      </c>
    </row>
    <row r="276" spans="1:10" x14ac:dyDescent="0.2">
      <c r="A276" s="36">
        <v>45336</v>
      </c>
      <c r="B276" s="37">
        <v>73.900000000000006</v>
      </c>
      <c r="C276" s="38">
        <v>1.77200000000001</v>
      </c>
      <c r="D276" s="39">
        <v>2.4567435669920201E-2</v>
      </c>
      <c r="E276" s="37">
        <v>73.201999999999998</v>
      </c>
      <c r="F276" s="37">
        <v>71.938000000000002</v>
      </c>
      <c r="G276" s="37">
        <v>74.236000000000004</v>
      </c>
      <c r="H276" s="7">
        <v>504917420</v>
      </c>
      <c r="I276" s="37">
        <v>36983253469</v>
      </c>
      <c r="J276" s="37">
        <v>1079680448044.55</v>
      </c>
    </row>
    <row r="277" spans="1:10" x14ac:dyDescent="0.2">
      <c r="A277" s="36">
        <v>45335</v>
      </c>
      <c r="B277" s="37">
        <v>72.128</v>
      </c>
      <c r="C277" s="38">
        <v>-0.12000000000000501</v>
      </c>
      <c r="D277" s="39">
        <v>-1.66094563171305E-3</v>
      </c>
      <c r="E277" s="37">
        <v>70.400000000000006</v>
      </c>
      <c r="F277" s="37">
        <v>69.62</v>
      </c>
      <c r="G277" s="37">
        <v>73.45</v>
      </c>
      <c r="H277" s="7">
        <v>602580150</v>
      </c>
      <c r="I277" s="37">
        <v>43365874162</v>
      </c>
      <c r="J277" s="37">
        <v>1042697194575.55</v>
      </c>
    </row>
    <row r="278" spans="1:10" x14ac:dyDescent="0.2">
      <c r="A278" s="36">
        <v>45334</v>
      </c>
      <c r="B278" s="37">
        <v>72.248000000000005</v>
      </c>
      <c r="C278" s="38">
        <v>0.115000000000009</v>
      </c>
      <c r="D278" s="39">
        <v>1.5942772378801501E-3</v>
      </c>
      <c r="E278" s="37">
        <v>72.599999999999994</v>
      </c>
      <c r="F278" s="37">
        <v>71.25</v>
      </c>
      <c r="G278" s="37">
        <v>74.611000000000004</v>
      </c>
      <c r="H278" s="7">
        <v>613710180</v>
      </c>
      <c r="I278" s="37">
        <v>44727826142</v>
      </c>
      <c r="J278" s="37">
        <v>1086063068737.55</v>
      </c>
    </row>
    <row r="279" spans="1:10" x14ac:dyDescent="0.2">
      <c r="A279" s="36">
        <v>45331</v>
      </c>
      <c r="B279" s="37">
        <v>72.132999999999996</v>
      </c>
      <c r="C279" s="38">
        <v>2.4919999999999898</v>
      </c>
      <c r="D279" s="39">
        <v>3.5783518329719398E-2</v>
      </c>
      <c r="E279" s="37">
        <v>70.533000000000001</v>
      </c>
      <c r="F279" s="37">
        <v>70.212000000000003</v>
      </c>
      <c r="G279" s="37">
        <v>72.185000000000002</v>
      </c>
      <c r="H279" s="7">
        <v>436636890</v>
      </c>
      <c r="I279" s="37">
        <v>31200562221</v>
      </c>
      <c r="J279" s="37">
        <v>1041335242595.55</v>
      </c>
    </row>
    <row r="280" spans="1:10" x14ac:dyDescent="0.2">
      <c r="A280" s="36">
        <v>45330</v>
      </c>
      <c r="B280" s="37">
        <v>69.641000000000005</v>
      </c>
      <c r="C280" s="38">
        <v>-0.45799999999999802</v>
      </c>
      <c r="D280" s="39">
        <v>-6.5336167420362396E-3</v>
      </c>
      <c r="E280" s="37">
        <v>70.073999999999998</v>
      </c>
      <c r="F280" s="37">
        <v>69.454999999999998</v>
      </c>
      <c r="G280" s="37">
        <v>70.793999999999997</v>
      </c>
      <c r="H280" s="7">
        <v>414422110</v>
      </c>
      <c r="I280" s="37">
        <v>29047077613</v>
      </c>
      <c r="J280" s="37">
        <v>1010134680374.55</v>
      </c>
    </row>
    <row r="281" spans="1:10" x14ac:dyDescent="0.2">
      <c r="A281" s="36">
        <v>45329</v>
      </c>
      <c r="B281" s="37">
        <v>70.099000000000004</v>
      </c>
      <c r="C281" s="38">
        <v>1.8759999999999999</v>
      </c>
      <c r="D281" s="39">
        <v>2.7498057839731499E-2</v>
      </c>
      <c r="E281" s="37">
        <v>68.319000000000003</v>
      </c>
      <c r="F281" s="37">
        <v>67.599999999999994</v>
      </c>
      <c r="G281" s="37">
        <v>70.22</v>
      </c>
      <c r="H281" s="7">
        <v>495574550</v>
      </c>
      <c r="I281" s="37">
        <v>34326764232</v>
      </c>
      <c r="J281" s="37">
        <v>1039181757987.55</v>
      </c>
    </row>
    <row r="282" spans="1:10" x14ac:dyDescent="0.2">
      <c r="A282" s="36">
        <v>45328</v>
      </c>
      <c r="B282" s="37">
        <v>68.222999999999999</v>
      </c>
      <c r="C282" s="38">
        <v>-1.10899999999999</v>
      </c>
      <c r="D282" s="39">
        <v>-1.5995499913459801E-2</v>
      </c>
      <c r="E282" s="37">
        <v>69.63</v>
      </c>
      <c r="F282" s="37">
        <v>66.3</v>
      </c>
      <c r="G282" s="37">
        <v>69.753990000000002</v>
      </c>
      <c r="H282" s="7">
        <v>683111360</v>
      </c>
      <c r="I282" s="37">
        <v>46347349967</v>
      </c>
      <c r="J282" s="37">
        <v>1004854993755.55</v>
      </c>
    </row>
    <row r="283" spans="1:10" x14ac:dyDescent="0.2">
      <c r="A283" s="36">
        <v>45327</v>
      </c>
      <c r="B283" s="37">
        <v>69.331999999999994</v>
      </c>
      <c r="C283" s="38">
        <v>3.1720000000000002</v>
      </c>
      <c r="D283" s="39">
        <v>4.79443772672309E-2</v>
      </c>
      <c r="E283" s="37">
        <v>68.224999999999994</v>
      </c>
      <c r="F283" s="37">
        <v>67.204999999999998</v>
      </c>
      <c r="G283" s="37">
        <v>69.497</v>
      </c>
      <c r="H283" s="7">
        <v>680078010</v>
      </c>
      <c r="I283" s="37">
        <v>46694598218</v>
      </c>
      <c r="J283" s="37">
        <v>1051202343722.55</v>
      </c>
    </row>
    <row r="284" spans="1:10" x14ac:dyDescent="0.2">
      <c r="A284" s="36">
        <v>45324</v>
      </c>
      <c r="B284" s="37">
        <v>66.16</v>
      </c>
      <c r="C284" s="38">
        <v>3.133</v>
      </c>
      <c r="D284" s="39">
        <v>4.9708854935186397E-2</v>
      </c>
      <c r="E284" s="37">
        <v>63.973999999999997</v>
      </c>
      <c r="F284" s="37">
        <v>63.69</v>
      </c>
      <c r="G284" s="37">
        <v>66.599999999999994</v>
      </c>
      <c r="H284" s="7">
        <v>476577650</v>
      </c>
      <c r="I284" s="37">
        <v>31264844828</v>
      </c>
      <c r="J284" s="37">
        <v>1004507745504.55</v>
      </c>
    </row>
    <row r="285" spans="1:10" x14ac:dyDescent="0.2">
      <c r="A285" s="36">
        <v>45323</v>
      </c>
      <c r="B285" s="37">
        <v>63.027000000000001</v>
      </c>
      <c r="C285" s="38">
        <v>1.5</v>
      </c>
      <c r="D285" s="39">
        <v>2.4379540689453399E-2</v>
      </c>
      <c r="E285" s="37">
        <v>62.1</v>
      </c>
      <c r="F285" s="37">
        <v>61.65</v>
      </c>
      <c r="G285" s="37">
        <v>63.191000000000003</v>
      </c>
      <c r="H285" s="7">
        <v>369145790</v>
      </c>
      <c r="I285" s="37">
        <v>23061179999</v>
      </c>
      <c r="J285" s="37">
        <v>973242900676.55505</v>
      </c>
    </row>
    <row r="286" spans="1:10" x14ac:dyDescent="0.2">
      <c r="A286" s="36">
        <v>45322</v>
      </c>
      <c r="B286" s="37">
        <v>61.527000000000001</v>
      </c>
      <c r="C286" s="38">
        <v>-1.2470000000000001</v>
      </c>
      <c r="D286" s="39">
        <v>-1.9864912224806401E-2</v>
      </c>
      <c r="E286" s="37">
        <v>61.44</v>
      </c>
      <c r="F286" s="37">
        <v>60.7</v>
      </c>
      <c r="G286" s="37">
        <v>62.269019999999998</v>
      </c>
      <c r="H286" s="7">
        <v>453794870</v>
      </c>
      <c r="I286" s="37">
        <v>27913264972</v>
      </c>
      <c r="J286" s="37">
        <v>950181720677.55505</v>
      </c>
    </row>
    <row r="287" spans="1:10" x14ac:dyDescent="0.2">
      <c r="A287" s="36">
        <v>45321</v>
      </c>
      <c r="B287" s="37">
        <v>62.774000000000001</v>
      </c>
      <c r="C287" s="38">
        <v>0.308999999999998</v>
      </c>
      <c r="D287" s="39">
        <v>4.9467701913070896E-3</v>
      </c>
      <c r="E287" s="37">
        <v>62.9</v>
      </c>
      <c r="F287" s="37">
        <v>62.26</v>
      </c>
      <c r="G287" s="37">
        <v>63.493000000000002</v>
      </c>
      <c r="H287" s="7">
        <v>410735300</v>
      </c>
      <c r="I287" s="37">
        <v>25818632752</v>
      </c>
      <c r="J287" s="37">
        <v>978094985649.55505</v>
      </c>
    </row>
    <row r="288" spans="1:10" x14ac:dyDescent="0.2">
      <c r="A288" s="36">
        <v>45320</v>
      </c>
      <c r="B288" s="37">
        <v>62.465000000000003</v>
      </c>
      <c r="C288" s="38">
        <v>1.4339999999999999</v>
      </c>
      <c r="D288" s="39">
        <v>2.3496256001048699E-2</v>
      </c>
      <c r="E288" s="37">
        <v>61.231999999999999</v>
      </c>
      <c r="F288" s="37">
        <v>60.906999999999996</v>
      </c>
      <c r="G288" s="37">
        <v>62.488999999999997</v>
      </c>
      <c r="H288" s="7">
        <v>348732980</v>
      </c>
      <c r="I288" s="37">
        <v>21574204502</v>
      </c>
      <c r="J288" s="37">
        <v>952276352897.55505</v>
      </c>
    </row>
    <row r="289" spans="1:10" x14ac:dyDescent="0.2">
      <c r="A289" s="36">
        <v>45317</v>
      </c>
      <c r="B289" s="37">
        <v>61.030999999999999</v>
      </c>
      <c r="C289" s="38">
        <v>-0.58599999999999897</v>
      </c>
      <c r="D289" s="39">
        <v>-9.5103623999869893E-3</v>
      </c>
      <c r="E289" s="37">
        <v>60.96</v>
      </c>
      <c r="F289" s="37">
        <v>60.573</v>
      </c>
      <c r="G289" s="37">
        <v>61.783000000000001</v>
      </c>
      <c r="H289" s="7">
        <v>390308590</v>
      </c>
      <c r="I289" s="37">
        <v>23867997157</v>
      </c>
      <c r="J289" s="37">
        <v>930702148395.55505</v>
      </c>
    </row>
    <row r="290" spans="1:10" x14ac:dyDescent="0.2">
      <c r="A290" s="36">
        <v>45316</v>
      </c>
      <c r="B290" s="37">
        <v>61.616999999999997</v>
      </c>
      <c r="C290" s="38">
        <v>0.25499999999999501</v>
      </c>
      <c r="D290" s="39">
        <v>4.1556663733254397E-3</v>
      </c>
      <c r="E290" s="37">
        <v>62.35</v>
      </c>
      <c r="F290" s="37">
        <v>60.85</v>
      </c>
      <c r="G290" s="37">
        <v>62.719000000000001</v>
      </c>
      <c r="H290" s="7">
        <v>482776840</v>
      </c>
      <c r="I290" s="37">
        <v>29886375959</v>
      </c>
      <c r="J290" s="37">
        <v>954570145552.55505</v>
      </c>
    </row>
    <row r="291" spans="1:10" x14ac:dyDescent="0.2">
      <c r="A291" s="36">
        <v>45315</v>
      </c>
      <c r="B291" s="37">
        <v>61.362000000000002</v>
      </c>
      <c r="C291" s="38">
        <v>1.4890000000000001</v>
      </c>
      <c r="D291" s="39">
        <v>2.4869306699179999E-2</v>
      </c>
      <c r="E291" s="37">
        <v>60.304000000000002</v>
      </c>
      <c r="F291" s="37">
        <v>59.938000000000002</v>
      </c>
      <c r="G291" s="37">
        <v>62.848999999999997</v>
      </c>
      <c r="H291" s="7">
        <v>560270760</v>
      </c>
      <c r="I291" s="37">
        <v>34578570189</v>
      </c>
      <c r="J291" s="37">
        <v>924683769593.55505</v>
      </c>
    </row>
    <row r="292" spans="1:10" x14ac:dyDescent="0.2">
      <c r="A292" s="36">
        <v>45314</v>
      </c>
      <c r="B292" s="37">
        <v>59.872999999999998</v>
      </c>
      <c r="C292" s="38">
        <v>0.21899999999999401</v>
      </c>
      <c r="D292" s="39">
        <v>3.6711704160658802E-3</v>
      </c>
      <c r="E292" s="37">
        <v>59.57</v>
      </c>
      <c r="F292" s="37">
        <v>58.585000000000001</v>
      </c>
      <c r="G292" s="37">
        <v>59.91</v>
      </c>
      <c r="H292" s="7">
        <v>294654450</v>
      </c>
      <c r="I292" s="37">
        <v>17523845217</v>
      </c>
      <c r="J292" s="37">
        <v>890105199404.55505</v>
      </c>
    </row>
    <row r="293" spans="1:10" x14ac:dyDescent="0.2">
      <c r="A293" s="36">
        <v>45313</v>
      </c>
      <c r="B293" s="37">
        <v>59.654000000000003</v>
      </c>
      <c r="C293" s="38">
        <v>0.163000000000004</v>
      </c>
      <c r="D293" s="39">
        <v>2.7399102385235398E-3</v>
      </c>
      <c r="E293" s="37">
        <v>60.048999999999999</v>
      </c>
      <c r="F293" s="37">
        <v>59.07</v>
      </c>
      <c r="G293" s="37">
        <v>60.331000000000003</v>
      </c>
      <c r="H293" s="7">
        <v>452954630</v>
      </c>
      <c r="I293" s="37">
        <v>27076151189</v>
      </c>
      <c r="J293" s="37">
        <v>872581354187.55505</v>
      </c>
    </row>
    <row r="294" spans="1:10" x14ac:dyDescent="0.2">
      <c r="A294" s="36">
        <v>45310</v>
      </c>
      <c r="B294" s="37">
        <v>59.491</v>
      </c>
      <c r="C294" s="38">
        <v>2.3839999999999999</v>
      </c>
      <c r="D294" s="39">
        <v>4.1746195737825502E-2</v>
      </c>
      <c r="E294" s="37">
        <v>57.988999999999997</v>
      </c>
      <c r="F294" s="37">
        <v>57.225000000000001</v>
      </c>
      <c r="G294" s="37">
        <v>59.5</v>
      </c>
      <c r="H294" s="7">
        <v>543501480</v>
      </c>
      <c r="I294" s="37">
        <v>31817080805</v>
      </c>
      <c r="J294" s="37">
        <v>845505202998.55505</v>
      </c>
    </row>
    <row r="295" spans="1:10" x14ac:dyDescent="0.2">
      <c r="A295" s="36">
        <v>45309</v>
      </c>
      <c r="B295" s="37">
        <v>57.106999999999999</v>
      </c>
      <c r="C295" s="38">
        <v>1.054</v>
      </c>
      <c r="D295" s="39">
        <v>1.88036322765954E-2</v>
      </c>
      <c r="E295" s="37">
        <v>57.26</v>
      </c>
      <c r="F295" s="37">
        <v>56.106999999999999</v>
      </c>
      <c r="G295" s="37">
        <v>57.6</v>
      </c>
      <c r="H295" s="7">
        <v>491650360</v>
      </c>
      <c r="I295" s="37">
        <v>28063074999</v>
      </c>
      <c r="J295" s="37">
        <v>813688122193.55505</v>
      </c>
    </row>
    <row r="296" spans="1:10" x14ac:dyDescent="0.2">
      <c r="A296" s="36">
        <v>45308</v>
      </c>
      <c r="B296" s="37">
        <v>56.052999999999997</v>
      </c>
      <c r="C296" s="38">
        <v>-0.32900000000000101</v>
      </c>
      <c r="D296" s="39">
        <v>-5.83519562981094E-3</v>
      </c>
      <c r="E296" s="37">
        <v>56.347000000000001</v>
      </c>
      <c r="F296" s="37">
        <v>54.74</v>
      </c>
      <c r="G296" s="37">
        <v>56.470680000000002</v>
      </c>
      <c r="H296" s="7">
        <v>474394440</v>
      </c>
      <c r="I296" s="37">
        <v>26410306124</v>
      </c>
      <c r="J296" s="37">
        <v>785625047194.55505</v>
      </c>
    </row>
    <row r="297" spans="1:10" x14ac:dyDescent="0.2">
      <c r="A297" s="36">
        <v>45307</v>
      </c>
      <c r="B297" s="37">
        <v>56.381999999999998</v>
      </c>
      <c r="C297" s="38">
        <v>1.6719999999999999</v>
      </c>
      <c r="D297" s="39">
        <v>3.0561140559312701E-2</v>
      </c>
      <c r="E297" s="37">
        <v>55.018000000000001</v>
      </c>
      <c r="F297" s="37">
        <v>54.9</v>
      </c>
      <c r="G297" s="37">
        <v>56.834989999999998</v>
      </c>
      <c r="H297" s="7">
        <v>449579730</v>
      </c>
      <c r="I297" s="37">
        <v>25231270323</v>
      </c>
      <c r="J297" s="37">
        <v>812035353318.55505</v>
      </c>
    </row>
    <row r="298" spans="1:10" x14ac:dyDescent="0.2">
      <c r="A298" s="36">
        <v>45303</v>
      </c>
      <c r="B298" s="37">
        <v>54.71</v>
      </c>
      <c r="C298" s="38">
        <v>-0.112000000000002</v>
      </c>
      <c r="D298" s="39">
        <v>-2.0429754478129602E-3</v>
      </c>
      <c r="E298" s="37">
        <v>54.62</v>
      </c>
      <c r="F298" s="37">
        <v>54.330080000000002</v>
      </c>
      <c r="G298" s="37">
        <v>54.97</v>
      </c>
      <c r="H298" s="7">
        <v>352993600</v>
      </c>
      <c r="I298" s="37">
        <v>19298423549</v>
      </c>
      <c r="J298" s="37">
        <v>786804082995.55505</v>
      </c>
    </row>
    <row r="299" spans="1:10" x14ac:dyDescent="0.2">
      <c r="A299" s="36">
        <v>45302</v>
      </c>
      <c r="B299" s="37">
        <v>54.822000000000003</v>
      </c>
      <c r="C299" s="38">
        <v>0.47200000000000097</v>
      </c>
      <c r="D299" s="39">
        <v>8.6844526218951505E-3</v>
      </c>
      <c r="E299" s="37">
        <v>54.999000000000002</v>
      </c>
      <c r="F299" s="37">
        <v>53.56</v>
      </c>
      <c r="G299" s="37">
        <v>55.345999999999997</v>
      </c>
      <c r="H299" s="7">
        <v>596758770</v>
      </c>
      <c r="I299" s="37">
        <v>32582872682</v>
      </c>
      <c r="J299" s="37">
        <v>806102506544.55505</v>
      </c>
    </row>
    <row r="300" spans="1:10" x14ac:dyDescent="0.2">
      <c r="A300" s="36">
        <v>45301</v>
      </c>
      <c r="B300" s="37">
        <v>54.35</v>
      </c>
      <c r="C300" s="38">
        <v>1.21</v>
      </c>
      <c r="D300" s="39">
        <v>2.2770041400075301E-2</v>
      </c>
      <c r="E300" s="37">
        <v>53.616</v>
      </c>
      <c r="F300" s="37">
        <v>53.488999999999997</v>
      </c>
      <c r="G300" s="37">
        <v>54.6</v>
      </c>
      <c r="H300" s="7">
        <v>533795760</v>
      </c>
      <c r="I300" s="37">
        <v>28912469124</v>
      </c>
      <c r="J300" s="37">
        <v>773519633862.55505</v>
      </c>
    </row>
    <row r="301" spans="1:10" x14ac:dyDescent="0.2">
      <c r="A301" s="36">
        <v>45300</v>
      </c>
      <c r="B301" s="37">
        <v>53.14</v>
      </c>
      <c r="C301" s="38">
        <v>0.88700000000000001</v>
      </c>
      <c r="D301" s="39">
        <v>1.6975101908024402E-2</v>
      </c>
      <c r="E301" s="37">
        <v>52.401000000000003</v>
      </c>
      <c r="F301" s="37">
        <v>51.69</v>
      </c>
      <c r="G301" s="37">
        <v>54.325000000000003</v>
      </c>
      <c r="H301" s="7">
        <v>773100060</v>
      </c>
      <c r="I301" s="37">
        <v>41063650026</v>
      </c>
      <c r="J301" s="37">
        <v>744607164738.55505</v>
      </c>
    </row>
    <row r="302" spans="1:10" x14ac:dyDescent="0.2">
      <c r="A302" s="36">
        <v>45299</v>
      </c>
      <c r="B302" s="37">
        <v>52.253</v>
      </c>
      <c r="C302" s="38">
        <v>3.1560000000000001</v>
      </c>
      <c r="D302" s="39">
        <v>6.4280913294091302E-2</v>
      </c>
      <c r="E302" s="37">
        <v>49.512</v>
      </c>
      <c r="F302" s="37">
        <v>49.478999999999999</v>
      </c>
      <c r="G302" s="37">
        <v>52.274999999999999</v>
      </c>
      <c r="H302" s="7">
        <v>642509900</v>
      </c>
      <c r="I302" s="37">
        <v>32984821330</v>
      </c>
      <c r="J302" s="37">
        <v>703543514712.55505</v>
      </c>
    </row>
    <row r="303" spans="1:10" x14ac:dyDescent="0.2">
      <c r="A303" s="36">
        <v>45296</v>
      </c>
      <c r="B303" s="37">
        <v>49.097000000000001</v>
      </c>
      <c r="C303" s="38">
        <v>1.099</v>
      </c>
      <c r="D303" s="39">
        <v>2.28967873661403E-2</v>
      </c>
      <c r="E303" s="37">
        <v>48.462000000000003</v>
      </c>
      <c r="F303" s="37">
        <v>48.306010000000001</v>
      </c>
      <c r="G303" s="37">
        <v>49.546999999999997</v>
      </c>
      <c r="H303" s="7">
        <v>415039270</v>
      </c>
      <c r="I303" s="37">
        <v>20345014942</v>
      </c>
      <c r="J303" s="37">
        <v>670558693382.55505</v>
      </c>
    </row>
    <row r="304" spans="1:10" x14ac:dyDescent="0.2">
      <c r="A304" s="36">
        <v>45295</v>
      </c>
      <c r="B304" s="37">
        <v>47.997999999999998</v>
      </c>
      <c r="C304" s="38">
        <v>0.428999999999995</v>
      </c>
      <c r="D304" s="39">
        <v>9.0184784208201807E-3</v>
      </c>
      <c r="E304" s="37">
        <v>47.767000000000003</v>
      </c>
      <c r="F304" s="37">
        <v>47.508000000000003</v>
      </c>
      <c r="G304" s="37">
        <v>48.5</v>
      </c>
      <c r="H304" s="7">
        <v>306534890</v>
      </c>
      <c r="I304" s="37">
        <v>14741175919</v>
      </c>
      <c r="J304" s="37">
        <v>650213678440.55505</v>
      </c>
    </row>
    <row r="305" spans="1:10" x14ac:dyDescent="0.2">
      <c r="A305" s="36">
        <v>45294</v>
      </c>
      <c r="B305" s="37">
        <v>47.569000000000003</v>
      </c>
      <c r="C305" s="38">
        <v>-0.59899999999999698</v>
      </c>
      <c r="D305" s="39">
        <v>-1.24356419199468E-2</v>
      </c>
      <c r="E305" s="37">
        <v>47.484999999999999</v>
      </c>
      <c r="F305" s="37">
        <v>47.32</v>
      </c>
      <c r="G305" s="37">
        <v>48.184100000000001</v>
      </c>
      <c r="H305" s="7">
        <v>320896170</v>
      </c>
      <c r="I305" s="37">
        <v>15296377674</v>
      </c>
      <c r="J305" s="37">
        <v>635472502521.55505</v>
      </c>
    </row>
    <row r="306" spans="1:10" x14ac:dyDescent="0.2">
      <c r="A306" s="36">
        <v>45293</v>
      </c>
      <c r="B306" s="37">
        <v>48.167999999999999</v>
      </c>
      <c r="C306" s="38">
        <v>-1.3540000000000001</v>
      </c>
      <c r="D306" s="39">
        <v>-2.7341383627478701E-2</v>
      </c>
      <c r="E306" s="37">
        <v>49.244</v>
      </c>
      <c r="F306" s="37">
        <v>47.594999999999999</v>
      </c>
      <c r="G306" s="37">
        <v>49.295000000000002</v>
      </c>
      <c r="H306" s="7">
        <v>411254220</v>
      </c>
      <c r="I306" s="37">
        <v>19767427708</v>
      </c>
      <c r="J306" s="37">
        <v>650768880195.55505</v>
      </c>
    </row>
    <row r="307" spans="1:10" x14ac:dyDescent="0.2">
      <c r="A307" s="36">
        <v>45289</v>
      </c>
      <c r="B307" s="37">
        <v>49.521999999999998</v>
      </c>
      <c r="C307" s="38">
        <v>0</v>
      </c>
      <c r="D307" s="39">
        <v>0</v>
      </c>
      <c r="E307" s="37">
        <v>49.813000000000002</v>
      </c>
      <c r="F307" s="37">
        <v>48.750999999999998</v>
      </c>
      <c r="G307" s="37">
        <v>49.997</v>
      </c>
      <c r="H307" s="7">
        <v>389293300</v>
      </c>
      <c r="I307" s="37">
        <v>19277711701</v>
      </c>
      <c r="J307" s="37">
        <v>670536307903.55505</v>
      </c>
    </row>
    <row r="308" spans="1:10" x14ac:dyDescent="0.2">
      <c r="A308" s="36">
        <v>45288</v>
      </c>
      <c r="B308" s="37">
        <v>49.521999999999998</v>
      </c>
      <c r="C308" s="38">
        <v>0.104999999999997</v>
      </c>
      <c r="D308" s="39">
        <v>2.1247748750429399E-3</v>
      </c>
      <c r="E308" s="37">
        <v>49.643000000000001</v>
      </c>
      <c r="F308" s="37">
        <v>49.411999999999999</v>
      </c>
      <c r="G308" s="37">
        <v>49.883989999999997</v>
      </c>
      <c r="H308" s="7">
        <v>246587480</v>
      </c>
      <c r="I308" s="37">
        <v>12241180112</v>
      </c>
      <c r="J308" s="37">
        <v>651258596202.55505</v>
      </c>
    </row>
    <row r="309" spans="1:10" x14ac:dyDescent="0.2">
      <c r="A309" s="36">
        <v>45287</v>
      </c>
      <c r="B309" s="37">
        <v>49.417000000000002</v>
      </c>
      <c r="C309" s="38">
        <v>0.13799999999999801</v>
      </c>
      <c r="D309" s="39">
        <v>2.80038150124796E-3</v>
      </c>
      <c r="E309" s="37">
        <v>49.511000000000003</v>
      </c>
      <c r="F309" s="37">
        <v>49.085000000000001</v>
      </c>
      <c r="G309" s="37">
        <v>49.68</v>
      </c>
      <c r="H309" s="7">
        <v>233647980</v>
      </c>
      <c r="I309" s="37">
        <v>11532553719</v>
      </c>
      <c r="J309" s="37">
        <v>639017416090.55505</v>
      </c>
    </row>
    <row r="310" spans="1:10" x14ac:dyDescent="0.2">
      <c r="A310" s="36">
        <v>45286</v>
      </c>
      <c r="B310" s="37">
        <v>49.279000000000003</v>
      </c>
      <c r="C310" s="38">
        <v>0.44900000000000501</v>
      </c>
      <c r="D310" s="39">
        <v>9.1951669055909298E-3</v>
      </c>
      <c r="E310" s="37">
        <v>48.968000000000004</v>
      </c>
      <c r="F310" s="37">
        <v>48.96</v>
      </c>
      <c r="G310" s="37">
        <v>49.6</v>
      </c>
      <c r="H310" s="7">
        <v>244199520</v>
      </c>
      <c r="I310" s="37">
        <v>12052912163</v>
      </c>
      <c r="J310" s="37">
        <v>627484862371.55505</v>
      </c>
    </row>
    <row r="311" spans="1:10" x14ac:dyDescent="0.2">
      <c r="A311" s="36">
        <v>45282</v>
      </c>
      <c r="B311" s="37">
        <v>48.83</v>
      </c>
      <c r="C311" s="38">
        <v>-0.160000000000004</v>
      </c>
      <c r="D311" s="39">
        <v>-3.26597264747915E-3</v>
      </c>
      <c r="E311" s="37">
        <v>49.195</v>
      </c>
      <c r="F311" s="37">
        <v>48.466999999999999</v>
      </c>
      <c r="G311" s="37">
        <v>49.383000000000003</v>
      </c>
      <c r="H311" s="7">
        <v>252506760</v>
      </c>
      <c r="I311" s="37">
        <v>12367445827</v>
      </c>
      <c r="J311" s="37">
        <v>615431950208.55505</v>
      </c>
    </row>
    <row r="312" spans="1:10" x14ac:dyDescent="0.2">
      <c r="A312" s="36">
        <v>45281</v>
      </c>
      <c r="B312" s="37">
        <v>48.99</v>
      </c>
      <c r="C312" s="38">
        <v>0.879000000000005</v>
      </c>
      <c r="D312" s="39">
        <v>1.8270250046766998E-2</v>
      </c>
      <c r="E312" s="37">
        <v>48.811</v>
      </c>
      <c r="F312" s="37">
        <v>48.418999999999997</v>
      </c>
      <c r="G312" s="37">
        <v>49.094999999999999</v>
      </c>
      <c r="H312" s="7">
        <v>300425350</v>
      </c>
      <c r="I312" s="37">
        <v>14643995406</v>
      </c>
      <c r="J312" s="37">
        <v>627799396035.55505</v>
      </c>
    </row>
    <row r="313" spans="1:10" x14ac:dyDescent="0.2">
      <c r="A313" s="36">
        <v>45280</v>
      </c>
      <c r="B313" s="37">
        <v>48.110999999999997</v>
      </c>
      <c r="C313" s="38">
        <v>-1.4930000000000001</v>
      </c>
      <c r="D313" s="39">
        <v>-3.0098379162970802E-2</v>
      </c>
      <c r="E313" s="37">
        <v>49.655000000000001</v>
      </c>
      <c r="F313" s="37">
        <v>48.097999999999999</v>
      </c>
      <c r="G313" s="37">
        <v>49.999000000000002</v>
      </c>
      <c r="H313" s="7">
        <v>397894390</v>
      </c>
      <c r="I313" s="37">
        <v>19568384395</v>
      </c>
      <c r="J313" s="37">
        <v>613155400629.55505</v>
      </c>
    </row>
    <row r="314" spans="1:10" x14ac:dyDescent="0.2">
      <c r="A314" s="36">
        <v>45279</v>
      </c>
      <c r="B314" s="37">
        <v>49.603999999999999</v>
      </c>
      <c r="C314" s="38">
        <v>-0.47299999999999898</v>
      </c>
      <c r="D314" s="39">
        <v>-9.4454540008386892E-3</v>
      </c>
      <c r="E314" s="37">
        <v>49.423999999999999</v>
      </c>
      <c r="F314" s="37">
        <v>48.895000000000003</v>
      </c>
      <c r="G314" s="37">
        <v>49.7</v>
      </c>
      <c r="H314" s="7">
        <v>464444460</v>
      </c>
      <c r="I314" s="37">
        <v>22903980456</v>
      </c>
      <c r="J314" s="37">
        <v>632723785024.55505</v>
      </c>
    </row>
    <row r="315" spans="1:10" x14ac:dyDescent="0.2">
      <c r="A315" s="36">
        <v>45278</v>
      </c>
      <c r="B315" s="37">
        <v>50.076999999999998</v>
      </c>
      <c r="C315" s="38">
        <v>1.1870000000000001</v>
      </c>
      <c r="D315" s="39">
        <v>2.4278993659234999E-2</v>
      </c>
      <c r="E315" s="37">
        <v>49.4</v>
      </c>
      <c r="F315" s="37">
        <v>49.15</v>
      </c>
      <c r="G315" s="37">
        <v>50.432989999999997</v>
      </c>
      <c r="H315" s="7">
        <v>412587170</v>
      </c>
      <c r="I315" s="37">
        <v>20587107207</v>
      </c>
      <c r="J315" s="37">
        <v>655627765480.55505</v>
      </c>
    </row>
    <row r="316" spans="1:10" x14ac:dyDescent="0.2">
      <c r="A316" s="36">
        <v>45275</v>
      </c>
      <c r="B316" s="37">
        <v>48.89</v>
      </c>
      <c r="C316" s="38">
        <v>0.53999999999999904</v>
      </c>
      <c r="D316" s="39">
        <v>1.1168562564632899E-2</v>
      </c>
      <c r="E316" s="37">
        <v>48.194000000000003</v>
      </c>
      <c r="F316" s="37">
        <v>48.12</v>
      </c>
      <c r="G316" s="37">
        <v>49.404000000000003</v>
      </c>
      <c r="H316" s="7">
        <v>479947580</v>
      </c>
      <c r="I316" s="37">
        <v>23488985018</v>
      </c>
      <c r="J316" s="37">
        <v>635040658273.55505</v>
      </c>
    </row>
    <row r="317" spans="1:10" x14ac:dyDescent="0.2">
      <c r="A317" s="36">
        <v>45274</v>
      </c>
      <c r="B317" s="37">
        <v>48.35</v>
      </c>
      <c r="C317" s="38">
        <v>0.26200000000000001</v>
      </c>
      <c r="D317" s="39">
        <v>5.4483447013808101E-3</v>
      </c>
      <c r="E317" s="37">
        <v>48.39</v>
      </c>
      <c r="F317" s="37">
        <v>47.421999999999997</v>
      </c>
      <c r="G317" s="37">
        <v>48.67</v>
      </c>
      <c r="H317" s="7">
        <v>391231740</v>
      </c>
      <c r="I317" s="37">
        <v>18829631311</v>
      </c>
      <c r="J317" s="37">
        <v>611551673255.55505</v>
      </c>
    </row>
    <row r="318" spans="1:10" x14ac:dyDescent="0.2">
      <c r="A318" s="36">
        <v>45273</v>
      </c>
      <c r="B318" s="37">
        <v>48.088000000000001</v>
      </c>
      <c r="C318" s="38">
        <v>0.43100000000000399</v>
      </c>
      <c r="D318" s="39">
        <v>9.0437920976982299E-3</v>
      </c>
      <c r="E318" s="37">
        <v>47.628999999999998</v>
      </c>
      <c r="F318" s="37">
        <v>47.607999999999997</v>
      </c>
      <c r="G318" s="37">
        <v>48.594000000000001</v>
      </c>
      <c r="H318" s="7">
        <v>447791860</v>
      </c>
      <c r="I318" s="37">
        <v>21573809689</v>
      </c>
      <c r="J318" s="37">
        <v>592722041944.55505</v>
      </c>
    </row>
    <row r="319" spans="1:10" x14ac:dyDescent="0.2">
      <c r="A319" s="36">
        <v>45272</v>
      </c>
      <c r="B319" s="37">
        <v>47.656999999999996</v>
      </c>
      <c r="C319" s="38">
        <v>1.02999999999999</v>
      </c>
      <c r="D319" s="39">
        <v>2.2090205245887399E-2</v>
      </c>
      <c r="E319" s="37">
        <v>46.045999999999999</v>
      </c>
      <c r="F319" s="37">
        <v>46.045999999999999</v>
      </c>
      <c r="G319" s="37">
        <v>47.665999999999997</v>
      </c>
      <c r="H319" s="7">
        <v>372386860</v>
      </c>
      <c r="I319" s="37">
        <v>17555968305</v>
      </c>
      <c r="J319" s="37">
        <v>571148232255.55505</v>
      </c>
    </row>
    <row r="320" spans="1:10" x14ac:dyDescent="0.2">
      <c r="A320" s="36">
        <v>45271</v>
      </c>
      <c r="B320" s="37">
        <v>46.627000000000002</v>
      </c>
      <c r="C320" s="38">
        <v>-0.87899999999999801</v>
      </c>
      <c r="D320" s="39">
        <v>-1.8502925946196201E-2</v>
      </c>
      <c r="E320" s="37">
        <v>47.491</v>
      </c>
      <c r="F320" s="37">
        <v>45.83</v>
      </c>
      <c r="G320" s="37">
        <v>47.530999999999999</v>
      </c>
      <c r="H320" s="7">
        <v>509728090</v>
      </c>
      <c r="I320" s="37">
        <v>23718960295</v>
      </c>
      <c r="J320" s="37">
        <v>553592263950.55505</v>
      </c>
    </row>
    <row r="321" spans="1:10" x14ac:dyDescent="0.2">
      <c r="A321" s="36">
        <v>45268</v>
      </c>
      <c r="B321" s="37">
        <v>47.506</v>
      </c>
      <c r="C321" s="38">
        <v>0.91000000000000403</v>
      </c>
      <c r="D321" s="39">
        <v>1.9529573353936E-2</v>
      </c>
      <c r="E321" s="37">
        <v>46.594999999999999</v>
      </c>
      <c r="F321" s="37">
        <v>46.55</v>
      </c>
      <c r="G321" s="37">
        <v>47.740850000000002</v>
      </c>
      <c r="H321" s="7">
        <v>359223700</v>
      </c>
      <c r="I321" s="37">
        <v>17024570502</v>
      </c>
      <c r="J321" s="37">
        <v>577311224245.55505</v>
      </c>
    </row>
    <row r="322" spans="1:10" x14ac:dyDescent="0.2">
      <c r="A322" s="36">
        <v>45267</v>
      </c>
      <c r="B322" s="37">
        <v>46.595999999999997</v>
      </c>
      <c r="C322" s="38">
        <v>1.093</v>
      </c>
      <c r="D322" s="39">
        <v>2.4020394259719101E-2</v>
      </c>
      <c r="E322" s="37">
        <v>45.7</v>
      </c>
      <c r="F322" s="37">
        <v>45.603999999999999</v>
      </c>
      <c r="G322" s="37">
        <v>46.628999999999998</v>
      </c>
      <c r="H322" s="7">
        <v>350822550</v>
      </c>
      <c r="I322" s="37">
        <v>16233774825</v>
      </c>
      <c r="J322" s="37">
        <v>560286653743.55505</v>
      </c>
    </row>
    <row r="323" spans="1:10" x14ac:dyDescent="0.2">
      <c r="A323" s="36">
        <v>45266</v>
      </c>
      <c r="B323" s="37">
        <v>45.503</v>
      </c>
      <c r="C323" s="38">
        <v>-1.0629999999999999</v>
      </c>
      <c r="D323" s="39">
        <v>-2.2827814285100799E-2</v>
      </c>
      <c r="E323" s="37">
        <v>47.214500000000001</v>
      </c>
      <c r="F323" s="37">
        <v>45.411999999999999</v>
      </c>
      <c r="G323" s="37">
        <v>47.387</v>
      </c>
      <c r="H323" s="7">
        <v>380589550</v>
      </c>
      <c r="I323" s="37">
        <v>17596915876</v>
      </c>
      <c r="J323" s="37">
        <v>544052878918.55499</v>
      </c>
    </row>
    <row r="324" spans="1:10" x14ac:dyDescent="0.2">
      <c r="A324" s="36">
        <v>45265</v>
      </c>
      <c r="B324" s="37">
        <v>46.566000000000003</v>
      </c>
      <c r="C324" s="38">
        <v>1.056</v>
      </c>
      <c r="D324" s="39">
        <v>2.3203691496374499E-2</v>
      </c>
      <c r="E324" s="37">
        <v>45.466000000000001</v>
      </c>
      <c r="F324" s="37">
        <v>45.271000000000001</v>
      </c>
      <c r="G324" s="37">
        <v>46.6</v>
      </c>
      <c r="H324" s="7">
        <v>371717620</v>
      </c>
      <c r="I324" s="37">
        <v>17156816500</v>
      </c>
      <c r="J324" s="37">
        <v>561649794794.55505</v>
      </c>
    </row>
    <row r="325" spans="1:10" x14ac:dyDescent="0.2">
      <c r="A325" s="36">
        <v>45264</v>
      </c>
      <c r="B325" s="37">
        <v>45.51</v>
      </c>
      <c r="C325" s="38">
        <v>-1.2549999999999999</v>
      </c>
      <c r="D325" s="39">
        <v>-2.6836309205602499E-2</v>
      </c>
      <c r="E325" s="37">
        <v>46.076999999999998</v>
      </c>
      <c r="F325" s="37">
        <v>45.01</v>
      </c>
      <c r="G325" s="37">
        <v>46.076999999999998</v>
      </c>
      <c r="H325" s="7">
        <v>437543440</v>
      </c>
      <c r="I325" s="37">
        <v>19880383922</v>
      </c>
      <c r="J325" s="37">
        <v>544492978294.55499</v>
      </c>
    </row>
    <row r="326" spans="1:10" x14ac:dyDescent="0.2">
      <c r="A326" s="36">
        <v>45261</v>
      </c>
      <c r="B326" s="37">
        <v>46.765000000000001</v>
      </c>
      <c r="C326" s="38">
        <v>-5.0000000000025597E-3</v>
      </c>
      <c r="D326" s="39">
        <v>-1.06906136412285E-4</v>
      </c>
      <c r="E326" s="37">
        <v>46.524999999999999</v>
      </c>
      <c r="F326" s="37">
        <v>46.186999999999998</v>
      </c>
      <c r="G326" s="37">
        <v>47.2</v>
      </c>
      <c r="H326" s="7">
        <v>369317010</v>
      </c>
      <c r="I326" s="37">
        <v>17263620912</v>
      </c>
      <c r="J326" s="37">
        <v>564373362216.55505</v>
      </c>
    </row>
    <row r="327" spans="1:10" x14ac:dyDescent="0.2">
      <c r="A327" s="36">
        <v>45260</v>
      </c>
      <c r="B327" s="37">
        <v>46.77</v>
      </c>
      <c r="C327" s="38">
        <v>-1.37</v>
      </c>
      <c r="D327" s="39">
        <v>-2.8458662235147401E-2</v>
      </c>
      <c r="E327" s="37">
        <v>48.024000000000001</v>
      </c>
      <c r="F327" s="37">
        <v>46.421999999999997</v>
      </c>
      <c r="G327" s="37">
        <v>48.11</v>
      </c>
      <c r="H327" s="7">
        <v>526246630</v>
      </c>
      <c r="I327" s="37">
        <v>24716435355</v>
      </c>
      <c r="J327" s="37">
        <v>581636983128.55505</v>
      </c>
    </row>
    <row r="328" spans="1:10" x14ac:dyDescent="0.2">
      <c r="A328" s="36">
        <v>45259</v>
      </c>
      <c r="B328" s="37">
        <v>48.14</v>
      </c>
      <c r="C328" s="38">
        <v>0.319000000000003</v>
      </c>
      <c r="D328" s="39">
        <v>6.6707095209218303E-3</v>
      </c>
      <c r="E328" s="37">
        <v>48.378999999999998</v>
      </c>
      <c r="F328" s="37">
        <v>47.86</v>
      </c>
      <c r="G328" s="37">
        <v>48.762</v>
      </c>
      <c r="H328" s="7">
        <v>382004650</v>
      </c>
      <c r="I328" s="37">
        <v>18428289685</v>
      </c>
      <c r="J328" s="37">
        <v>606353418483.55505</v>
      </c>
    </row>
    <row r="329" spans="1:10" x14ac:dyDescent="0.2">
      <c r="A329" s="36">
        <v>45258</v>
      </c>
      <c r="B329" s="37">
        <v>47.820999999999998</v>
      </c>
      <c r="C329" s="38">
        <v>-0.42099999999999899</v>
      </c>
      <c r="D329" s="39">
        <v>-8.7268355374984299E-3</v>
      </c>
      <c r="E329" s="37">
        <v>48.235999999999997</v>
      </c>
      <c r="F329" s="37">
        <v>47.472999999999999</v>
      </c>
      <c r="G329" s="37">
        <v>48.322899999999997</v>
      </c>
      <c r="H329" s="7">
        <v>401490850</v>
      </c>
      <c r="I329" s="37">
        <v>19198222302</v>
      </c>
      <c r="J329" s="37">
        <v>587925128798.55505</v>
      </c>
    </row>
    <row r="330" spans="1:10" x14ac:dyDescent="0.2">
      <c r="A330" s="36">
        <v>45257</v>
      </c>
      <c r="B330" s="37">
        <v>48.241999999999997</v>
      </c>
      <c r="C330" s="38">
        <v>0.46599999999999397</v>
      </c>
      <c r="D330" s="39">
        <v>9.7538513060949801E-3</v>
      </c>
      <c r="E330" s="37">
        <v>47.8</v>
      </c>
      <c r="F330" s="37">
        <v>47.652000000000001</v>
      </c>
      <c r="G330" s="37">
        <v>48.53</v>
      </c>
      <c r="H330" s="7">
        <v>395661900</v>
      </c>
      <c r="I330" s="37">
        <v>19064534828</v>
      </c>
      <c r="J330" s="37">
        <v>607123351100.55505</v>
      </c>
    </row>
    <row r="331" spans="1:10" x14ac:dyDescent="0.2">
      <c r="A331" s="36">
        <v>45254</v>
      </c>
      <c r="B331" s="37">
        <v>47.776000000000003</v>
      </c>
      <c r="C331" s="38">
        <v>-0.93999999999999795</v>
      </c>
      <c r="D331" s="39">
        <v>-1.9295508662451701E-2</v>
      </c>
      <c r="E331" s="37">
        <v>48.470010000000002</v>
      </c>
      <c r="F331" s="37">
        <v>47.744999999999997</v>
      </c>
      <c r="G331" s="37">
        <v>48.920999999999999</v>
      </c>
      <c r="H331" s="7">
        <v>294644640</v>
      </c>
      <c r="I331" s="37">
        <v>14188128251</v>
      </c>
      <c r="J331" s="37">
        <v>588058816272.55505</v>
      </c>
    </row>
    <row r="332" spans="1:10" x14ac:dyDescent="0.2">
      <c r="A332" s="36">
        <v>45252</v>
      </c>
      <c r="B332" s="37">
        <v>48.716000000000001</v>
      </c>
      <c r="C332" s="38">
        <v>-1.228</v>
      </c>
      <c r="D332" s="39">
        <v>-2.4587538042607798E-2</v>
      </c>
      <c r="E332" s="37">
        <v>49.851999999999997</v>
      </c>
      <c r="F332" s="37">
        <v>47.69</v>
      </c>
      <c r="G332" s="37">
        <v>50.334940000000003</v>
      </c>
      <c r="H332" s="7">
        <v>900642330</v>
      </c>
      <c r="I332" s="37">
        <v>43956017882</v>
      </c>
      <c r="J332" s="37">
        <v>602246944523.55505</v>
      </c>
    </row>
    <row r="333" spans="1:10" x14ac:dyDescent="0.2">
      <c r="A333" s="36">
        <v>45251</v>
      </c>
      <c r="B333" s="37">
        <v>49.944000000000003</v>
      </c>
      <c r="C333" s="38">
        <v>-0.46499999999999603</v>
      </c>
      <c r="D333" s="39">
        <v>-9.2245432363267706E-3</v>
      </c>
      <c r="E333" s="37">
        <v>50.125999999999998</v>
      </c>
      <c r="F333" s="37">
        <v>49.222000000000001</v>
      </c>
      <c r="G333" s="37">
        <v>50.517000000000003</v>
      </c>
      <c r="H333" s="7">
        <v>565746870</v>
      </c>
      <c r="I333" s="37">
        <v>28159410707</v>
      </c>
      <c r="J333" s="37">
        <v>646202962405.55505</v>
      </c>
    </row>
    <row r="334" spans="1:10" x14ac:dyDescent="0.2">
      <c r="A334" s="36">
        <v>45250</v>
      </c>
      <c r="B334" s="37">
        <v>50.408999999999999</v>
      </c>
      <c r="C334" s="38">
        <v>1.111</v>
      </c>
      <c r="D334" s="39">
        <v>2.2536411213436601E-2</v>
      </c>
      <c r="E334" s="37">
        <v>49.311999999999998</v>
      </c>
      <c r="F334" s="37">
        <v>49.181010000000001</v>
      </c>
      <c r="G334" s="37">
        <v>50.548000000000002</v>
      </c>
      <c r="H334" s="7">
        <v>416142600</v>
      </c>
      <c r="I334" s="37">
        <v>20789200872</v>
      </c>
      <c r="J334" s="37">
        <v>674362373112.55505</v>
      </c>
    </row>
    <row r="335" spans="1:10" x14ac:dyDescent="0.2">
      <c r="A335" s="36">
        <v>45247</v>
      </c>
      <c r="B335" s="37">
        <v>49.298000000000002</v>
      </c>
      <c r="C335" s="38">
        <v>-0.181999999999995</v>
      </c>
      <c r="D335" s="39">
        <v>-3.6782538399352301E-3</v>
      </c>
      <c r="E335" s="37">
        <v>49.524000000000001</v>
      </c>
      <c r="F335" s="37">
        <v>49.006999999999998</v>
      </c>
      <c r="G335" s="37">
        <v>49.716999999999999</v>
      </c>
      <c r="H335" s="7">
        <v>325896910</v>
      </c>
      <c r="I335" s="37">
        <v>16089209969</v>
      </c>
      <c r="J335" s="37">
        <v>653573172240.55505</v>
      </c>
    </row>
    <row r="336" spans="1:10" x14ac:dyDescent="0.2">
      <c r="A336" s="36">
        <v>45246</v>
      </c>
      <c r="B336" s="37">
        <v>49.48</v>
      </c>
      <c r="C336" s="38">
        <v>0.59199999999999897</v>
      </c>
      <c r="D336" s="39">
        <v>1.21093110783832E-2</v>
      </c>
      <c r="E336" s="37">
        <v>48.679000000000002</v>
      </c>
      <c r="F336" s="37">
        <v>48.33</v>
      </c>
      <c r="G336" s="37">
        <v>49.52469</v>
      </c>
      <c r="H336" s="7">
        <v>339756240</v>
      </c>
      <c r="I336" s="37">
        <v>16640581585</v>
      </c>
      <c r="J336" s="37">
        <v>669662382209.55505</v>
      </c>
    </row>
    <row r="337" spans="1:10" x14ac:dyDescent="0.2">
      <c r="A337" s="36">
        <v>45245</v>
      </c>
      <c r="B337" s="37">
        <v>48.887999999999998</v>
      </c>
      <c r="C337" s="38">
        <v>-0.76800000000000102</v>
      </c>
      <c r="D337" s="39">
        <v>-1.54664088931851E-2</v>
      </c>
      <c r="E337" s="37">
        <v>49.935000000000002</v>
      </c>
      <c r="F337" s="37">
        <v>48.2</v>
      </c>
      <c r="G337" s="37">
        <v>49.96</v>
      </c>
      <c r="H337" s="7">
        <v>475497350</v>
      </c>
      <c r="I337" s="37">
        <v>23300751970</v>
      </c>
      <c r="J337" s="37">
        <v>653021800624.55505</v>
      </c>
    </row>
    <row r="338" spans="1:10" x14ac:dyDescent="0.2">
      <c r="A338" s="36">
        <v>45244</v>
      </c>
      <c r="B338" s="37">
        <v>49.655999999999999</v>
      </c>
      <c r="C338" s="38">
        <v>1.036</v>
      </c>
      <c r="D338" s="39">
        <v>2.1308103661044901E-2</v>
      </c>
      <c r="E338" s="37">
        <v>49.68</v>
      </c>
      <c r="F338" s="37">
        <v>49.040010000000002</v>
      </c>
      <c r="G338" s="37">
        <v>49.834000000000003</v>
      </c>
      <c r="H338" s="7">
        <v>416953870</v>
      </c>
      <c r="I338" s="37">
        <v>20652642148</v>
      </c>
      <c r="J338" s="37">
        <v>676322552594.55505</v>
      </c>
    </row>
    <row r="339" spans="1:10" x14ac:dyDescent="0.2">
      <c r="A339" s="36">
        <v>45243</v>
      </c>
      <c r="B339" s="37">
        <v>48.62</v>
      </c>
      <c r="C339" s="38">
        <v>0.28499999999999698</v>
      </c>
      <c r="D339" s="39">
        <v>5.8963484017791803E-3</v>
      </c>
      <c r="E339" s="37">
        <v>48.32</v>
      </c>
      <c r="F339" s="37">
        <v>48.09901</v>
      </c>
      <c r="G339" s="37">
        <v>49.116</v>
      </c>
      <c r="H339" s="7">
        <v>384135700</v>
      </c>
      <c r="I339" s="37">
        <v>18717156929</v>
      </c>
      <c r="J339" s="37">
        <v>655669910446.55505</v>
      </c>
    </row>
    <row r="340" spans="1:10" x14ac:dyDescent="0.2">
      <c r="A340" s="36">
        <v>45240</v>
      </c>
      <c r="B340" s="37">
        <v>48.335000000000001</v>
      </c>
      <c r="C340" s="38">
        <v>1.385</v>
      </c>
      <c r="D340" s="39">
        <v>2.9499467518636802E-2</v>
      </c>
      <c r="E340" s="37">
        <v>47.5</v>
      </c>
      <c r="F340" s="37">
        <v>47.283009999999997</v>
      </c>
      <c r="G340" s="37">
        <v>48.472000000000001</v>
      </c>
      <c r="H340" s="7">
        <v>422441560</v>
      </c>
      <c r="I340" s="37">
        <v>20268109552</v>
      </c>
      <c r="J340" s="37">
        <v>636952753517.55505</v>
      </c>
    </row>
    <row r="341" spans="1:10" x14ac:dyDescent="0.2">
      <c r="A341" s="36">
        <v>45239</v>
      </c>
      <c r="B341" s="37">
        <v>46.95</v>
      </c>
      <c r="C341" s="38">
        <v>0.376000000000005</v>
      </c>
      <c r="D341" s="39">
        <v>8.07317387383529E-3</v>
      </c>
      <c r="E341" s="37">
        <v>47.466999999999999</v>
      </c>
      <c r="F341" s="37">
        <v>46.75</v>
      </c>
      <c r="G341" s="37">
        <v>48.23</v>
      </c>
      <c r="H341" s="7">
        <v>540495970</v>
      </c>
      <c r="I341" s="37">
        <v>25671508716</v>
      </c>
      <c r="J341" s="37">
        <v>616684643965.55505</v>
      </c>
    </row>
    <row r="342" spans="1:10" x14ac:dyDescent="0.2">
      <c r="A342" s="36">
        <v>45238</v>
      </c>
      <c r="B342" s="37">
        <v>46.573999999999998</v>
      </c>
      <c r="C342" s="38">
        <v>0.61899999999999999</v>
      </c>
      <c r="D342" s="39">
        <v>1.34696986182135E-2</v>
      </c>
      <c r="E342" s="37">
        <v>46.1</v>
      </c>
      <c r="F342" s="37">
        <v>45.968000000000004</v>
      </c>
      <c r="G342" s="37">
        <v>46.866999999999997</v>
      </c>
      <c r="H342" s="7">
        <v>346718940</v>
      </c>
      <c r="I342" s="37">
        <v>16104886353</v>
      </c>
      <c r="J342" s="37">
        <v>591013135249.55505</v>
      </c>
    </row>
    <row r="343" spans="1:10" x14ac:dyDescent="0.2">
      <c r="A343" s="36">
        <v>45237</v>
      </c>
      <c r="B343" s="37">
        <v>45.954999999999998</v>
      </c>
      <c r="C343" s="38">
        <v>0.20400000000000101</v>
      </c>
      <c r="D343" s="39">
        <v>4.4589189307337697E-3</v>
      </c>
      <c r="E343" s="37">
        <v>45.719000000000001</v>
      </c>
      <c r="F343" s="37">
        <v>45.157499999999999</v>
      </c>
      <c r="G343" s="37">
        <v>46.218000000000004</v>
      </c>
      <c r="H343" s="7">
        <v>343165470</v>
      </c>
      <c r="I343" s="37">
        <v>15748217059</v>
      </c>
      <c r="J343" s="37">
        <v>574908248896.55505</v>
      </c>
    </row>
    <row r="344" spans="1:10" x14ac:dyDescent="0.2">
      <c r="A344" s="36">
        <v>45236</v>
      </c>
      <c r="B344" s="37">
        <v>45.750999999999998</v>
      </c>
      <c r="C344" s="38">
        <v>0.745999999999995</v>
      </c>
      <c r="D344" s="39">
        <v>1.6575936007110201E-2</v>
      </c>
      <c r="E344" s="37">
        <v>45.284500000000001</v>
      </c>
      <c r="F344" s="37">
        <v>44.899000000000001</v>
      </c>
      <c r="G344" s="37">
        <v>45.935000000000002</v>
      </c>
      <c r="H344" s="7">
        <v>400733350</v>
      </c>
      <c r="I344" s="37">
        <v>18235096080</v>
      </c>
      <c r="J344" s="37">
        <v>559160031837.55505</v>
      </c>
    </row>
    <row r="345" spans="1:10" x14ac:dyDescent="0.2">
      <c r="A345" s="36">
        <v>45233</v>
      </c>
      <c r="B345" s="37">
        <v>45.005000000000003</v>
      </c>
      <c r="C345" s="38">
        <v>1.4990000000000001</v>
      </c>
      <c r="D345" s="39">
        <v>3.4455017698708297E-2</v>
      </c>
      <c r="E345" s="37">
        <v>44.02</v>
      </c>
      <c r="F345" s="37">
        <v>43.722999999999999</v>
      </c>
      <c r="G345" s="37">
        <v>45.308990000000001</v>
      </c>
      <c r="H345" s="7">
        <v>424609590</v>
      </c>
      <c r="I345" s="37">
        <v>18949271954</v>
      </c>
      <c r="J345" s="37">
        <v>540924935757.55499</v>
      </c>
    </row>
    <row r="346" spans="1:10" x14ac:dyDescent="0.2">
      <c r="A346" s="36">
        <v>45232</v>
      </c>
      <c r="B346" s="37">
        <v>43.506</v>
      </c>
      <c r="C346" s="38">
        <v>1.181</v>
      </c>
      <c r="D346" s="39">
        <v>2.7903130537507301E-2</v>
      </c>
      <c r="E346" s="37">
        <v>43.328000000000003</v>
      </c>
      <c r="F346" s="37">
        <v>42.893999999999998</v>
      </c>
      <c r="G346" s="37">
        <v>43.884</v>
      </c>
      <c r="H346" s="7">
        <v>409171870</v>
      </c>
      <c r="I346" s="37">
        <v>17746756689</v>
      </c>
      <c r="J346" s="37">
        <v>521975663803.55499</v>
      </c>
    </row>
    <row r="347" spans="1:10" x14ac:dyDescent="0.2">
      <c r="A347" s="36">
        <v>45231</v>
      </c>
      <c r="B347" s="37">
        <v>42.325000000000003</v>
      </c>
      <c r="C347" s="38">
        <v>1.5449999999999999</v>
      </c>
      <c r="D347" s="39">
        <v>3.7886218734673897E-2</v>
      </c>
      <c r="E347" s="37">
        <v>40.884</v>
      </c>
      <c r="F347" s="37">
        <v>40.869</v>
      </c>
      <c r="G347" s="37">
        <v>42.381</v>
      </c>
      <c r="H347" s="7">
        <v>437592900</v>
      </c>
      <c r="I347" s="37">
        <v>18278360107</v>
      </c>
      <c r="J347" s="37">
        <v>504228907114.55499</v>
      </c>
    </row>
    <row r="348" spans="1:10" x14ac:dyDescent="0.2">
      <c r="A348" s="36">
        <v>45230</v>
      </c>
      <c r="B348" s="37">
        <v>40.78</v>
      </c>
      <c r="C348" s="38">
        <v>-0.38100000000000001</v>
      </c>
      <c r="D348" s="39">
        <v>-9.2563348801049591E-3</v>
      </c>
      <c r="E348" s="37">
        <v>40.450000000000003</v>
      </c>
      <c r="F348" s="37">
        <v>39.23001</v>
      </c>
      <c r="G348" s="37">
        <v>40.878999999999998</v>
      </c>
      <c r="H348" s="7">
        <v>517968700</v>
      </c>
      <c r="I348" s="37">
        <v>20813815884</v>
      </c>
      <c r="J348" s="37">
        <v>485950547007.55499</v>
      </c>
    </row>
    <row r="349" spans="1:10" x14ac:dyDescent="0.2">
      <c r="A349" s="36">
        <v>45229</v>
      </c>
      <c r="B349" s="37">
        <v>41.161000000000001</v>
      </c>
      <c r="C349" s="38">
        <v>0.66100000000000103</v>
      </c>
      <c r="D349" s="39">
        <v>1.6320987654320999E-2</v>
      </c>
      <c r="E349" s="37">
        <v>41.087000000000003</v>
      </c>
      <c r="F349" s="37">
        <v>40.481000000000002</v>
      </c>
      <c r="G349" s="37">
        <v>41.765999999999998</v>
      </c>
      <c r="H349" s="7">
        <v>388028140</v>
      </c>
      <c r="I349" s="37">
        <v>15941558675</v>
      </c>
      <c r="J349" s="37">
        <v>506764362891.55499</v>
      </c>
    </row>
    <row r="350" spans="1:10" x14ac:dyDescent="0.2">
      <c r="A350" s="36">
        <v>45226</v>
      </c>
      <c r="B350" s="37">
        <v>40.5</v>
      </c>
      <c r="C350" s="38">
        <v>0.17399999999999899</v>
      </c>
      <c r="D350" s="39">
        <v>4.31483410206813E-3</v>
      </c>
      <c r="E350" s="37">
        <v>41.13</v>
      </c>
      <c r="F350" s="37">
        <v>40.015000000000001</v>
      </c>
      <c r="G350" s="37">
        <v>41.206000000000003</v>
      </c>
      <c r="H350" s="7">
        <v>416784410</v>
      </c>
      <c r="I350" s="37">
        <v>16912700321</v>
      </c>
      <c r="J350" s="37">
        <v>490822804216.55499</v>
      </c>
    </row>
    <row r="351" spans="1:10" x14ac:dyDescent="0.2">
      <c r="A351" s="36">
        <v>45225</v>
      </c>
      <c r="B351" s="37">
        <v>40.326000000000001</v>
      </c>
      <c r="C351" s="38">
        <v>-1.4530000000000001</v>
      </c>
      <c r="D351" s="39">
        <v>-3.4778237870700703E-2</v>
      </c>
      <c r="E351" s="37">
        <v>41.853000000000002</v>
      </c>
      <c r="F351" s="37">
        <v>39.880189999999999</v>
      </c>
      <c r="G351" s="37">
        <v>42.255549999999999</v>
      </c>
      <c r="H351" s="7">
        <v>541001320</v>
      </c>
      <c r="I351" s="37">
        <v>22018937910</v>
      </c>
      <c r="J351" s="37">
        <v>473910103895.55499</v>
      </c>
    </row>
    <row r="352" spans="1:10" x14ac:dyDescent="0.2">
      <c r="A352" s="36">
        <v>45224</v>
      </c>
      <c r="B352" s="37">
        <v>41.779000000000003</v>
      </c>
      <c r="C352" s="38">
        <v>-1.8839999999999899</v>
      </c>
      <c r="D352" s="39">
        <v>-4.3148661337974799E-2</v>
      </c>
      <c r="E352" s="37">
        <v>43.398000000000003</v>
      </c>
      <c r="F352" s="37">
        <v>41.555</v>
      </c>
      <c r="G352" s="37">
        <v>43.65</v>
      </c>
      <c r="H352" s="7">
        <v>398379220</v>
      </c>
      <c r="I352" s="37">
        <v>16888935341</v>
      </c>
      <c r="J352" s="37">
        <v>495929041805.55499</v>
      </c>
    </row>
    <row r="353" spans="1:10" x14ac:dyDescent="0.2">
      <c r="A353" s="36">
        <v>45223</v>
      </c>
      <c r="B353" s="37">
        <v>43.662999999999997</v>
      </c>
      <c r="C353" s="38">
        <v>0.68799999999999495</v>
      </c>
      <c r="D353" s="39">
        <v>1.6009307737056298E-2</v>
      </c>
      <c r="E353" s="37">
        <v>43.076999999999998</v>
      </c>
      <c r="F353" s="37">
        <v>42.691000000000003</v>
      </c>
      <c r="G353" s="37">
        <v>43.697000000000003</v>
      </c>
      <c r="H353" s="7">
        <v>401463370</v>
      </c>
      <c r="I353" s="37">
        <v>17349208927</v>
      </c>
      <c r="J353" s="37">
        <v>512817977146.55499</v>
      </c>
    </row>
    <row r="354" spans="1:10" x14ac:dyDescent="0.2">
      <c r="A354" s="36">
        <v>45222</v>
      </c>
      <c r="B354" s="37">
        <v>42.975000000000001</v>
      </c>
      <c r="C354" s="38">
        <v>1.5880000000000001</v>
      </c>
      <c r="D354" s="39">
        <v>3.8369536327832403E-2</v>
      </c>
      <c r="E354" s="37">
        <v>41.228999999999999</v>
      </c>
      <c r="F354" s="37">
        <v>40.945</v>
      </c>
      <c r="G354" s="37">
        <v>43.247990000000001</v>
      </c>
      <c r="H354" s="7">
        <v>478530490</v>
      </c>
      <c r="I354" s="37">
        <v>20320573625</v>
      </c>
      <c r="J354" s="37">
        <v>495468768219.55499</v>
      </c>
    </row>
    <row r="355" spans="1:10" x14ac:dyDescent="0.2">
      <c r="A355" s="36">
        <v>45219</v>
      </c>
      <c r="B355" s="37">
        <v>41.387</v>
      </c>
      <c r="C355" s="38">
        <v>-0.71399999999999897</v>
      </c>
      <c r="D355" s="39">
        <v>-1.6959217120733401E-2</v>
      </c>
      <c r="E355" s="37">
        <v>41.89</v>
      </c>
      <c r="F355" s="37">
        <v>41.078000000000003</v>
      </c>
      <c r="G355" s="37">
        <v>42.47</v>
      </c>
      <c r="H355" s="7">
        <v>477266050</v>
      </c>
      <c r="I355" s="37">
        <v>19861449807</v>
      </c>
      <c r="J355" s="37">
        <v>475148194594.55499</v>
      </c>
    </row>
    <row r="356" spans="1:10" x14ac:dyDescent="0.2">
      <c r="A356" s="36">
        <v>45218</v>
      </c>
      <c r="B356" s="37">
        <v>42.100999999999999</v>
      </c>
      <c r="C356" s="38">
        <v>-9.4999999999998905E-2</v>
      </c>
      <c r="D356" s="39">
        <v>-2.2513982367996701E-3</v>
      </c>
      <c r="E356" s="37">
        <v>42.811</v>
      </c>
      <c r="F356" s="37">
        <v>41.881999999999998</v>
      </c>
      <c r="G356" s="37">
        <v>43.296999999999997</v>
      </c>
      <c r="H356" s="7">
        <v>501233080</v>
      </c>
      <c r="I356" s="37">
        <v>21333703586</v>
      </c>
      <c r="J356" s="37">
        <v>495009644401.55499</v>
      </c>
    </row>
    <row r="357" spans="1:10" x14ac:dyDescent="0.2">
      <c r="A357" s="36">
        <v>45217</v>
      </c>
      <c r="B357" s="37">
        <v>42.195999999999998</v>
      </c>
      <c r="C357" s="38">
        <v>-1.742</v>
      </c>
      <c r="D357" s="39">
        <v>-3.9646775001138099E-2</v>
      </c>
      <c r="E357" s="37">
        <v>42.591000000000001</v>
      </c>
      <c r="F357" s="37">
        <v>41.825000000000003</v>
      </c>
      <c r="G357" s="37">
        <v>43.219000000000001</v>
      </c>
      <c r="H357" s="7">
        <v>627294340</v>
      </c>
      <c r="I357" s="37">
        <v>26606013356</v>
      </c>
      <c r="J357" s="37">
        <v>516343347987.55499</v>
      </c>
    </row>
    <row r="358" spans="1:10" x14ac:dyDescent="0.2">
      <c r="A358" s="36">
        <v>45216</v>
      </c>
      <c r="B358" s="37">
        <v>43.938000000000002</v>
      </c>
      <c r="C358" s="38">
        <v>-2.157</v>
      </c>
      <c r="D358" s="39">
        <v>-4.67946631955743E-2</v>
      </c>
      <c r="E358" s="37">
        <v>44</v>
      </c>
      <c r="F358" s="37">
        <v>42.48</v>
      </c>
      <c r="G358" s="37">
        <v>44.753999999999998</v>
      </c>
      <c r="H358" s="7">
        <v>812332670</v>
      </c>
      <c r="I358" s="37">
        <v>35638352551</v>
      </c>
      <c r="J358" s="37">
        <v>542949361343.55499</v>
      </c>
    </row>
    <row r="359" spans="1:10" x14ac:dyDescent="0.2">
      <c r="A359" s="36">
        <v>45215</v>
      </c>
      <c r="B359" s="37">
        <v>46.094999999999999</v>
      </c>
      <c r="C359" s="38">
        <v>0.63400000000000001</v>
      </c>
      <c r="D359" s="39">
        <v>1.3946019665207501E-2</v>
      </c>
      <c r="E359" s="37">
        <v>45.063000000000002</v>
      </c>
      <c r="F359" s="37">
        <v>44.911999999999999</v>
      </c>
      <c r="G359" s="37">
        <v>46.225000000000001</v>
      </c>
      <c r="H359" s="7">
        <v>375099240</v>
      </c>
      <c r="I359" s="37">
        <v>17190491829</v>
      </c>
      <c r="J359" s="37">
        <v>578587713894.55505</v>
      </c>
    </row>
    <row r="360" spans="1:10" x14ac:dyDescent="0.2">
      <c r="A360" s="36">
        <v>45212</v>
      </c>
      <c r="B360" s="37">
        <v>45.460999999999999</v>
      </c>
      <c r="C360" s="38">
        <v>-1.484</v>
      </c>
      <c r="D360" s="39">
        <v>-3.1611460219405703E-2</v>
      </c>
      <c r="E360" s="37">
        <v>46.96</v>
      </c>
      <c r="F360" s="37">
        <v>45.28</v>
      </c>
      <c r="G360" s="37">
        <v>47.116</v>
      </c>
      <c r="H360" s="7">
        <v>475425990</v>
      </c>
      <c r="I360" s="37">
        <v>21868147613</v>
      </c>
      <c r="J360" s="37">
        <v>561397222065.55505</v>
      </c>
    </row>
    <row r="361" spans="1:10" x14ac:dyDescent="0.2">
      <c r="A361" s="36">
        <v>45211</v>
      </c>
      <c r="B361" s="37">
        <v>46.945</v>
      </c>
      <c r="C361" s="38">
        <v>0.13900000000000301</v>
      </c>
      <c r="D361" s="39">
        <v>2.96970473870877E-3</v>
      </c>
      <c r="E361" s="37">
        <v>46.777000000000001</v>
      </c>
      <c r="F361" s="37">
        <v>46.33</v>
      </c>
      <c r="G361" s="37">
        <v>47.609000000000002</v>
      </c>
      <c r="H361" s="7">
        <v>481325000</v>
      </c>
      <c r="I361" s="37">
        <v>22659773642</v>
      </c>
      <c r="J361" s="37">
        <v>583265369678.55505</v>
      </c>
    </row>
    <row r="362" spans="1:10" x14ac:dyDescent="0.2">
      <c r="A362" s="36">
        <v>45210</v>
      </c>
      <c r="B362" s="37">
        <v>46.805999999999997</v>
      </c>
      <c r="C362" s="38">
        <v>1.008</v>
      </c>
      <c r="D362" s="39">
        <v>2.20096947464954E-2</v>
      </c>
      <c r="E362" s="37">
        <v>46.195999999999998</v>
      </c>
      <c r="F362" s="37">
        <v>46.05</v>
      </c>
      <c r="G362" s="37">
        <v>46.859000000000002</v>
      </c>
      <c r="H362" s="7">
        <v>378136890</v>
      </c>
      <c r="I362" s="37">
        <v>17561053003</v>
      </c>
      <c r="J362" s="37">
        <v>560605596036.55505</v>
      </c>
    </row>
    <row r="363" spans="1:10" x14ac:dyDescent="0.2">
      <c r="A363" s="36">
        <v>45209</v>
      </c>
      <c r="B363" s="37">
        <v>45.798000000000002</v>
      </c>
      <c r="C363" s="38">
        <v>0.52499999999999902</v>
      </c>
      <c r="D363" s="39">
        <v>1.1596315684845201E-2</v>
      </c>
      <c r="E363" s="37">
        <v>45.31</v>
      </c>
      <c r="F363" s="37">
        <v>45.088000000000001</v>
      </c>
      <c r="G363" s="37">
        <v>46.259</v>
      </c>
      <c r="H363" s="7">
        <v>368582080</v>
      </c>
      <c r="I363" s="37">
        <v>16884130938</v>
      </c>
      <c r="J363" s="37">
        <v>543044543033.55499</v>
      </c>
    </row>
    <row r="364" spans="1:10" x14ac:dyDescent="0.2">
      <c r="A364" s="36">
        <v>45208</v>
      </c>
      <c r="B364" s="37">
        <v>45.273000000000003</v>
      </c>
      <c r="C364" s="38">
        <v>-0.48899999999999699</v>
      </c>
      <c r="D364" s="39">
        <v>-1.06857217778943E-2</v>
      </c>
      <c r="E364" s="37">
        <v>44.841999999999999</v>
      </c>
      <c r="F364" s="37">
        <v>44.368000000000002</v>
      </c>
      <c r="G364" s="37">
        <v>45.604999999999997</v>
      </c>
      <c r="H364" s="7">
        <v>409674720</v>
      </c>
      <c r="I364" s="37">
        <v>18417637547</v>
      </c>
      <c r="J364" s="37">
        <v>526160412095.55499</v>
      </c>
    </row>
    <row r="365" spans="1:10" x14ac:dyDescent="0.2">
      <c r="A365" s="36">
        <v>45205</v>
      </c>
      <c r="B365" s="37">
        <v>45.762</v>
      </c>
      <c r="C365" s="38">
        <v>1.0740000000000001</v>
      </c>
      <c r="D365" s="39">
        <v>2.4033297529538099E-2</v>
      </c>
      <c r="E365" s="37">
        <v>44.192999999999998</v>
      </c>
      <c r="F365" s="37">
        <v>44.026000000000003</v>
      </c>
      <c r="G365" s="37">
        <v>45.789000000000001</v>
      </c>
      <c r="H365" s="7">
        <v>434436020</v>
      </c>
      <c r="I365" s="37">
        <v>19608252447</v>
      </c>
      <c r="J365" s="37">
        <v>544578049642.55499</v>
      </c>
    </row>
    <row r="366" spans="1:10" x14ac:dyDescent="0.2">
      <c r="A366" s="36">
        <v>45204</v>
      </c>
      <c r="B366" s="37">
        <v>44.688000000000002</v>
      </c>
      <c r="C366" s="38">
        <v>0.64700000000000601</v>
      </c>
      <c r="D366" s="39">
        <v>1.46908562475876E-2</v>
      </c>
      <c r="E366" s="37">
        <v>44.05</v>
      </c>
      <c r="F366" s="37">
        <v>43.887999999999998</v>
      </c>
      <c r="G366" s="37">
        <v>44.9</v>
      </c>
      <c r="H366" s="7">
        <v>393483090</v>
      </c>
      <c r="I366" s="37">
        <v>17492317563</v>
      </c>
      <c r="J366" s="37">
        <v>524969797195.55499</v>
      </c>
    </row>
    <row r="367" spans="1:10" x14ac:dyDescent="0.2">
      <c r="A367" s="36">
        <v>45203</v>
      </c>
      <c r="B367" s="37">
        <v>44.040999999999997</v>
      </c>
      <c r="C367" s="38">
        <v>0.52399999999999403</v>
      </c>
      <c r="D367" s="39">
        <v>1.20412712273363E-2</v>
      </c>
      <c r="E367" s="37">
        <v>43.741999999999997</v>
      </c>
      <c r="F367" s="37">
        <v>43.292009999999998</v>
      </c>
      <c r="G367" s="37">
        <v>44.143000000000001</v>
      </c>
      <c r="H367" s="7">
        <v>361820860</v>
      </c>
      <c r="I367" s="37">
        <v>15846658863</v>
      </c>
      <c r="J367" s="37">
        <v>507477479632.55499</v>
      </c>
    </row>
    <row r="368" spans="1:10" x14ac:dyDescent="0.2">
      <c r="A368" s="36">
        <v>45202</v>
      </c>
      <c r="B368" s="37">
        <v>43.517000000000003</v>
      </c>
      <c r="C368" s="38">
        <v>-1.2649999999999899</v>
      </c>
      <c r="D368" s="39">
        <v>-2.8247956768344299E-2</v>
      </c>
      <c r="E368" s="37">
        <v>44.808</v>
      </c>
      <c r="F368" s="37">
        <v>43.246000000000002</v>
      </c>
      <c r="G368" s="37">
        <v>45.13</v>
      </c>
      <c r="H368" s="7">
        <v>470849540</v>
      </c>
      <c r="I368" s="37">
        <v>20723983493</v>
      </c>
      <c r="J368" s="37">
        <v>491630820769.55499</v>
      </c>
    </row>
    <row r="369" spans="1:10" x14ac:dyDescent="0.2">
      <c r="A369" s="36">
        <v>45201</v>
      </c>
      <c r="B369" s="37">
        <v>44.781999999999996</v>
      </c>
      <c r="C369" s="38">
        <v>1.2829999999999899</v>
      </c>
      <c r="D369" s="39">
        <v>2.9494930917952002E-2</v>
      </c>
      <c r="E369" s="37">
        <v>44.03</v>
      </c>
      <c r="F369" s="37">
        <v>43.860999999999997</v>
      </c>
      <c r="G369" s="37">
        <v>45.174999999999997</v>
      </c>
      <c r="H369" s="7">
        <v>433298210</v>
      </c>
      <c r="I369" s="37">
        <v>19348145730</v>
      </c>
      <c r="J369" s="37">
        <v>512354804262.55499</v>
      </c>
    </row>
    <row r="370" spans="1:10" x14ac:dyDescent="0.2">
      <c r="A370" s="36">
        <v>45198</v>
      </c>
      <c r="B370" s="37">
        <v>43.499000000000002</v>
      </c>
      <c r="C370" s="38">
        <v>0.41000000000000397</v>
      </c>
      <c r="D370" s="39">
        <v>9.5151894915176394E-3</v>
      </c>
      <c r="E370" s="37">
        <v>43.826999999999998</v>
      </c>
      <c r="F370" s="37">
        <v>43.306939999999997</v>
      </c>
      <c r="G370" s="37">
        <v>44.143999999999998</v>
      </c>
      <c r="H370" s="7">
        <v>397829930</v>
      </c>
      <c r="I370" s="37">
        <v>17386653139</v>
      </c>
      <c r="J370" s="37">
        <v>493006658532.55499</v>
      </c>
    </row>
    <row r="371" spans="1:10" x14ac:dyDescent="0.2">
      <c r="A371" s="36">
        <v>45197</v>
      </c>
      <c r="B371" s="37">
        <v>43.088999999999999</v>
      </c>
      <c r="C371" s="38">
        <v>0.620999999999995</v>
      </c>
      <c r="D371" s="39">
        <v>1.4622774795139799E-2</v>
      </c>
      <c r="E371" s="37">
        <v>42.46</v>
      </c>
      <c r="F371" s="37">
        <v>42.115000000000002</v>
      </c>
      <c r="G371" s="37">
        <v>43.446309999999997</v>
      </c>
      <c r="H371" s="7">
        <v>424662790</v>
      </c>
      <c r="I371" s="37">
        <v>18234861943</v>
      </c>
      <c r="J371" s="37">
        <v>475620005393.55499</v>
      </c>
    </row>
    <row r="372" spans="1:10" x14ac:dyDescent="0.2">
      <c r="A372" s="36">
        <v>45196</v>
      </c>
      <c r="B372" s="37">
        <v>42.468000000000004</v>
      </c>
      <c r="C372" s="38">
        <v>0.55700000000000205</v>
      </c>
      <c r="D372" s="39">
        <v>1.3290067046837399E-2</v>
      </c>
      <c r="E372" s="37">
        <v>42.33</v>
      </c>
      <c r="F372" s="37">
        <v>41.629010000000001</v>
      </c>
      <c r="G372" s="37">
        <v>42.872</v>
      </c>
      <c r="H372" s="7">
        <v>444935200</v>
      </c>
      <c r="I372" s="37">
        <v>18794748858</v>
      </c>
      <c r="J372" s="37">
        <v>457385143450.55499</v>
      </c>
    </row>
    <row r="373" spans="1:10" x14ac:dyDescent="0.2">
      <c r="A373" s="36">
        <v>45195</v>
      </c>
      <c r="B373" s="37">
        <v>41.911000000000001</v>
      </c>
      <c r="C373" s="38">
        <v>-0.311</v>
      </c>
      <c r="D373" s="39">
        <v>-7.3658282412012704E-3</v>
      </c>
      <c r="E373" s="37">
        <v>42.000999999999998</v>
      </c>
      <c r="F373" s="37">
        <v>41.655000000000001</v>
      </c>
      <c r="G373" s="37">
        <v>42.82</v>
      </c>
      <c r="H373" s="7">
        <v>402282090</v>
      </c>
      <c r="I373" s="37">
        <v>16954513309</v>
      </c>
      <c r="J373" s="37">
        <v>438590394592.55499</v>
      </c>
    </row>
    <row r="374" spans="1:10" x14ac:dyDescent="0.2">
      <c r="A374" s="36">
        <v>45194</v>
      </c>
      <c r="B374" s="37">
        <v>42.222000000000001</v>
      </c>
      <c r="C374" s="38">
        <v>0.61200000000000199</v>
      </c>
      <c r="D374" s="39">
        <v>1.4708002883922201E-2</v>
      </c>
      <c r="E374" s="37">
        <v>41.591000000000001</v>
      </c>
      <c r="F374" s="37">
        <v>41.177</v>
      </c>
      <c r="G374" s="37">
        <v>42.536000000000001</v>
      </c>
      <c r="H374" s="7">
        <v>419090960</v>
      </c>
      <c r="I374" s="37">
        <v>17642546803</v>
      </c>
      <c r="J374" s="37">
        <v>455544907901.55499</v>
      </c>
    </row>
    <row r="375" spans="1:10" x14ac:dyDescent="0.2">
      <c r="A375" s="36">
        <v>45191</v>
      </c>
      <c r="B375" s="37">
        <v>41.61</v>
      </c>
      <c r="C375" s="38">
        <v>0.59299999999999597</v>
      </c>
      <c r="D375" s="39">
        <v>1.44574200941072E-2</v>
      </c>
      <c r="E375" s="37">
        <v>41.572000000000003</v>
      </c>
      <c r="F375" s="37">
        <v>41.231000000000002</v>
      </c>
      <c r="G375" s="37">
        <v>42.115000000000002</v>
      </c>
      <c r="H375" s="7">
        <v>479236310</v>
      </c>
      <c r="I375" s="37">
        <v>19991574125</v>
      </c>
      <c r="J375" s="37">
        <v>437902361098.55499</v>
      </c>
    </row>
    <row r="376" spans="1:10" x14ac:dyDescent="0.2">
      <c r="A376" s="36">
        <v>45190</v>
      </c>
      <c r="B376" s="37">
        <v>41.017000000000003</v>
      </c>
      <c r="C376" s="38">
        <v>-1.22199999999999</v>
      </c>
      <c r="D376" s="39">
        <v>-2.8930609152678699E-2</v>
      </c>
      <c r="E376" s="37">
        <v>41.582999999999998</v>
      </c>
      <c r="F376" s="37">
        <v>40.98</v>
      </c>
      <c r="G376" s="37">
        <v>42.1</v>
      </c>
      <c r="H376" s="7">
        <v>450735960</v>
      </c>
      <c r="I376" s="37">
        <v>18674392647</v>
      </c>
      <c r="J376" s="37">
        <v>417910786973.55499</v>
      </c>
    </row>
    <row r="377" spans="1:10" x14ac:dyDescent="0.2">
      <c r="A377" s="36">
        <v>45189</v>
      </c>
      <c r="B377" s="37">
        <v>42.238999999999997</v>
      </c>
      <c r="C377" s="38">
        <v>-1.2810000000000099</v>
      </c>
      <c r="D377" s="39">
        <v>-2.9434742647059E-2</v>
      </c>
      <c r="E377" s="37">
        <v>43.6</v>
      </c>
      <c r="F377" s="37">
        <v>42.222999999999999</v>
      </c>
      <c r="G377" s="37">
        <v>43.902999999999999</v>
      </c>
      <c r="H377" s="7">
        <v>367107690</v>
      </c>
      <c r="I377" s="37">
        <v>15833667437</v>
      </c>
      <c r="J377" s="37">
        <v>436585179620.55499</v>
      </c>
    </row>
    <row r="378" spans="1:10" x14ac:dyDescent="0.2">
      <c r="A378" s="36">
        <v>45188</v>
      </c>
      <c r="B378" s="37">
        <v>43.52</v>
      </c>
      <c r="C378" s="38">
        <v>-0.44599999999999801</v>
      </c>
      <c r="D378" s="39">
        <v>-1.0144202338170399E-2</v>
      </c>
      <c r="E378" s="37">
        <v>43.832999999999998</v>
      </c>
      <c r="F378" s="37">
        <v>43.002000000000002</v>
      </c>
      <c r="G378" s="37">
        <v>43.966000000000001</v>
      </c>
      <c r="H378" s="7">
        <v>373064240</v>
      </c>
      <c r="I378" s="37">
        <v>16211669793</v>
      </c>
      <c r="J378" s="37">
        <v>452418847057.55499</v>
      </c>
    </row>
    <row r="379" spans="1:10" x14ac:dyDescent="0.2">
      <c r="A379" s="36">
        <v>45187</v>
      </c>
      <c r="B379" s="37">
        <v>43.966000000000001</v>
      </c>
      <c r="C379" s="38">
        <v>6.6000000000002501E-2</v>
      </c>
      <c r="D379" s="39">
        <v>1.50341685649208E-3</v>
      </c>
      <c r="E379" s="37">
        <v>42.747999999999998</v>
      </c>
      <c r="F379" s="37">
        <v>42</v>
      </c>
      <c r="G379" s="37">
        <v>44.241999999999997</v>
      </c>
      <c r="H379" s="7">
        <v>500270790</v>
      </c>
      <c r="I379" s="37">
        <v>21802059047</v>
      </c>
      <c r="J379" s="37">
        <v>468630516850.55499</v>
      </c>
    </row>
    <row r="380" spans="1:10" x14ac:dyDescent="0.2">
      <c r="A380" s="36">
        <v>45184</v>
      </c>
      <c r="B380" s="37">
        <v>43.9</v>
      </c>
      <c r="C380" s="38">
        <v>-1.681</v>
      </c>
      <c r="D380" s="39">
        <v>-3.68794015050131E-2</v>
      </c>
      <c r="E380" s="37">
        <v>45.341000000000001</v>
      </c>
      <c r="F380" s="37">
        <v>43.808</v>
      </c>
      <c r="G380" s="37">
        <v>45.598999999999997</v>
      </c>
      <c r="H380" s="7">
        <v>506830510</v>
      </c>
      <c r="I380" s="37">
        <v>22460985173</v>
      </c>
      <c r="J380" s="37">
        <v>446828457803.55499</v>
      </c>
    </row>
    <row r="381" spans="1:10" x14ac:dyDescent="0.2">
      <c r="A381" s="36">
        <v>45183</v>
      </c>
      <c r="B381" s="37">
        <v>45.581000000000003</v>
      </c>
      <c r="C381" s="38">
        <v>9.6000000000003596E-2</v>
      </c>
      <c r="D381" s="39">
        <v>2.1105859074420901E-3</v>
      </c>
      <c r="E381" s="37">
        <v>45.95</v>
      </c>
      <c r="F381" s="37">
        <v>45.131</v>
      </c>
      <c r="G381" s="37">
        <v>45.986989999999999</v>
      </c>
      <c r="H381" s="7">
        <v>370097200</v>
      </c>
      <c r="I381" s="37">
        <v>16867570354</v>
      </c>
      <c r="J381" s="37">
        <v>469289442976.55499</v>
      </c>
    </row>
    <row r="382" spans="1:10" x14ac:dyDescent="0.2">
      <c r="A382" s="36">
        <v>45182</v>
      </c>
      <c r="B382" s="37">
        <v>45.484999999999999</v>
      </c>
      <c r="C382" s="38">
        <v>0.61500000000000199</v>
      </c>
      <c r="D382" s="39">
        <v>1.3706262536215799E-2</v>
      </c>
      <c r="E382" s="37">
        <v>44.6</v>
      </c>
      <c r="F382" s="37">
        <v>44.503</v>
      </c>
      <c r="G382" s="37">
        <v>45.93</v>
      </c>
      <c r="H382" s="7">
        <v>398355350</v>
      </c>
      <c r="I382" s="37">
        <v>18090159919</v>
      </c>
      <c r="J382" s="37">
        <v>452421872622.55499</v>
      </c>
    </row>
    <row r="383" spans="1:10" x14ac:dyDescent="0.2">
      <c r="A383" s="36">
        <v>45181</v>
      </c>
      <c r="B383" s="37">
        <v>44.87</v>
      </c>
      <c r="C383" s="38">
        <v>-0.308</v>
      </c>
      <c r="D383" s="39">
        <v>-6.8174775333126698E-3</v>
      </c>
      <c r="E383" s="37">
        <v>44.738</v>
      </c>
      <c r="F383" s="37">
        <v>44.530999999999999</v>
      </c>
      <c r="G383" s="37">
        <v>45.673000000000002</v>
      </c>
      <c r="H383" s="7">
        <v>349256340</v>
      </c>
      <c r="I383" s="37">
        <v>15777953152</v>
      </c>
      <c r="J383" s="37">
        <v>434331712703.55499</v>
      </c>
    </row>
    <row r="384" spans="1:10" x14ac:dyDescent="0.2">
      <c r="A384" s="36">
        <v>45180</v>
      </c>
      <c r="B384" s="37">
        <v>45.177999999999997</v>
      </c>
      <c r="C384" s="38">
        <v>-0.39400000000000501</v>
      </c>
      <c r="D384" s="39">
        <v>-8.64565961555353E-3</v>
      </c>
      <c r="E384" s="37">
        <v>46.148000000000003</v>
      </c>
      <c r="F384" s="37">
        <v>44.311999999999998</v>
      </c>
      <c r="G384" s="37">
        <v>46.162999999999997</v>
      </c>
      <c r="H384" s="7">
        <v>473965550</v>
      </c>
      <c r="I384" s="37">
        <v>21299086353</v>
      </c>
      <c r="J384" s="37">
        <v>450109665855.55499</v>
      </c>
    </row>
    <row r="385" spans="1:10" x14ac:dyDescent="0.2">
      <c r="A385" s="36">
        <v>45177</v>
      </c>
      <c r="B385" s="37">
        <v>45.572000000000003</v>
      </c>
      <c r="C385" s="38">
        <v>-0.66899999999999704</v>
      </c>
      <c r="D385" s="39">
        <v>-1.44676801972275E-2</v>
      </c>
      <c r="E385" s="37">
        <v>45.942</v>
      </c>
      <c r="F385" s="37">
        <v>45.271000000000001</v>
      </c>
      <c r="G385" s="37">
        <v>46.606000000000002</v>
      </c>
      <c r="H385" s="7">
        <v>473899940</v>
      </c>
      <c r="I385" s="37">
        <v>21688882097</v>
      </c>
      <c r="J385" s="37">
        <v>471408752208.55499</v>
      </c>
    </row>
    <row r="386" spans="1:10" x14ac:dyDescent="0.2">
      <c r="A386" s="36">
        <v>45176</v>
      </c>
      <c r="B386" s="37">
        <v>46.241</v>
      </c>
      <c r="C386" s="38">
        <v>-0.82</v>
      </c>
      <c r="D386" s="39">
        <v>-1.7424194131021399E-2</v>
      </c>
      <c r="E386" s="37">
        <v>45.524999999999999</v>
      </c>
      <c r="F386" s="37">
        <v>45.152000000000001</v>
      </c>
      <c r="G386" s="37">
        <v>46.344000000000001</v>
      </c>
      <c r="H386" s="7">
        <v>433329890</v>
      </c>
      <c r="I386" s="37">
        <v>19859044770</v>
      </c>
      <c r="J386" s="37">
        <v>493097634305.55499</v>
      </c>
    </row>
    <row r="387" spans="1:10" x14ac:dyDescent="0.2">
      <c r="A387" s="36">
        <v>45175</v>
      </c>
      <c r="B387" s="37">
        <v>47.061</v>
      </c>
      <c r="C387" s="38">
        <v>-1.4870000000000001</v>
      </c>
      <c r="D387" s="39">
        <v>-3.0629480102167001E-2</v>
      </c>
      <c r="E387" s="37">
        <v>48.441000000000003</v>
      </c>
      <c r="F387" s="37">
        <v>46.58</v>
      </c>
      <c r="G387" s="37">
        <v>48.548999999999999</v>
      </c>
      <c r="H387" s="7">
        <v>468669570</v>
      </c>
      <c r="I387" s="37">
        <v>22095981189</v>
      </c>
      <c r="J387" s="37">
        <v>512956679075.55499</v>
      </c>
    </row>
    <row r="388" spans="1:10" x14ac:dyDescent="0.2">
      <c r="A388" s="36">
        <v>45174</v>
      </c>
      <c r="B388" s="37">
        <v>48.548000000000002</v>
      </c>
      <c r="C388" s="38">
        <v>3.9000000000001499E-2</v>
      </c>
      <c r="D388" s="39">
        <v>8.0397452019216002E-4</v>
      </c>
      <c r="E388" s="37">
        <v>48.222999999999999</v>
      </c>
      <c r="F388" s="37">
        <v>47.86</v>
      </c>
      <c r="G388" s="37">
        <v>48.850810000000003</v>
      </c>
      <c r="H388" s="7">
        <v>382652580</v>
      </c>
      <c r="I388" s="37">
        <v>18541548236</v>
      </c>
      <c r="J388" s="37">
        <v>535052660264.55499</v>
      </c>
    </row>
    <row r="389" spans="1:10" x14ac:dyDescent="0.2">
      <c r="A389" s="36">
        <v>45170</v>
      </c>
      <c r="B389" s="37">
        <v>48.509</v>
      </c>
      <c r="C389" s="38">
        <v>-0.84599999999999698</v>
      </c>
      <c r="D389" s="39">
        <v>-1.71411204538547E-2</v>
      </c>
      <c r="E389" s="37">
        <v>49.762</v>
      </c>
      <c r="F389" s="37">
        <v>48.141599999999997</v>
      </c>
      <c r="G389" s="37">
        <v>49.8</v>
      </c>
      <c r="H389" s="7">
        <v>463830300</v>
      </c>
      <c r="I389" s="37">
        <v>22578898464</v>
      </c>
      <c r="J389" s="37">
        <v>516511112028.55499</v>
      </c>
    </row>
    <row r="390" spans="1:10" x14ac:dyDescent="0.2">
      <c r="A390" s="36">
        <v>45169</v>
      </c>
      <c r="B390" s="37">
        <v>49.354999999999997</v>
      </c>
      <c r="C390" s="38">
        <v>9.0999999999994002E-2</v>
      </c>
      <c r="D390" s="39">
        <v>1.8471906463136201E-3</v>
      </c>
      <c r="E390" s="37">
        <v>49.38</v>
      </c>
      <c r="F390" s="37">
        <v>48.957999999999998</v>
      </c>
      <c r="G390" s="37">
        <v>49.744</v>
      </c>
      <c r="H390" s="7">
        <v>528569770</v>
      </c>
      <c r="I390" s="37">
        <v>26131021742</v>
      </c>
      <c r="J390" s="37">
        <v>539090010492.55499</v>
      </c>
    </row>
    <row r="391" spans="1:10" x14ac:dyDescent="0.2">
      <c r="A391" s="36">
        <v>45168</v>
      </c>
      <c r="B391" s="37">
        <v>49.264000000000003</v>
      </c>
      <c r="C391" s="38">
        <v>0.48000000000000398</v>
      </c>
      <c r="D391" s="39">
        <v>9.8392915710069691E-3</v>
      </c>
      <c r="E391" s="37">
        <v>49.043999999999997</v>
      </c>
      <c r="F391" s="37">
        <v>48.424999999999997</v>
      </c>
      <c r="G391" s="37">
        <v>49.927</v>
      </c>
      <c r="H391" s="7">
        <v>735205980</v>
      </c>
      <c r="I391" s="37">
        <v>36252611580</v>
      </c>
      <c r="J391" s="37">
        <v>512958988750.55499</v>
      </c>
    </row>
    <row r="392" spans="1:10" x14ac:dyDescent="0.2">
      <c r="A392" s="36">
        <v>45167</v>
      </c>
      <c r="B392" s="37">
        <v>48.783999999999999</v>
      </c>
      <c r="C392" s="38">
        <v>1.9490000000000001</v>
      </c>
      <c r="D392" s="39">
        <v>4.1614177431408099E-2</v>
      </c>
      <c r="E392" s="37">
        <v>46.665999999999997</v>
      </c>
      <c r="F392" s="37">
        <v>46.391010000000001</v>
      </c>
      <c r="G392" s="37">
        <v>49.081000000000003</v>
      </c>
      <c r="H392" s="7">
        <v>701396990</v>
      </c>
      <c r="I392" s="37">
        <v>33907257950</v>
      </c>
      <c r="J392" s="37">
        <v>476706377170.55499</v>
      </c>
    </row>
    <row r="393" spans="1:10" x14ac:dyDescent="0.2">
      <c r="A393" s="36">
        <v>45166</v>
      </c>
      <c r="B393" s="37">
        <v>46.835000000000001</v>
      </c>
      <c r="C393" s="38">
        <v>0.81699999999999995</v>
      </c>
      <c r="D393" s="39">
        <v>1.77539223781998E-2</v>
      </c>
      <c r="E393" s="37">
        <v>46.481999999999999</v>
      </c>
      <c r="F393" s="37">
        <v>44.887999999999998</v>
      </c>
      <c r="G393" s="37">
        <v>46.98</v>
      </c>
      <c r="H393" s="7">
        <v>685192230</v>
      </c>
      <c r="I393" s="37">
        <v>31620774528</v>
      </c>
      <c r="J393" s="37">
        <v>442799119220.55499</v>
      </c>
    </row>
    <row r="394" spans="1:10" x14ac:dyDescent="0.2">
      <c r="A394" s="36">
        <v>45163</v>
      </c>
      <c r="B394" s="37">
        <v>46.018000000000001</v>
      </c>
      <c r="C394" s="38">
        <v>-1.145</v>
      </c>
      <c r="D394" s="39">
        <v>-2.42775056718189E-2</v>
      </c>
      <c r="E394" s="37">
        <v>47.012</v>
      </c>
      <c r="F394" s="37">
        <v>45.024000000000001</v>
      </c>
      <c r="G394" s="37">
        <v>47.805</v>
      </c>
      <c r="H394" s="7">
        <v>925340520</v>
      </c>
      <c r="I394" s="37">
        <v>42652962541</v>
      </c>
      <c r="J394" s="37">
        <v>411178344692.55499</v>
      </c>
    </row>
    <row r="395" spans="1:10" x14ac:dyDescent="0.2">
      <c r="A395" s="36">
        <v>45162</v>
      </c>
      <c r="B395" s="37">
        <v>47.162999999999997</v>
      </c>
      <c r="C395" s="38">
        <v>4.6999999999997003E-2</v>
      </c>
      <c r="D395" s="39">
        <v>9.9753799134045802E-4</v>
      </c>
      <c r="E395" s="37">
        <v>50.216000000000001</v>
      </c>
      <c r="F395" s="37">
        <v>47.158999999999999</v>
      </c>
      <c r="G395" s="37">
        <v>50.265999999999998</v>
      </c>
      <c r="H395" s="7">
        <v>1156044090</v>
      </c>
      <c r="I395" s="37">
        <v>55938991950</v>
      </c>
      <c r="J395" s="37">
        <v>453831307233.55499</v>
      </c>
    </row>
    <row r="396" spans="1:10" x14ac:dyDescent="0.2">
      <c r="A396" s="36">
        <v>45161</v>
      </c>
      <c r="B396" s="37">
        <v>47.116</v>
      </c>
      <c r="C396" s="38">
        <v>1.448</v>
      </c>
      <c r="D396" s="39">
        <v>3.1707103442235297E-2</v>
      </c>
      <c r="E396" s="37">
        <v>45.866</v>
      </c>
      <c r="F396" s="37">
        <v>45.207999999999998</v>
      </c>
      <c r="G396" s="37">
        <v>47.2</v>
      </c>
      <c r="H396" s="7">
        <v>779046080</v>
      </c>
      <c r="I396" s="37">
        <v>36985220358</v>
      </c>
      <c r="J396" s="37">
        <v>397892315283.55499</v>
      </c>
    </row>
    <row r="397" spans="1:10" x14ac:dyDescent="0.2">
      <c r="A397" s="36">
        <v>45160</v>
      </c>
      <c r="B397" s="37">
        <v>45.667999999999999</v>
      </c>
      <c r="C397" s="38">
        <v>-1.2989999999999999</v>
      </c>
      <c r="D397" s="39">
        <v>-2.7657717120531399E-2</v>
      </c>
      <c r="E397" s="37">
        <v>48.134999999999998</v>
      </c>
      <c r="F397" s="37">
        <v>45.333100000000002</v>
      </c>
      <c r="G397" s="37">
        <v>48.186999999999998</v>
      </c>
      <c r="H397" s="7">
        <v>757206910</v>
      </c>
      <c r="I397" s="37">
        <v>35035692703</v>
      </c>
      <c r="J397" s="37">
        <v>360907094925.55499</v>
      </c>
    </row>
    <row r="398" spans="1:10" x14ac:dyDescent="0.2">
      <c r="A398" s="36">
        <v>45159</v>
      </c>
      <c r="B398" s="37">
        <v>46.966999999999999</v>
      </c>
      <c r="C398" s="38">
        <v>3.6680000000000001</v>
      </c>
      <c r="D398" s="39">
        <v>8.4713272823852701E-2</v>
      </c>
      <c r="E398" s="37">
        <v>44.494</v>
      </c>
      <c r="F398" s="37">
        <v>44.222000000000001</v>
      </c>
      <c r="G398" s="37">
        <v>47.064999999999998</v>
      </c>
      <c r="H398" s="7">
        <v>692573370</v>
      </c>
      <c r="I398" s="37">
        <v>31715926179</v>
      </c>
      <c r="J398" s="37">
        <v>395942787628.55499</v>
      </c>
    </row>
    <row r="399" spans="1:10" x14ac:dyDescent="0.2">
      <c r="A399" s="36">
        <v>45156</v>
      </c>
      <c r="B399" s="37">
        <v>43.298999999999999</v>
      </c>
      <c r="C399" s="38">
        <v>-4.4499999999999297E-2</v>
      </c>
      <c r="D399" s="39">
        <v>-1.02668220148348E-3</v>
      </c>
      <c r="E399" s="37">
        <v>42.634999999999998</v>
      </c>
      <c r="F399" s="37">
        <v>41.66</v>
      </c>
      <c r="G399" s="37">
        <v>43.57799</v>
      </c>
      <c r="H399" s="7">
        <v>583767870</v>
      </c>
      <c r="I399" s="37">
        <v>24930443205</v>
      </c>
      <c r="J399" s="37">
        <v>364226861449.55499</v>
      </c>
    </row>
    <row r="400" spans="1:10" x14ac:dyDescent="0.2">
      <c r="A400" s="36">
        <v>45155</v>
      </c>
      <c r="B400" s="37">
        <v>43.343499999999999</v>
      </c>
      <c r="C400" s="38">
        <v>-0.14249999999999799</v>
      </c>
      <c r="D400" s="39">
        <v>-3.2769167088257901E-3</v>
      </c>
      <c r="E400" s="37">
        <v>43.97</v>
      </c>
      <c r="F400" s="37">
        <v>43.000999999999998</v>
      </c>
      <c r="G400" s="37">
        <v>44.061999999999998</v>
      </c>
      <c r="H400" s="7">
        <v>452394820</v>
      </c>
      <c r="I400" s="37">
        <v>19683791120</v>
      </c>
      <c r="J400" s="37">
        <v>389157304654.55499</v>
      </c>
    </row>
    <row r="401" spans="1:10" x14ac:dyDescent="0.2">
      <c r="A401" s="36">
        <v>45154</v>
      </c>
      <c r="B401" s="37">
        <v>43.485999999999997</v>
      </c>
      <c r="C401" s="38">
        <v>-0.45400000000000101</v>
      </c>
      <c r="D401" s="39">
        <v>-1.03322712790169E-2</v>
      </c>
      <c r="E401" s="37">
        <v>44.52</v>
      </c>
      <c r="F401" s="37">
        <v>43.405999999999999</v>
      </c>
      <c r="G401" s="37">
        <v>44.674999999999997</v>
      </c>
      <c r="H401" s="7">
        <v>527450680</v>
      </c>
      <c r="I401" s="37">
        <v>23178582069</v>
      </c>
      <c r="J401" s="37">
        <v>408841095774.55499</v>
      </c>
    </row>
    <row r="402" spans="1:10" x14ac:dyDescent="0.2">
      <c r="A402" s="36">
        <v>45153</v>
      </c>
      <c r="B402" s="37">
        <v>43.94</v>
      </c>
      <c r="C402" s="38">
        <v>0.186999999999998</v>
      </c>
      <c r="D402" s="39">
        <v>4.2739926405045998E-3</v>
      </c>
      <c r="E402" s="37">
        <v>44.56</v>
      </c>
      <c r="F402" s="37">
        <v>43.71</v>
      </c>
      <c r="G402" s="37">
        <v>45.268000000000001</v>
      </c>
      <c r="H402" s="7">
        <v>676511510</v>
      </c>
      <c r="I402" s="37">
        <v>30024022985</v>
      </c>
      <c r="J402" s="37">
        <v>432019677843.55499</v>
      </c>
    </row>
    <row r="403" spans="1:10" x14ac:dyDescent="0.2">
      <c r="A403" s="36">
        <v>45152</v>
      </c>
      <c r="B403" s="37">
        <v>43.753</v>
      </c>
      <c r="C403" s="38">
        <v>2.8980000000000001</v>
      </c>
      <c r="D403" s="39">
        <v>7.0933790233753596E-2</v>
      </c>
      <c r="E403" s="37">
        <v>40.485999999999997</v>
      </c>
      <c r="F403" s="37">
        <v>40.311</v>
      </c>
      <c r="G403" s="37">
        <v>43.8</v>
      </c>
      <c r="H403" s="7">
        <v>690285830</v>
      </c>
      <c r="I403" s="37">
        <v>29468840692</v>
      </c>
      <c r="J403" s="37">
        <v>401995654858.55499</v>
      </c>
    </row>
    <row r="404" spans="1:10" x14ac:dyDescent="0.2">
      <c r="A404" s="36">
        <v>45149</v>
      </c>
      <c r="B404" s="37">
        <v>40.854999999999997</v>
      </c>
      <c r="C404" s="38">
        <v>-1.5329999999999999</v>
      </c>
      <c r="D404" s="39">
        <v>-3.6165896008304298E-2</v>
      </c>
      <c r="E404" s="37">
        <v>41.750999999999998</v>
      </c>
      <c r="F404" s="37">
        <v>40.639000000000003</v>
      </c>
      <c r="G404" s="37">
        <v>42.018000000000001</v>
      </c>
      <c r="H404" s="7">
        <v>533085260</v>
      </c>
      <c r="I404" s="37">
        <v>21953976521</v>
      </c>
      <c r="J404" s="37">
        <v>372526814166.55499</v>
      </c>
    </row>
    <row r="405" spans="1:10" x14ac:dyDescent="0.2">
      <c r="A405" s="36">
        <v>45148</v>
      </c>
      <c r="B405" s="37">
        <v>42.387999999999998</v>
      </c>
      <c r="C405" s="38">
        <v>-0.16600000000000401</v>
      </c>
      <c r="D405" s="39">
        <v>-3.90092588240833E-3</v>
      </c>
      <c r="E405" s="37">
        <v>42.16</v>
      </c>
      <c r="F405" s="37">
        <v>41.835000000000001</v>
      </c>
      <c r="G405" s="37">
        <v>43.573999999999998</v>
      </c>
      <c r="H405" s="7">
        <v>492705300</v>
      </c>
      <c r="I405" s="37">
        <v>20997288456</v>
      </c>
      <c r="J405" s="37">
        <v>394480790687.55499</v>
      </c>
    </row>
    <row r="406" spans="1:10" x14ac:dyDescent="0.2">
      <c r="A406" s="36">
        <v>45147</v>
      </c>
      <c r="B406" s="37">
        <v>42.554000000000002</v>
      </c>
      <c r="C406" s="38">
        <v>-2.11</v>
      </c>
      <c r="D406" s="39">
        <v>-4.72416263657532E-2</v>
      </c>
      <c r="E406" s="37">
        <v>44.274000000000001</v>
      </c>
      <c r="F406" s="37">
        <v>42.134</v>
      </c>
      <c r="G406" s="37">
        <v>44.311999999999998</v>
      </c>
      <c r="H406" s="7">
        <v>586449070</v>
      </c>
      <c r="I406" s="37">
        <v>25203930435</v>
      </c>
      <c r="J406" s="37">
        <v>415478079143.55499</v>
      </c>
    </row>
    <row r="407" spans="1:10" x14ac:dyDescent="0.2">
      <c r="A407" s="36">
        <v>45146</v>
      </c>
      <c r="B407" s="37">
        <v>44.664000000000001</v>
      </c>
      <c r="C407" s="38">
        <v>-0.75249999999999795</v>
      </c>
      <c r="D407" s="39">
        <v>-1.65688681426353E-2</v>
      </c>
      <c r="E407" s="37">
        <v>44.853000000000002</v>
      </c>
      <c r="F407" s="37">
        <v>44.056010000000001</v>
      </c>
      <c r="G407" s="37">
        <v>45.241999999999997</v>
      </c>
      <c r="H407" s="7">
        <v>353843430</v>
      </c>
      <c r="I407" s="37">
        <v>15787785443</v>
      </c>
      <c r="J407" s="37">
        <v>440682009578.55499</v>
      </c>
    </row>
    <row r="408" spans="1:10" x14ac:dyDescent="0.2">
      <c r="A408" s="36">
        <v>45145</v>
      </c>
      <c r="B408" s="37">
        <v>45.416499999999999</v>
      </c>
      <c r="C408" s="38">
        <v>0.73649999999999904</v>
      </c>
      <c r="D408" s="39">
        <v>1.6483885407341099E-2</v>
      </c>
      <c r="E408" s="37">
        <v>45.110999999999997</v>
      </c>
      <c r="F408" s="37">
        <v>44.563450000000003</v>
      </c>
      <c r="G408" s="37">
        <v>45.54</v>
      </c>
      <c r="H408" s="7">
        <v>322153540</v>
      </c>
      <c r="I408" s="37">
        <v>14534179504</v>
      </c>
      <c r="J408" s="37">
        <v>456469795021.55499</v>
      </c>
    </row>
    <row r="409" spans="1:10" x14ac:dyDescent="0.2">
      <c r="A409" s="36">
        <v>45142</v>
      </c>
      <c r="B409" s="37">
        <v>44.68</v>
      </c>
      <c r="C409" s="38">
        <v>0.16499999999999901</v>
      </c>
      <c r="D409" s="39">
        <v>3.7066157475008198E-3</v>
      </c>
      <c r="E409" s="37">
        <v>44.984999999999999</v>
      </c>
      <c r="F409" s="37">
        <v>44.393000000000001</v>
      </c>
      <c r="G409" s="37">
        <v>45.642000000000003</v>
      </c>
      <c r="H409" s="7">
        <v>362666180</v>
      </c>
      <c r="I409" s="37">
        <v>16324150273</v>
      </c>
      <c r="J409" s="37">
        <v>441935615517.55499</v>
      </c>
    </row>
    <row r="410" spans="1:10" x14ac:dyDescent="0.2">
      <c r="A410" s="36">
        <v>45141</v>
      </c>
      <c r="B410" s="37">
        <v>44.515000000000001</v>
      </c>
      <c r="C410" s="38">
        <v>0.24600000000000199</v>
      </c>
      <c r="D410" s="39">
        <v>5.5569360048793098E-3</v>
      </c>
      <c r="E410" s="37">
        <v>43.8</v>
      </c>
      <c r="F410" s="37">
        <v>43.8</v>
      </c>
      <c r="G410" s="37">
        <v>45.118000000000002</v>
      </c>
      <c r="H410" s="7">
        <v>325076600</v>
      </c>
      <c r="I410" s="37">
        <v>14506775384</v>
      </c>
      <c r="J410" s="37">
        <v>425611465244.55499</v>
      </c>
    </row>
    <row r="411" spans="1:10" x14ac:dyDescent="0.2">
      <c r="A411" s="36">
        <v>45140</v>
      </c>
      <c r="B411" s="37">
        <v>44.268999999999998</v>
      </c>
      <c r="C411" s="38">
        <v>-2.238</v>
      </c>
      <c r="D411" s="39">
        <v>-4.8121788117917702E-2</v>
      </c>
      <c r="E411" s="37">
        <v>45.831000000000003</v>
      </c>
      <c r="F411" s="37">
        <v>43.387</v>
      </c>
      <c r="G411" s="37">
        <v>45.84</v>
      </c>
      <c r="H411" s="7">
        <v>530141570</v>
      </c>
      <c r="I411" s="37">
        <v>23559549905</v>
      </c>
      <c r="J411" s="37">
        <v>411104689860.55499</v>
      </c>
    </row>
    <row r="412" spans="1:10" x14ac:dyDescent="0.2">
      <c r="A412" s="36">
        <v>45139</v>
      </c>
      <c r="B412" s="37">
        <v>46.506999999999998</v>
      </c>
      <c r="C412" s="38">
        <v>-0.222000000000001</v>
      </c>
      <c r="D412" s="39">
        <v>-4.7507971495217398E-3</v>
      </c>
      <c r="E412" s="37">
        <v>46.459499999999998</v>
      </c>
      <c r="F412" s="37">
        <v>46.027000000000001</v>
      </c>
      <c r="G412" s="37">
        <v>46.9</v>
      </c>
      <c r="H412" s="7">
        <v>239275970</v>
      </c>
      <c r="I412" s="37">
        <v>11125283626</v>
      </c>
      <c r="J412" s="37">
        <v>434664239765.55499</v>
      </c>
    </row>
    <row r="413" spans="1:10" x14ac:dyDescent="0.2">
      <c r="A413" s="36">
        <v>45138</v>
      </c>
      <c r="B413" s="37">
        <v>46.728999999999999</v>
      </c>
      <c r="C413" s="38">
        <v>-2.1000000000000799E-2</v>
      </c>
      <c r="D413" s="39">
        <v>-4.4919786096258402E-4</v>
      </c>
      <c r="E413" s="37">
        <v>46.753999999999998</v>
      </c>
      <c r="F413" s="37">
        <v>46.506010000000003</v>
      </c>
      <c r="G413" s="37">
        <v>47.13</v>
      </c>
      <c r="H413" s="7">
        <v>251055280</v>
      </c>
      <c r="I413" s="37">
        <v>11737928748</v>
      </c>
      <c r="J413" s="37">
        <v>445789523391.55499</v>
      </c>
    </row>
    <row r="414" spans="1:10" x14ac:dyDescent="0.2">
      <c r="A414" s="36">
        <v>45135</v>
      </c>
      <c r="B414" s="37">
        <v>46.75</v>
      </c>
      <c r="C414" s="38">
        <v>0.85000000000000098</v>
      </c>
      <c r="D414" s="39">
        <v>1.85185185185185E-2</v>
      </c>
      <c r="E414" s="37">
        <v>46.667999999999999</v>
      </c>
      <c r="F414" s="37">
        <v>46.381</v>
      </c>
      <c r="G414" s="37">
        <v>47.027000000000001</v>
      </c>
      <c r="H414" s="7">
        <v>331194240</v>
      </c>
      <c r="I414" s="37">
        <v>15468542891</v>
      </c>
      <c r="J414" s="37">
        <v>457527452139.55499</v>
      </c>
    </row>
    <row r="415" spans="1:10" x14ac:dyDescent="0.2">
      <c r="A415" s="36">
        <v>45134</v>
      </c>
      <c r="B415" s="37">
        <v>45.9</v>
      </c>
      <c r="C415" s="38">
        <v>0.44800000000000001</v>
      </c>
      <c r="D415" s="39">
        <v>9.8565519669101594E-3</v>
      </c>
      <c r="E415" s="37">
        <v>46.518999999999998</v>
      </c>
      <c r="F415" s="37">
        <v>45.75</v>
      </c>
      <c r="G415" s="37">
        <v>47.395000000000003</v>
      </c>
      <c r="H415" s="7">
        <v>455975520</v>
      </c>
      <c r="I415" s="37">
        <v>21276365816</v>
      </c>
      <c r="J415" s="37">
        <v>442058909248.55499</v>
      </c>
    </row>
    <row r="416" spans="1:10" x14ac:dyDescent="0.2">
      <c r="A416" s="36">
        <v>45133</v>
      </c>
      <c r="B416" s="37">
        <v>45.451999999999998</v>
      </c>
      <c r="C416" s="38">
        <v>-0.227000000000004</v>
      </c>
      <c r="D416" s="39">
        <v>-4.9694608025570601E-3</v>
      </c>
      <c r="E416" s="37">
        <v>46.021000000000001</v>
      </c>
      <c r="F416" s="37">
        <v>44.63</v>
      </c>
      <c r="G416" s="37">
        <v>46.052999999999997</v>
      </c>
      <c r="H416" s="7">
        <v>364237260</v>
      </c>
      <c r="I416" s="37">
        <v>16506318504</v>
      </c>
      <c r="J416" s="37">
        <v>420782543432.55499</v>
      </c>
    </row>
    <row r="417" spans="1:10" x14ac:dyDescent="0.2">
      <c r="A417" s="36">
        <v>45132</v>
      </c>
      <c r="B417" s="37">
        <v>45.679000000000002</v>
      </c>
      <c r="C417" s="38">
        <v>1.0669999999999999</v>
      </c>
      <c r="D417" s="39">
        <v>2.3917331659643101E-2</v>
      </c>
      <c r="E417" s="37">
        <v>44.941000000000003</v>
      </c>
      <c r="F417" s="37">
        <v>44.923000000000002</v>
      </c>
      <c r="G417" s="37">
        <v>46.182499999999997</v>
      </c>
      <c r="H417" s="7">
        <v>348080910</v>
      </c>
      <c r="I417" s="37">
        <v>15932604323</v>
      </c>
      <c r="J417" s="37">
        <v>437288861936.55499</v>
      </c>
    </row>
    <row r="418" spans="1:10" x14ac:dyDescent="0.2">
      <c r="A418" s="36">
        <v>45131</v>
      </c>
      <c r="B418" s="37">
        <v>44.612000000000002</v>
      </c>
      <c r="C418" s="38">
        <v>0.30300000000000399</v>
      </c>
      <c r="D418" s="39">
        <v>6.8383398406645203E-3</v>
      </c>
      <c r="E418" s="37">
        <v>44.731000000000002</v>
      </c>
      <c r="F418" s="37">
        <v>44.04</v>
      </c>
      <c r="G418" s="37">
        <v>45.109000000000002</v>
      </c>
      <c r="H418" s="7">
        <v>383099740</v>
      </c>
      <c r="I418" s="37">
        <v>17098341949</v>
      </c>
      <c r="J418" s="37">
        <v>421356257613.55499</v>
      </c>
    </row>
    <row r="419" spans="1:10" x14ac:dyDescent="0.2">
      <c r="A419" s="36">
        <v>45128</v>
      </c>
      <c r="B419" s="37">
        <v>44.308999999999997</v>
      </c>
      <c r="C419" s="38">
        <v>-1.2110000000000101</v>
      </c>
      <c r="D419" s="39">
        <v>-2.6603690685413101E-2</v>
      </c>
      <c r="E419" s="37">
        <v>45.787999999999997</v>
      </c>
      <c r="F419" s="37">
        <v>44.1</v>
      </c>
      <c r="G419" s="37">
        <v>45.866</v>
      </c>
      <c r="H419" s="7">
        <v>963768630</v>
      </c>
      <c r="I419" s="37">
        <v>42990742861</v>
      </c>
      <c r="J419" s="37">
        <v>404257915664.55499</v>
      </c>
    </row>
    <row r="420" spans="1:10" x14ac:dyDescent="0.2">
      <c r="A420" s="36">
        <v>45127</v>
      </c>
      <c r="B420" s="37">
        <v>45.52</v>
      </c>
      <c r="C420" s="38">
        <v>-1.5569999999999999</v>
      </c>
      <c r="D420" s="39">
        <v>-3.3073475370138203E-2</v>
      </c>
      <c r="E420" s="37">
        <v>46.506999999999998</v>
      </c>
      <c r="F420" s="37">
        <v>45.061999999999998</v>
      </c>
      <c r="G420" s="37">
        <v>47.087000000000003</v>
      </c>
      <c r="H420" s="7">
        <v>537864510</v>
      </c>
      <c r="I420" s="37">
        <v>24708416993</v>
      </c>
      <c r="J420" s="37">
        <v>447248658525.55499</v>
      </c>
    </row>
    <row r="421" spans="1:10" x14ac:dyDescent="0.2">
      <c r="A421" s="36">
        <v>45126</v>
      </c>
      <c r="B421" s="37">
        <v>47.076999999999998</v>
      </c>
      <c r="C421" s="38">
        <v>-0.41700000000000198</v>
      </c>
      <c r="D421" s="39">
        <v>-8.7800564281804404E-3</v>
      </c>
      <c r="E421" s="37">
        <v>47.463999999999999</v>
      </c>
      <c r="F421" s="37">
        <v>46.741999999999997</v>
      </c>
      <c r="G421" s="37">
        <v>47.817999999999998</v>
      </c>
      <c r="H421" s="7">
        <v>427501790</v>
      </c>
      <c r="I421" s="37">
        <v>20160741978</v>
      </c>
      <c r="J421" s="37">
        <v>471957075518.55499</v>
      </c>
    </row>
    <row r="422" spans="1:10" x14ac:dyDescent="0.2">
      <c r="A422" s="36">
        <v>45125</v>
      </c>
      <c r="B422" s="37">
        <v>47.494</v>
      </c>
      <c r="C422" s="38">
        <v>1.0329999999999999</v>
      </c>
      <c r="D422" s="39">
        <v>2.22337013839565E-2</v>
      </c>
      <c r="E422" s="37">
        <v>46.701000000000001</v>
      </c>
      <c r="F422" s="37">
        <v>45.734000000000002</v>
      </c>
      <c r="G422" s="37">
        <v>47.895989999999998</v>
      </c>
      <c r="H422" s="7">
        <v>570190420</v>
      </c>
      <c r="I422" s="37">
        <v>26742325267</v>
      </c>
      <c r="J422" s="37">
        <v>492117817496.55499</v>
      </c>
    </row>
    <row r="423" spans="1:10" x14ac:dyDescent="0.2">
      <c r="A423" s="36">
        <v>45124</v>
      </c>
      <c r="B423" s="37">
        <v>46.460999999999999</v>
      </c>
      <c r="C423" s="38">
        <v>0.991999999999997</v>
      </c>
      <c r="D423" s="39">
        <v>2.1817062174228501E-2</v>
      </c>
      <c r="E423" s="37">
        <v>46.289000000000001</v>
      </c>
      <c r="F423" s="37">
        <v>45.262410000000003</v>
      </c>
      <c r="G423" s="37">
        <v>46.496000000000002</v>
      </c>
      <c r="H423" s="7">
        <v>510488220</v>
      </c>
      <c r="I423" s="37">
        <v>23432081438</v>
      </c>
      <c r="J423" s="37">
        <v>465375492229.55499</v>
      </c>
    </row>
    <row r="424" spans="1:10" x14ac:dyDescent="0.2">
      <c r="A424" s="36">
        <v>45121</v>
      </c>
      <c r="B424" s="37">
        <v>45.469000000000001</v>
      </c>
      <c r="C424" s="38">
        <v>-0.50799999999999601</v>
      </c>
      <c r="D424" s="39">
        <v>-1.10490027622506E-2</v>
      </c>
      <c r="E424" s="37">
        <v>46.582810000000002</v>
      </c>
      <c r="F424" s="37">
        <v>45.06</v>
      </c>
      <c r="G424" s="37">
        <v>48.088000000000001</v>
      </c>
      <c r="H424" s="7">
        <v>772075330</v>
      </c>
      <c r="I424" s="37">
        <v>36016335539</v>
      </c>
      <c r="J424" s="37">
        <v>441943410791.55499</v>
      </c>
    </row>
    <row r="425" spans="1:10" x14ac:dyDescent="0.2">
      <c r="A425" s="36">
        <v>45120</v>
      </c>
      <c r="B425" s="37">
        <v>45.976999999999997</v>
      </c>
      <c r="C425" s="38">
        <v>2.0750000000000002</v>
      </c>
      <c r="D425" s="39">
        <v>4.7264361532504101E-2</v>
      </c>
      <c r="E425" s="37">
        <v>44.518000000000001</v>
      </c>
      <c r="F425" s="37">
        <v>44.491999999999997</v>
      </c>
      <c r="G425" s="37">
        <v>46.155000000000001</v>
      </c>
      <c r="H425" s="7">
        <v>478203690</v>
      </c>
      <c r="I425" s="37">
        <v>21611693998</v>
      </c>
      <c r="J425" s="37">
        <v>477959746330.55499</v>
      </c>
    </row>
    <row r="426" spans="1:10" x14ac:dyDescent="0.2">
      <c r="A426" s="36">
        <v>45119</v>
      </c>
      <c r="B426" s="37">
        <v>43.902000000000001</v>
      </c>
      <c r="C426" s="38">
        <v>1.4970000000000001</v>
      </c>
      <c r="D426" s="39">
        <v>3.5302440749911602E-2</v>
      </c>
      <c r="E426" s="37">
        <v>43.033000000000001</v>
      </c>
      <c r="F426" s="37">
        <v>42.777279999999998</v>
      </c>
      <c r="G426" s="37">
        <v>43.935000000000002</v>
      </c>
      <c r="H426" s="7">
        <v>481277020</v>
      </c>
      <c r="I426" s="37">
        <v>20982668119</v>
      </c>
      <c r="J426" s="37">
        <v>456348052332.55499</v>
      </c>
    </row>
    <row r="427" spans="1:10" x14ac:dyDescent="0.2">
      <c r="A427" s="36">
        <v>45118</v>
      </c>
      <c r="B427" s="37">
        <v>42.405000000000001</v>
      </c>
      <c r="C427" s="38">
        <v>0.225000000000001</v>
      </c>
      <c r="D427" s="39">
        <v>5.3342816500711598E-3</v>
      </c>
      <c r="E427" s="37">
        <v>42.481000000000002</v>
      </c>
      <c r="F427" s="37">
        <v>42.067</v>
      </c>
      <c r="G427" s="37">
        <v>42.758000000000003</v>
      </c>
      <c r="H427" s="7">
        <v>298244060</v>
      </c>
      <c r="I427" s="37">
        <v>12637987253</v>
      </c>
      <c r="J427" s="37">
        <v>435365384213.55499</v>
      </c>
    </row>
    <row r="428" spans="1:10" x14ac:dyDescent="0.2">
      <c r="A428" s="36">
        <v>45117</v>
      </c>
      <c r="B428" s="37">
        <v>42.18</v>
      </c>
      <c r="C428" s="38">
        <v>-0.32300000000000001</v>
      </c>
      <c r="D428" s="39">
        <v>-7.5994635672776102E-3</v>
      </c>
      <c r="E428" s="37">
        <v>42.656999999999996</v>
      </c>
      <c r="F428" s="37">
        <v>41.649000000000001</v>
      </c>
      <c r="G428" s="37">
        <v>42.811</v>
      </c>
      <c r="H428" s="7">
        <v>353908110</v>
      </c>
      <c r="I428" s="37">
        <v>14910363263</v>
      </c>
      <c r="J428" s="37">
        <v>422727396960.55499</v>
      </c>
    </row>
    <row r="429" spans="1:10" x14ac:dyDescent="0.2">
      <c r="A429" s="36">
        <v>45114</v>
      </c>
      <c r="B429" s="37">
        <v>42.503</v>
      </c>
      <c r="C429" s="38">
        <v>0.39999999999999902</v>
      </c>
      <c r="D429" s="39">
        <v>9.5005106524475406E-3</v>
      </c>
      <c r="E429" s="37">
        <v>42.322000000000003</v>
      </c>
      <c r="F429" s="37">
        <v>42.18</v>
      </c>
      <c r="G429" s="37">
        <v>43.213999999999999</v>
      </c>
      <c r="H429" s="7">
        <v>355881470</v>
      </c>
      <c r="I429" s="37">
        <v>15218981568</v>
      </c>
      <c r="J429" s="37">
        <v>437637760223.55499</v>
      </c>
    </row>
    <row r="430" spans="1:10" x14ac:dyDescent="0.2">
      <c r="A430" s="36">
        <v>45113</v>
      </c>
      <c r="B430" s="37">
        <v>42.103000000000002</v>
      </c>
      <c r="C430" s="38">
        <v>-0.213999999999999</v>
      </c>
      <c r="D430" s="39">
        <v>-5.05706926294394E-3</v>
      </c>
      <c r="E430" s="37">
        <v>41.844000000000001</v>
      </c>
      <c r="F430" s="37">
        <v>41.345999999999997</v>
      </c>
      <c r="G430" s="37">
        <v>42.179000000000002</v>
      </c>
      <c r="H430" s="7">
        <v>304138790</v>
      </c>
      <c r="I430" s="37">
        <v>12717800955</v>
      </c>
      <c r="J430" s="37">
        <v>422418778655.55499</v>
      </c>
    </row>
    <row r="431" spans="1:10" x14ac:dyDescent="0.2">
      <c r="A431" s="36">
        <v>45112</v>
      </c>
      <c r="B431" s="37">
        <v>42.317</v>
      </c>
      <c r="C431" s="38">
        <v>-9.5999999999996505E-2</v>
      </c>
      <c r="D431" s="39">
        <v>-2.2634569589511798E-3</v>
      </c>
      <c r="E431" s="37">
        <v>42.134999999999998</v>
      </c>
      <c r="F431" s="37">
        <v>42.085000000000001</v>
      </c>
      <c r="G431" s="37">
        <v>43.177</v>
      </c>
      <c r="H431" s="7">
        <v>323617560</v>
      </c>
      <c r="I431" s="37">
        <v>13806969055</v>
      </c>
      <c r="J431" s="37">
        <v>435136579610.55499</v>
      </c>
    </row>
    <row r="432" spans="1:10" x14ac:dyDescent="0.2">
      <c r="A432" s="36">
        <v>45110</v>
      </c>
      <c r="B432" s="37">
        <v>42.412999999999997</v>
      </c>
      <c r="C432" s="38">
        <v>0.110999999999997</v>
      </c>
      <c r="D432" s="39">
        <v>2.62398940948412E-3</v>
      </c>
      <c r="E432" s="37">
        <v>42.517000000000003</v>
      </c>
      <c r="F432" s="37">
        <v>42.201999999999998</v>
      </c>
      <c r="G432" s="37">
        <v>42.898000000000003</v>
      </c>
      <c r="H432" s="7">
        <v>198209190</v>
      </c>
      <c r="I432" s="37">
        <v>8425987160</v>
      </c>
      <c r="J432" s="37">
        <v>448943548665.55499</v>
      </c>
    </row>
    <row r="433" spans="1:10" x14ac:dyDescent="0.2">
      <c r="A433" s="36">
        <v>45107</v>
      </c>
      <c r="B433" s="37">
        <v>42.302</v>
      </c>
      <c r="C433" s="38">
        <v>1.48</v>
      </c>
      <c r="D433" s="39">
        <v>3.6254960560481997E-2</v>
      </c>
      <c r="E433" s="37">
        <v>41.68</v>
      </c>
      <c r="F433" s="37">
        <v>41.500999999999998</v>
      </c>
      <c r="G433" s="37">
        <v>42.55</v>
      </c>
      <c r="H433" s="7">
        <v>501147750</v>
      </c>
      <c r="I433" s="37">
        <v>21157772613</v>
      </c>
      <c r="J433" s="37">
        <v>440517561505.55499</v>
      </c>
    </row>
    <row r="434" spans="1:10" x14ac:dyDescent="0.2">
      <c r="A434" s="36">
        <v>45106</v>
      </c>
      <c r="B434" s="37">
        <v>40.822000000000003</v>
      </c>
      <c r="C434" s="38">
        <v>-0.29499999999999499</v>
      </c>
      <c r="D434" s="39">
        <v>-7.17464795583322E-3</v>
      </c>
      <c r="E434" s="37">
        <v>41.558</v>
      </c>
      <c r="F434" s="37">
        <v>40.6</v>
      </c>
      <c r="G434" s="37">
        <v>41.6</v>
      </c>
      <c r="H434" s="7">
        <v>380514300</v>
      </c>
      <c r="I434" s="37">
        <v>15590599270</v>
      </c>
      <c r="J434" s="37">
        <v>419359788892.55499</v>
      </c>
    </row>
    <row r="435" spans="1:10" x14ac:dyDescent="0.2">
      <c r="A435" s="36">
        <v>45105</v>
      </c>
      <c r="B435" s="37">
        <v>41.116999999999997</v>
      </c>
      <c r="C435" s="38">
        <v>-0.75900000000000001</v>
      </c>
      <c r="D435" s="39">
        <v>-1.8124940299933098E-2</v>
      </c>
      <c r="E435" s="37">
        <v>40.659999999999997</v>
      </c>
      <c r="F435" s="37">
        <v>40.518000000000001</v>
      </c>
      <c r="G435" s="37">
        <v>41.844999999999999</v>
      </c>
      <c r="H435" s="7">
        <v>582639270</v>
      </c>
      <c r="I435" s="37">
        <v>23991375344</v>
      </c>
      <c r="J435" s="37">
        <v>434950388162.55499</v>
      </c>
    </row>
    <row r="436" spans="1:10" x14ac:dyDescent="0.2">
      <c r="A436" s="36">
        <v>45104</v>
      </c>
      <c r="B436" s="37">
        <v>41.875999999999998</v>
      </c>
      <c r="C436" s="38">
        <v>1.244</v>
      </c>
      <c r="D436" s="39">
        <v>3.06162630439063E-2</v>
      </c>
      <c r="E436" s="37">
        <v>40.798999999999999</v>
      </c>
      <c r="F436" s="37">
        <v>40.448</v>
      </c>
      <c r="G436" s="37">
        <v>41.94</v>
      </c>
      <c r="H436" s="7">
        <v>462174700</v>
      </c>
      <c r="I436" s="37">
        <v>19063483614</v>
      </c>
      <c r="J436" s="37">
        <v>458941763506.55499</v>
      </c>
    </row>
    <row r="437" spans="1:10" x14ac:dyDescent="0.2">
      <c r="A437" s="36">
        <v>45103</v>
      </c>
      <c r="B437" s="37">
        <v>40.631999999999998</v>
      </c>
      <c r="C437" s="38">
        <v>-1.5770000000000099</v>
      </c>
      <c r="D437" s="39">
        <v>-3.7361700111350801E-2</v>
      </c>
      <c r="E437" s="37">
        <v>42.460999999999999</v>
      </c>
      <c r="F437" s="37">
        <v>40.1</v>
      </c>
      <c r="G437" s="37">
        <v>42.764000000000003</v>
      </c>
      <c r="H437" s="7">
        <v>594321920</v>
      </c>
      <c r="I437" s="37">
        <v>24448541450</v>
      </c>
      <c r="J437" s="37">
        <v>439878279892.55499</v>
      </c>
    </row>
    <row r="438" spans="1:10" x14ac:dyDescent="0.2">
      <c r="A438" s="36">
        <v>45100</v>
      </c>
      <c r="B438" s="37">
        <v>42.209000000000003</v>
      </c>
      <c r="C438" s="38">
        <v>-0.81599999999999495</v>
      </c>
      <c r="D438" s="39">
        <v>-1.89657176060429E-2</v>
      </c>
      <c r="E438" s="37">
        <v>42.463999999999999</v>
      </c>
      <c r="F438" s="37">
        <v>42.015000000000001</v>
      </c>
      <c r="G438" s="37">
        <v>42.808999999999997</v>
      </c>
      <c r="H438" s="7">
        <v>358139840</v>
      </c>
      <c r="I438" s="37">
        <v>15182032102</v>
      </c>
      <c r="J438" s="37">
        <v>464326821342.55499</v>
      </c>
    </row>
    <row r="439" spans="1:10" x14ac:dyDescent="0.2">
      <c r="A439" s="36">
        <v>45099</v>
      </c>
      <c r="B439" s="37">
        <v>43.024999999999999</v>
      </c>
      <c r="C439" s="38">
        <v>-2.0000000000003099E-2</v>
      </c>
      <c r="D439" s="39">
        <v>-4.6463003833205102E-4</v>
      </c>
      <c r="E439" s="37">
        <v>42.253</v>
      </c>
      <c r="F439" s="37">
        <v>42.234000000000002</v>
      </c>
      <c r="G439" s="37">
        <v>43.4255</v>
      </c>
      <c r="H439" s="7">
        <v>417737430</v>
      </c>
      <c r="I439" s="37">
        <v>17949024264</v>
      </c>
      <c r="J439" s="37">
        <v>479508853444.55499</v>
      </c>
    </row>
    <row r="440" spans="1:10" x14ac:dyDescent="0.2">
      <c r="A440" s="36">
        <v>45098</v>
      </c>
      <c r="B440" s="37">
        <v>43.045000000000002</v>
      </c>
      <c r="C440" s="38">
        <v>-0.76299999999999801</v>
      </c>
      <c r="D440" s="39">
        <v>-1.7416910153396602E-2</v>
      </c>
      <c r="E440" s="37">
        <v>43.500999999999998</v>
      </c>
      <c r="F440" s="37">
        <v>42.08</v>
      </c>
      <c r="G440" s="37">
        <v>43.615000000000002</v>
      </c>
      <c r="H440" s="7">
        <v>551602910</v>
      </c>
      <c r="I440" s="37">
        <v>23644910024</v>
      </c>
      <c r="J440" s="37">
        <v>497457877708.55499</v>
      </c>
    </row>
    <row r="441" spans="1:10" x14ac:dyDescent="0.2">
      <c r="A441" s="36">
        <v>45097</v>
      </c>
      <c r="B441" s="37">
        <v>43.808</v>
      </c>
      <c r="C441" s="38">
        <v>1.1160000000000001</v>
      </c>
      <c r="D441" s="39">
        <v>2.6140728942190598E-2</v>
      </c>
      <c r="E441" s="37">
        <v>42.997999999999998</v>
      </c>
      <c r="F441" s="37">
        <v>42.673999999999999</v>
      </c>
      <c r="G441" s="37">
        <v>43.99</v>
      </c>
      <c r="H441" s="7">
        <v>451153110</v>
      </c>
      <c r="I441" s="37">
        <v>19523247114</v>
      </c>
      <c r="J441" s="37">
        <v>521102787732.55499</v>
      </c>
    </row>
    <row r="442" spans="1:10" x14ac:dyDescent="0.2">
      <c r="A442" s="36">
        <v>45093</v>
      </c>
      <c r="B442" s="37">
        <v>42.692</v>
      </c>
      <c r="C442" s="38">
        <v>3.9000000000001499E-2</v>
      </c>
      <c r="D442" s="39">
        <v>9.14355379457517E-4</v>
      </c>
      <c r="E442" s="37">
        <v>43.45</v>
      </c>
      <c r="F442" s="37">
        <v>42.660499999999999</v>
      </c>
      <c r="G442" s="37">
        <v>43.720999999999997</v>
      </c>
      <c r="H442" s="7">
        <v>655709410</v>
      </c>
      <c r="I442" s="37">
        <v>28328527312</v>
      </c>
      <c r="J442" s="37">
        <v>501579540618.55499</v>
      </c>
    </row>
    <row r="443" spans="1:10" x14ac:dyDescent="0.2">
      <c r="A443" s="36">
        <v>45092</v>
      </c>
      <c r="B443" s="37">
        <v>42.652999999999999</v>
      </c>
      <c r="C443" s="38">
        <v>-0.34400000000000103</v>
      </c>
      <c r="D443" s="39">
        <v>-8.0005581784776004E-3</v>
      </c>
      <c r="E443" s="37">
        <v>42.601999999999997</v>
      </c>
      <c r="F443" s="37">
        <v>42.146999999999998</v>
      </c>
      <c r="G443" s="37">
        <v>43.289000000000001</v>
      </c>
      <c r="H443" s="7">
        <v>568622040</v>
      </c>
      <c r="I443" s="37">
        <v>24327567383</v>
      </c>
      <c r="J443" s="37">
        <v>473251013306.55499</v>
      </c>
    </row>
    <row r="444" spans="1:10" x14ac:dyDescent="0.2">
      <c r="A444" s="36">
        <v>45091</v>
      </c>
      <c r="B444" s="37">
        <v>42.997</v>
      </c>
      <c r="C444" s="38">
        <v>1.9750000000000001</v>
      </c>
      <c r="D444" s="39">
        <v>4.81448978596851E-2</v>
      </c>
      <c r="E444" s="37">
        <v>40.823999999999998</v>
      </c>
      <c r="F444" s="37">
        <v>40.552</v>
      </c>
      <c r="G444" s="37">
        <v>43</v>
      </c>
      <c r="H444" s="7">
        <v>740465020</v>
      </c>
      <c r="I444" s="37">
        <v>31079216699</v>
      </c>
      <c r="J444" s="37">
        <v>497578580689.55499</v>
      </c>
    </row>
    <row r="445" spans="1:10" x14ac:dyDescent="0.2">
      <c r="A445" s="36">
        <v>45090</v>
      </c>
      <c r="B445" s="37">
        <v>41.021999999999998</v>
      </c>
      <c r="C445" s="38">
        <v>1.54</v>
      </c>
      <c r="D445" s="39">
        <v>3.9005116255508801E-2</v>
      </c>
      <c r="E445" s="37">
        <v>40.186</v>
      </c>
      <c r="F445" s="37">
        <v>39.74</v>
      </c>
      <c r="G445" s="37">
        <v>41.100999999999999</v>
      </c>
      <c r="H445" s="7">
        <v>613208160</v>
      </c>
      <c r="I445" s="37">
        <v>24854752111</v>
      </c>
      <c r="J445" s="37">
        <v>466499363990.55499</v>
      </c>
    </row>
    <row r="446" spans="1:10" x14ac:dyDescent="0.2">
      <c r="A446" s="36">
        <v>45089</v>
      </c>
      <c r="B446" s="37">
        <v>39.481999999999999</v>
      </c>
      <c r="C446" s="38">
        <v>0.71199999999999597</v>
      </c>
      <c r="D446" s="39">
        <v>1.8364714985813699E-2</v>
      </c>
      <c r="E446" s="37">
        <v>39.200000000000003</v>
      </c>
      <c r="F446" s="37">
        <v>38.618000000000002</v>
      </c>
      <c r="G446" s="37">
        <v>39.529989999999998</v>
      </c>
      <c r="H446" s="7">
        <v>389673350</v>
      </c>
      <c r="I446" s="37">
        <v>15217495251</v>
      </c>
      <c r="J446" s="37">
        <v>441644611879.55499</v>
      </c>
    </row>
    <row r="447" spans="1:10" x14ac:dyDescent="0.2">
      <c r="A447" s="36">
        <v>45086</v>
      </c>
      <c r="B447" s="37">
        <v>38.770000000000003</v>
      </c>
      <c r="C447" s="38">
        <v>0.260000000000005</v>
      </c>
      <c r="D447" s="39">
        <v>6.7514931186706097E-3</v>
      </c>
      <c r="E447" s="37">
        <v>39.036999999999999</v>
      </c>
      <c r="F447" s="37">
        <v>38.567</v>
      </c>
      <c r="G447" s="37">
        <v>39.710999999999999</v>
      </c>
      <c r="H447" s="7">
        <v>427717470</v>
      </c>
      <c r="I447" s="37">
        <v>16713392496</v>
      </c>
      <c r="J447" s="37">
        <v>426427116628.55499</v>
      </c>
    </row>
    <row r="448" spans="1:10" x14ac:dyDescent="0.2">
      <c r="A448" s="36">
        <v>45085</v>
      </c>
      <c r="B448" s="37">
        <v>38.51</v>
      </c>
      <c r="C448" s="38">
        <v>1.0349999999999999</v>
      </c>
      <c r="D448" s="39">
        <v>2.7618412274849801E-2</v>
      </c>
      <c r="E448" s="37">
        <v>37.723999999999997</v>
      </c>
      <c r="F448" s="37">
        <v>37.505000000000003</v>
      </c>
      <c r="G448" s="37">
        <v>38.863999999999997</v>
      </c>
      <c r="H448" s="7">
        <v>417772400</v>
      </c>
      <c r="I448" s="37">
        <v>16023088203</v>
      </c>
      <c r="J448" s="37">
        <v>409713724132.55499</v>
      </c>
    </row>
    <row r="449" spans="1:10" x14ac:dyDescent="0.2">
      <c r="A449" s="36">
        <v>45084</v>
      </c>
      <c r="B449" s="37">
        <v>37.475000000000001</v>
      </c>
      <c r="C449" s="38">
        <v>-1.179</v>
      </c>
      <c r="D449" s="39">
        <v>-3.0501371138821402E-2</v>
      </c>
      <c r="E449" s="37">
        <v>38.914999999999999</v>
      </c>
      <c r="F449" s="37">
        <v>37.356000000000002</v>
      </c>
      <c r="G449" s="37">
        <v>39.499000000000002</v>
      </c>
      <c r="H449" s="7">
        <v>511997890</v>
      </c>
      <c r="I449" s="37">
        <v>19641473859</v>
      </c>
      <c r="J449" s="37">
        <v>393690635929.55499</v>
      </c>
    </row>
    <row r="450" spans="1:10" x14ac:dyDescent="0.2">
      <c r="A450" s="36">
        <v>45083</v>
      </c>
      <c r="B450" s="37">
        <v>38.654000000000003</v>
      </c>
      <c r="C450" s="38">
        <v>-0.51699999999999602</v>
      </c>
      <c r="D450" s="39">
        <v>-1.3198539736029099E-2</v>
      </c>
      <c r="E450" s="37">
        <v>38.83</v>
      </c>
      <c r="F450" s="37">
        <v>38.148000000000003</v>
      </c>
      <c r="G450" s="37">
        <v>39.159999999999997</v>
      </c>
      <c r="H450" s="7">
        <v>388729140</v>
      </c>
      <c r="I450" s="37">
        <v>15049048272</v>
      </c>
      <c r="J450" s="37">
        <v>413332109788.55499</v>
      </c>
    </row>
    <row r="451" spans="1:10" x14ac:dyDescent="0.2">
      <c r="A451" s="36">
        <v>45082</v>
      </c>
      <c r="B451" s="37">
        <v>39.170999999999999</v>
      </c>
      <c r="C451" s="38">
        <v>-0.155999999999999</v>
      </c>
      <c r="D451" s="39">
        <v>-3.9667404073537001E-3</v>
      </c>
      <c r="E451" s="37">
        <v>38.908999999999999</v>
      </c>
      <c r="F451" s="37">
        <v>38.707000000000001</v>
      </c>
      <c r="G451" s="37">
        <v>39.56503</v>
      </c>
      <c r="H451" s="7">
        <v>396093810</v>
      </c>
      <c r="I451" s="37">
        <v>15486599593</v>
      </c>
      <c r="J451" s="37">
        <v>428381158060.55499</v>
      </c>
    </row>
    <row r="452" spans="1:10" x14ac:dyDescent="0.2">
      <c r="A452" s="36">
        <v>45079</v>
      </c>
      <c r="B452" s="37">
        <v>39.326999999999998</v>
      </c>
      <c r="C452" s="38">
        <v>-0.443000000000005</v>
      </c>
      <c r="D452" s="39">
        <v>-1.1139049534825401E-2</v>
      </c>
      <c r="E452" s="37">
        <v>40.097000000000001</v>
      </c>
      <c r="F452" s="37">
        <v>39.058010000000003</v>
      </c>
      <c r="G452" s="37">
        <v>40.5</v>
      </c>
      <c r="H452" s="7">
        <v>482731210</v>
      </c>
      <c r="I452" s="37">
        <v>19096073181</v>
      </c>
      <c r="J452" s="37">
        <v>443867757653.55499</v>
      </c>
    </row>
    <row r="453" spans="1:10" x14ac:dyDescent="0.2">
      <c r="A453" s="36">
        <v>45078</v>
      </c>
      <c r="B453" s="37">
        <v>39.770000000000003</v>
      </c>
      <c r="C453" s="38">
        <v>1.9359999999999999</v>
      </c>
      <c r="D453" s="39">
        <v>5.11709044774541E-2</v>
      </c>
      <c r="E453" s="37">
        <v>38.488999999999997</v>
      </c>
      <c r="F453" s="37">
        <v>38.340000000000003</v>
      </c>
      <c r="G453" s="37">
        <v>40.049999999999997</v>
      </c>
      <c r="H453" s="7">
        <v>635872950</v>
      </c>
      <c r="I453" s="37">
        <v>24998776025</v>
      </c>
      <c r="J453" s="37">
        <v>462963830834.55499</v>
      </c>
    </row>
    <row r="454" spans="1:10" x14ac:dyDescent="0.2">
      <c r="A454" s="36">
        <v>45077</v>
      </c>
      <c r="B454" s="37">
        <v>37.834000000000003</v>
      </c>
      <c r="C454" s="38">
        <v>-2.2769999999999899</v>
      </c>
      <c r="D454" s="39">
        <v>-5.6767470270000599E-2</v>
      </c>
      <c r="E454" s="37">
        <v>39.488</v>
      </c>
      <c r="F454" s="37">
        <v>37.822000000000003</v>
      </c>
      <c r="G454" s="37">
        <v>40.295000000000002</v>
      </c>
      <c r="H454" s="7">
        <v>1002580200</v>
      </c>
      <c r="I454" s="37">
        <v>38675172711</v>
      </c>
      <c r="J454" s="37">
        <v>437965054809.55499</v>
      </c>
    </row>
    <row r="455" spans="1:10" x14ac:dyDescent="0.2">
      <c r="A455" s="36">
        <v>45076</v>
      </c>
      <c r="B455" s="37">
        <v>40.110999999999997</v>
      </c>
      <c r="C455" s="38">
        <v>1.165</v>
      </c>
      <c r="D455" s="39">
        <v>2.9913213166949101E-2</v>
      </c>
      <c r="E455" s="37">
        <v>40.594999999999999</v>
      </c>
      <c r="F455" s="37">
        <v>39.948999999999998</v>
      </c>
      <c r="G455" s="37">
        <v>41.938000000000002</v>
      </c>
      <c r="H455" s="7">
        <v>923401100</v>
      </c>
      <c r="I455" s="37">
        <v>37544495642</v>
      </c>
      <c r="J455" s="37">
        <v>476640227520.55499</v>
      </c>
    </row>
    <row r="456" spans="1:10" x14ac:dyDescent="0.2">
      <c r="A456" s="36">
        <v>45072</v>
      </c>
      <c r="B456" s="37">
        <v>38.945999999999998</v>
      </c>
      <c r="C456" s="38">
        <v>0.96600000000000097</v>
      </c>
      <c r="D456" s="39">
        <v>2.5434439178515001E-2</v>
      </c>
      <c r="E456" s="37">
        <v>37.89</v>
      </c>
      <c r="F456" s="37">
        <v>37.549999999999997</v>
      </c>
      <c r="G456" s="37">
        <v>39.17</v>
      </c>
      <c r="H456" s="7">
        <v>714396760</v>
      </c>
      <c r="I456" s="37">
        <v>27526643737</v>
      </c>
      <c r="J456" s="37">
        <v>439095731878.55499</v>
      </c>
    </row>
    <row r="457" spans="1:10" x14ac:dyDescent="0.2">
      <c r="A457" s="36">
        <v>45071</v>
      </c>
      <c r="B457" s="37">
        <v>37.979999999999997</v>
      </c>
      <c r="C457" s="38">
        <v>7.4420000000000002</v>
      </c>
      <c r="D457" s="39">
        <v>0.243696378282795</v>
      </c>
      <c r="E457" s="37">
        <v>38.523000000000003</v>
      </c>
      <c r="F457" s="37">
        <v>36.634999999999998</v>
      </c>
      <c r="G457" s="37">
        <v>39.479999999999997</v>
      </c>
      <c r="H457" s="7">
        <v>1543910670</v>
      </c>
      <c r="I457" s="37">
        <v>59134567962</v>
      </c>
      <c r="J457" s="37">
        <v>411569088141.55499</v>
      </c>
    </row>
    <row r="458" spans="1:10" x14ac:dyDescent="0.2">
      <c r="A458" s="36">
        <v>45070</v>
      </c>
      <c r="B458" s="37">
        <v>30.538</v>
      </c>
      <c r="C458" s="38">
        <v>-0.149999999999999</v>
      </c>
      <c r="D458" s="39">
        <v>-4.8879040667361403E-3</v>
      </c>
      <c r="E458" s="37">
        <v>30.21</v>
      </c>
      <c r="F458" s="37">
        <v>29.806000000000001</v>
      </c>
      <c r="G458" s="37">
        <v>30.606999999999999</v>
      </c>
      <c r="H458" s="7">
        <v>721418510</v>
      </c>
      <c r="I458" s="37">
        <v>23200444033</v>
      </c>
      <c r="J458" s="37">
        <v>352434520179.55499</v>
      </c>
    </row>
    <row r="459" spans="1:10" x14ac:dyDescent="0.2">
      <c r="A459" s="36">
        <v>45069</v>
      </c>
      <c r="B459" s="37">
        <v>30.687999999999999</v>
      </c>
      <c r="C459" s="38">
        <v>-0.48799999999999999</v>
      </c>
      <c r="D459" s="39">
        <v>-1.56530664613805E-2</v>
      </c>
      <c r="E459" s="37">
        <v>31</v>
      </c>
      <c r="F459" s="37">
        <v>30.631</v>
      </c>
      <c r="G459" s="37">
        <v>31.288</v>
      </c>
      <c r="H459" s="7">
        <v>356253260</v>
      </c>
      <c r="I459" s="37">
        <v>11010641503</v>
      </c>
      <c r="J459" s="37">
        <v>375634964212.55499</v>
      </c>
    </row>
    <row r="460" spans="1:10" x14ac:dyDescent="0.2">
      <c r="A460" s="36">
        <v>45068</v>
      </c>
      <c r="B460" s="37">
        <v>31.175999999999998</v>
      </c>
      <c r="C460" s="38">
        <v>-8.8000000000000994E-2</v>
      </c>
      <c r="D460" s="39">
        <v>-2.8147389969294099E-3</v>
      </c>
      <c r="E460" s="37">
        <v>30.901</v>
      </c>
      <c r="F460" s="37">
        <v>30.68</v>
      </c>
      <c r="G460" s="37">
        <v>31.52</v>
      </c>
      <c r="H460" s="7">
        <v>371999670</v>
      </c>
      <c r="I460" s="37">
        <v>11609826587</v>
      </c>
      <c r="J460" s="37">
        <v>386645605715.55499</v>
      </c>
    </row>
    <row r="461" spans="1:10" x14ac:dyDescent="0.2">
      <c r="A461" s="36">
        <v>45065</v>
      </c>
      <c r="B461" s="37">
        <v>31.263999999999999</v>
      </c>
      <c r="C461" s="38">
        <v>-0.41400000000000098</v>
      </c>
      <c r="D461" s="39">
        <v>-1.30690068817476E-2</v>
      </c>
      <c r="E461" s="37">
        <v>31.536000000000001</v>
      </c>
      <c r="F461" s="37">
        <v>30.916</v>
      </c>
      <c r="G461" s="37">
        <v>31.58</v>
      </c>
      <c r="H461" s="7">
        <v>473907650</v>
      </c>
      <c r="I461" s="37">
        <v>14811125252</v>
      </c>
      <c r="J461" s="37">
        <v>398255432302.55499</v>
      </c>
    </row>
    <row r="462" spans="1:10" x14ac:dyDescent="0.2">
      <c r="A462" s="36">
        <v>45064</v>
      </c>
      <c r="B462" s="37">
        <v>31.678000000000001</v>
      </c>
      <c r="C462" s="38">
        <v>1.5</v>
      </c>
      <c r="D462" s="39">
        <v>4.9705083173172501E-2</v>
      </c>
      <c r="E462" s="37">
        <v>30.41</v>
      </c>
      <c r="F462" s="37">
        <v>30.32</v>
      </c>
      <c r="G462" s="37">
        <v>31.827999999999999</v>
      </c>
      <c r="H462" s="7">
        <v>748725010</v>
      </c>
      <c r="I462" s="37">
        <v>23465943698</v>
      </c>
      <c r="J462" s="37">
        <v>413066557554.55499</v>
      </c>
    </row>
    <row r="463" spans="1:10" x14ac:dyDescent="0.2">
      <c r="A463" s="36">
        <v>45063</v>
      </c>
      <c r="B463" s="37">
        <v>30.178000000000001</v>
      </c>
      <c r="C463" s="38">
        <v>0.96499999999999997</v>
      </c>
      <c r="D463" s="39">
        <v>3.3033238626638803E-2</v>
      </c>
      <c r="E463" s="37">
        <v>29.584</v>
      </c>
      <c r="F463" s="37">
        <v>29.430009999999999</v>
      </c>
      <c r="G463" s="37">
        <v>30.199000000000002</v>
      </c>
      <c r="H463" s="7">
        <v>432535410</v>
      </c>
      <c r="I463" s="37">
        <v>12926554096</v>
      </c>
      <c r="J463" s="37">
        <v>389600613856.55499</v>
      </c>
    </row>
    <row r="464" spans="1:10" x14ac:dyDescent="0.2">
      <c r="A464" s="36">
        <v>45062</v>
      </c>
      <c r="B464" s="37">
        <v>29.213000000000001</v>
      </c>
      <c r="C464" s="38">
        <v>0.26000000000000201</v>
      </c>
      <c r="D464" s="39">
        <v>8.9800711497945492E-3</v>
      </c>
      <c r="E464" s="37">
        <v>28.841000000000001</v>
      </c>
      <c r="F464" s="37">
        <v>28.832000000000001</v>
      </c>
      <c r="G464" s="37">
        <v>29.87</v>
      </c>
      <c r="H464" s="7">
        <v>449404940</v>
      </c>
      <c r="I464" s="37">
        <v>13224609433</v>
      </c>
      <c r="J464" s="37">
        <v>376674059760.55499</v>
      </c>
    </row>
    <row r="465" spans="1:10" x14ac:dyDescent="0.2">
      <c r="A465" s="36">
        <v>45061</v>
      </c>
      <c r="B465" s="37">
        <v>28.952999999999999</v>
      </c>
      <c r="C465" s="38">
        <v>0.61299999999999999</v>
      </c>
      <c r="D465" s="39">
        <v>2.1630204657727602E-2</v>
      </c>
      <c r="E465" s="37">
        <v>28.508500000000002</v>
      </c>
      <c r="F465" s="37">
        <v>28.152000000000001</v>
      </c>
      <c r="G465" s="37">
        <v>28.969000000000001</v>
      </c>
      <c r="H465" s="7">
        <v>293925870</v>
      </c>
      <c r="I465" s="37">
        <v>8427895627</v>
      </c>
      <c r="J465" s="37">
        <v>363449450327.55499</v>
      </c>
    </row>
    <row r="466" spans="1:10" x14ac:dyDescent="0.2">
      <c r="A466" s="36">
        <v>45058</v>
      </c>
      <c r="B466" s="37">
        <v>28.34</v>
      </c>
      <c r="C466" s="38">
        <v>-0.23799999999999999</v>
      </c>
      <c r="D466" s="39">
        <v>-8.3280845405556605E-3</v>
      </c>
      <c r="E466" s="37">
        <v>28.529</v>
      </c>
      <c r="F466" s="37">
        <v>28.045999999999999</v>
      </c>
      <c r="G466" s="37">
        <v>28.78</v>
      </c>
      <c r="H466" s="7">
        <v>274222250</v>
      </c>
      <c r="I466" s="37">
        <v>7768440295</v>
      </c>
      <c r="J466" s="37">
        <v>355021554700.55499</v>
      </c>
    </row>
    <row r="467" spans="1:10" x14ac:dyDescent="0.2">
      <c r="A467" s="36">
        <v>45057</v>
      </c>
      <c r="B467" s="37">
        <v>28.577999999999999</v>
      </c>
      <c r="C467" s="38">
        <v>-0.30700000000000199</v>
      </c>
      <c r="D467" s="39">
        <v>-1.062835381686E-2</v>
      </c>
      <c r="E467" s="37">
        <v>28.896000000000001</v>
      </c>
      <c r="F467" s="37">
        <v>28.245999999999999</v>
      </c>
      <c r="G467" s="37">
        <v>28.95</v>
      </c>
      <c r="H467" s="7">
        <v>322149030</v>
      </c>
      <c r="I467" s="37">
        <v>9200551391</v>
      </c>
      <c r="J467" s="37">
        <v>362789994995.55499</v>
      </c>
    </row>
    <row r="468" spans="1:10" x14ac:dyDescent="0.2">
      <c r="A468" s="36">
        <v>45056</v>
      </c>
      <c r="B468" s="37">
        <v>28.885000000000002</v>
      </c>
      <c r="C468" s="38">
        <v>0.314</v>
      </c>
      <c r="D468" s="39">
        <v>1.0990164852472801E-2</v>
      </c>
      <c r="E468" s="37">
        <v>29.004999999999999</v>
      </c>
      <c r="F468" s="37">
        <v>28.461279999999999</v>
      </c>
      <c r="G468" s="37">
        <v>29.113</v>
      </c>
      <c r="H468" s="7">
        <v>369349980</v>
      </c>
      <c r="I468" s="37">
        <v>10657321052</v>
      </c>
      <c r="J468" s="37">
        <v>371990546386.55499</v>
      </c>
    </row>
    <row r="469" spans="1:10" x14ac:dyDescent="0.2">
      <c r="A469" s="36">
        <v>45055</v>
      </c>
      <c r="B469" s="37">
        <v>28.571000000000002</v>
      </c>
      <c r="C469" s="38">
        <v>-0.57999999999999796</v>
      </c>
      <c r="D469" s="39">
        <v>-1.98964014956605E-2</v>
      </c>
      <c r="E469" s="37">
        <v>28.899000000000001</v>
      </c>
      <c r="F469" s="37">
        <v>28.45</v>
      </c>
      <c r="G469" s="37">
        <v>28.972999999999999</v>
      </c>
      <c r="H469" s="7">
        <v>314869460</v>
      </c>
      <c r="I469" s="37">
        <v>9014823086</v>
      </c>
      <c r="J469" s="37">
        <v>361333225334.55499</v>
      </c>
    </row>
    <row r="470" spans="1:10" x14ac:dyDescent="0.2">
      <c r="A470" s="36">
        <v>45054</v>
      </c>
      <c r="B470" s="37">
        <v>29.151</v>
      </c>
      <c r="C470" s="38">
        <v>0.47099999999999997</v>
      </c>
      <c r="D470" s="39">
        <v>1.6422594142259401E-2</v>
      </c>
      <c r="E470" s="37">
        <v>28.521999999999998</v>
      </c>
      <c r="F470" s="37">
        <v>28.35</v>
      </c>
      <c r="G470" s="37">
        <v>29.22</v>
      </c>
      <c r="H470" s="7">
        <v>344978900</v>
      </c>
      <c r="I470" s="37">
        <v>9955359779</v>
      </c>
      <c r="J470" s="37">
        <v>370348048420.55499</v>
      </c>
    </row>
    <row r="471" spans="1:10" x14ac:dyDescent="0.2">
      <c r="A471" s="36">
        <v>45051</v>
      </c>
      <c r="B471" s="37">
        <v>28.68</v>
      </c>
      <c r="C471" s="38">
        <v>1.1180000000000001</v>
      </c>
      <c r="D471" s="39">
        <v>4.05630941150859E-2</v>
      </c>
      <c r="E471" s="37">
        <v>27.825500000000002</v>
      </c>
      <c r="F471" s="37">
        <v>27.731000000000002</v>
      </c>
      <c r="G471" s="37">
        <v>28.754999999999999</v>
      </c>
      <c r="H471" s="7">
        <v>361494080</v>
      </c>
      <c r="I471" s="37">
        <v>10269434444</v>
      </c>
      <c r="J471" s="37">
        <v>360392688641.55499</v>
      </c>
    </row>
    <row r="472" spans="1:10" x14ac:dyDescent="0.2">
      <c r="A472" s="36">
        <v>45050</v>
      </c>
      <c r="B472" s="37">
        <v>27.562000000000001</v>
      </c>
      <c r="C472" s="38">
        <v>-0.23999999999999799</v>
      </c>
      <c r="D472" s="39">
        <v>-8.6324724839938992E-3</v>
      </c>
      <c r="E472" s="37">
        <v>27.651</v>
      </c>
      <c r="F472" s="37">
        <v>27.24</v>
      </c>
      <c r="G472" s="37">
        <v>27.859000000000002</v>
      </c>
      <c r="H472" s="7">
        <v>321850410</v>
      </c>
      <c r="I472" s="37">
        <v>8873734493</v>
      </c>
      <c r="J472" s="37">
        <v>350123254197.55499</v>
      </c>
    </row>
    <row r="473" spans="1:10" x14ac:dyDescent="0.2">
      <c r="A473" s="36">
        <v>45049</v>
      </c>
      <c r="B473" s="37">
        <v>27.802</v>
      </c>
      <c r="C473" s="38">
        <v>-0.40800000000000097</v>
      </c>
      <c r="D473" s="39">
        <v>-1.4462956398440301E-2</v>
      </c>
      <c r="E473" s="37">
        <v>27.84</v>
      </c>
      <c r="F473" s="37">
        <v>27.472000000000001</v>
      </c>
      <c r="G473" s="37">
        <v>28.367000000000001</v>
      </c>
      <c r="H473" s="7">
        <v>383387400</v>
      </c>
      <c r="I473" s="37">
        <v>10699661902</v>
      </c>
      <c r="J473" s="37">
        <v>358996988690.55499</v>
      </c>
    </row>
    <row r="474" spans="1:10" x14ac:dyDescent="0.2">
      <c r="A474" s="36">
        <v>45048</v>
      </c>
      <c r="B474" s="37">
        <v>28.21</v>
      </c>
      <c r="C474" s="38">
        <v>-0.69999999999999896</v>
      </c>
      <c r="D474" s="39">
        <v>-2.4213075060532701E-2</v>
      </c>
      <c r="E474" s="37">
        <v>28.68</v>
      </c>
      <c r="F474" s="37">
        <v>28.082999999999998</v>
      </c>
      <c r="G474" s="37">
        <v>28.835989999999999</v>
      </c>
      <c r="H474" s="7">
        <v>402729570</v>
      </c>
      <c r="I474" s="37">
        <v>11419245034</v>
      </c>
      <c r="J474" s="37">
        <v>369696650592.55499</v>
      </c>
    </row>
    <row r="475" spans="1:10" x14ac:dyDescent="0.2">
      <c r="A475" s="36">
        <v>45047</v>
      </c>
      <c r="B475" s="37">
        <v>28.91</v>
      </c>
      <c r="C475" s="38">
        <v>1.161</v>
      </c>
      <c r="D475" s="39">
        <v>4.1839345562002299E-2</v>
      </c>
      <c r="E475" s="37">
        <v>27.84</v>
      </c>
      <c r="F475" s="37">
        <v>27.78</v>
      </c>
      <c r="G475" s="37">
        <v>29.058440000000001</v>
      </c>
      <c r="H475" s="7">
        <v>570328530</v>
      </c>
      <c r="I475" s="37">
        <v>16325231571</v>
      </c>
      <c r="J475" s="37">
        <v>381115895626.55499</v>
      </c>
    </row>
    <row r="476" spans="1:10" x14ac:dyDescent="0.2">
      <c r="A476" s="36">
        <v>45044</v>
      </c>
      <c r="B476" s="37">
        <v>27.748999999999999</v>
      </c>
      <c r="C476" s="38">
        <v>0.52300000000000002</v>
      </c>
      <c r="D476" s="39">
        <v>1.92095790788217E-2</v>
      </c>
      <c r="E476" s="37">
        <v>27.225000000000001</v>
      </c>
      <c r="F476" s="37">
        <v>27.071480000000001</v>
      </c>
      <c r="G476" s="37">
        <v>27.757999999999999</v>
      </c>
      <c r="H476" s="7">
        <v>292216140</v>
      </c>
      <c r="I476" s="37">
        <v>8027527506</v>
      </c>
      <c r="J476" s="37">
        <v>364790664055.55499</v>
      </c>
    </row>
    <row r="477" spans="1:10" x14ac:dyDescent="0.2">
      <c r="A477" s="36">
        <v>45043</v>
      </c>
      <c r="B477" s="37">
        <v>27.225999999999999</v>
      </c>
      <c r="C477" s="38">
        <v>0.27</v>
      </c>
      <c r="D477" s="39">
        <v>1.00163228965722E-2</v>
      </c>
      <c r="E477" s="37">
        <v>27.363</v>
      </c>
      <c r="F477" s="37">
        <v>26.62501</v>
      </c>
      <c r="G477" s="37">
        <v>27.495000000000001</v>
      </c>
      <c r="H477" s="7">
        <v>377161190</v>
      </c>
      <c r="I477" s="37">
        <v>10175317585</v>
      </c>
      <c r="J477" s="37">
        <v>356763136549.55499</v>
      </c>
    </row>
    <row r="478" spans="1:10" x14ac:dyDescent="0.2">
      <c r="A478" s="36">
        <v>45042</v>
      </c>
      <c r="B478" s="37">
        <v>26.956</v>
      </c>
      <c r="C478" s="38">
        <v>0.71499999999999997</v>
      </c>
      <c r="D478" s="39">
        <v>2.7247437216569501E-2</v>
      </c>
      <c r="E478" s="37">
        <v>27.001999999999999</v>
      </c>
      <c r="F478" s="37">
        <v>26.705100000000002</v>
      </c>
      <c r="G478" s="37">
        <v>27.33</v>
      </c>
      <c r="H478" s="7">
        <v>406336810</v>
      </c>
      <c r="I478" s="37">
        <v>10989232843</v>
      </c>
      <c r="J478" s="37">
        <v>346587818964.55499</v>
      </c>
    </row>
    <row r="479" spans="1:10" x14ac:dyDescent="0.2">
      <c r="A479" s="36">
        <v>45041</v>
      </c>
      <c r="B479" s="37">
        <v>26.241</v>
      </c>
      <c r="C479" s="38">
        <v>-0.80100000000000204</v>
      </c>
      <c r="D479" s="39">
        <v>-2.9620590193033099E-2</v>
      </c>
      <c r="E479" s="37">
        <v>27.077999999999999</v>
      </c>
      <c r="F479" s="37">
        <v>26.225000000000001</v>
      </c>
      <c r="G479" s="37">
        <v>27.247</v>
      </c>
      <c r="H479" s="7">
        <v>378527160</v>
      </c>
      <c r="I479" s="37">
        <v>10053281513</v>
      </c>
      <c r="J479" s="37">
        <v>335598586121.55499</v>
      </c>
    </row>
    <row r="480" spans="1:10" x14ac:dyDescent="0.2">
      <c r="A480" s="36">
        <v>45040</v>
      </c>
      <c r="B480" s="37">
        <v>27.042000000000002</v>
      </c>
      <c r="C480" s="38">
        <v>-7.6999999999998195E-2</v>
      </c>
      <c r="D480" s="39">
        <v>-2.8393377336921799E-3</v>
      </c>
      <c r="E480" s="37">
        <v>27.013000000000002</v>
      </c>
      <c r="F480" s="37">
        <v>26.671009999999999</v>
      </c>
      <c r="G480" s="37">
        <v>27.36599</v>
      </c>
      <c r="H480" s="7">
        <v>339281860</v>
      </c>
      <c r="I480" s="37">
        <v>9163376548</v>
      </c>
      <c r="J480" s="37">
        <v>345651867634.55499</v>
      </c>
    </row>
    <row r="481" spans="1:10" x14ac:dyDescent="0.2">
      <c r="A481" s="36">
        <v>45037</v>
      </c>
      <c r="B481" s="37">
        <v>27.119</v>
      </c>
      <c r="C481" s="38">
        <v>1.50000000000006E-2</v>
      </c>
      <c r="D481" s="39">
        <v>5.5342384887841498E-4</v>
      </c>
      <c r="E481" s="37">
        <v>26.952000000000002</v>
      </c>
      <c r="F481" s="37">
        <v>26.722000000000001</v>
      </c>
      <c r="G481" s="37">
        <v>27.183</v>
      </c>
      <c r="H481" s="7">
        <v>345102770</v>
      </c>
      <c r="I481" s="37">
        <v>9317757689</v>
      </c>
      <c r="J481" s="37">
        <v>354815244182.55499</v>
      </c>
    </row>
    <row r="482" spans="1:10" x14ac:dyDescent="0.2">
      <c r="A482" s="36">
        <v>45036</v>
      </c>
      <c r="B482" s="37">
        <v>27.103999999999999</v>
      </c>
      <c r="C482" s="38">
        <v>-0.82700000000000196</v>
      </c>
      <c r="D482" s="39">
        <v>-2.9608678529232799E-2</v>
      </c>
      <c r="E482" s="37">
        <v>27.670999999999999</v>
      </c>
      <c r="F482" s="37">
        <v>27</v>
      </c>
      <c r="G482" s="37">
        <v>28.03</v>
      </c>
      <c r="H482" s="7">
        <v>427713260</v>
      </c>
      <c r="I482" s="37">
        <v>11767909979</v>
      </c>
      <c r="J482" s="37">
        <v>345497486493.55499</v>
      </c>
    </row>
    <row r="483" spans="1:10" x14ac:dyDescent="0.2">
      <c r="A483" s="36">
        <v>45035</v>
      </c>
      <c r="B483" s="37">
        <v>27.931000000000001</v>
      </c>
      <c r="C483" s="38">
        <v>0.26399999999999901</v>
      </c>
      <c r="D483" s="39">
        <v>9.5420537101962404E-3</v>
      </c>
      <c r="E483" s="37">
        <v>27.361000000000001</v>
      </c>
      <c r="F483" s="37">
        <v>27.231999999999999</v>
      </c>
      <c r="G483" s="37">
        <v>28</v>
      </c>
      <c r="H483" s="7">
        <v>358660410</v>
      </c>
      <c r="I483" s="37">
        <v>9950614215</v>
      </c>
      <c r="J483" s="37">
        <v>357265396472.55499</v>
      </c>
    </row>
    <row r="484" spans="1:10" x14ac:dyDescent="0.2">
      <c r="A484" s="36">
        <v>45034</v>
      </c>
      <c r="B484" s="37">
        <v>27.667000000000002</v>
      </c>
      <c r="C484" s="38">
        <v>0.66500000000000303</v>
      </c>
      <c r="D484" s="39">
        <v>2.4627805347752101E-2</v>
      </c>
      <c r="E484" s="37">
        <v>27.5335</v>
      </c>
      <c r="F484" s="37">
        <v>27.356999999999999</v>
      </c>
      <c r="G484" s="37">
        <v>28.11</v>
      </c>
      <c r="H484" s="7">
        <v>604811540</v>
      </c>
      <c r="I484" s="37">
        <v>16784313760</v>
      </c>
      <c r="J484" s="37">
        <v>347314782257.55499</v>
      </c>
    </row>
    <row r="485" spans="1:10" x14ac:dyDescent="0.2">
      <c r="A485" s="36">
        <v>45033</v>
      </c>
      <c r="B485" s="37">
        <v>27.001999999999999</v>
      </c>
      <c r="C485" s="38">
        <v>0.24399999999999999</v>
      </c>
      <c r="D485" s="39">
        <v>9.1187682188504302E-3</v>
      </c>
      <c r="E485" s="37">
        <v>26.5655</v>
      </c>
      <c r="F485" s="37">
        <v>26.43318</v>
      </c>
      <c r="G485" s="37">
        <v>27.006</v>
      </c>
      <c r="H485" s="7">
        <v>321471300</v>
      </c>
      <c r="I485" s="37">
        <v>8598170420</v>
      </c>
      <c r="J485" s="37">
        <v>330530468497.55499</v>
      </c>
    </row>
    <row r="486" spans="1:10" x14ac:dyDescent="0.2">
      <c r="A486" s="36">
        <v>45030</v>
      </c>
      <c r="B486" s="37">
        <v>26.757999999999999</v>
      </c>
      <c r="C486" s="38">
        <v>0.29499999999999799</v>
      </c>
      <c r="D486" s="39">
        <v>1.11476401012734E-2</v>
      </c>
      <c r="E486" s="37">
        <v>26.504000000000001</v>
      </c>
      <c r="F486" s="37">
        <v>26.22</v>
      </c>
      <c r="G486" s="37">
        <v>26.882999999999999</v>
      </c>
      <c r="H486" s="7">
        <v>395660130</v>
      </c>
      <c r="I486" s="37">
        <v>10514405921</v>
      </c>
      <c r="J486" s="37">
        <v>321932298077.55499</v>
      </c>
    </row>
    <row r="487" spans="1:10" x14ac:dyDescent="0.2">
      <c r="A487" s="36">
        <v>45029</v>
      </c>
      <c r="B487" s="37">
        <v>26.463000000000001</v>
      </c>
      <c r="C487" s="38">
        <v>-3.2000000000000001E-2</v>
      </c>
      <c r="D487" s="39">
        <v>-1.20777505189659E-3</v>
      </c>
      <c r="E487" s="37">
        <v>26.734000000000002</v>
      </c>
      <c r="F487" s="37">
        <v>26.329000000000001</v>
      </c>
      <c r="G487" s="37">
        <v>26.886900000000001</v>
      </c>
      <c r="H487" s="7">
        <v>353615280</v>
      </c>
      <c r="I487" s="37">
        <v>9424741315</v>
      </c>
      <c r="J487" s="37">
        <v>311417892156.55499</v>
      </c>
    </row>
    <row r="488" spans="1:10" x14ac:dyDescent="0.2">
      <c r="A488" s="36">
        <v>45028</v>
      </c>
      <c r="B488" s="37">
        <v>26.495000000000001</v>
      </c>
      <c r="C488" s="38">
        <v>-0.67399999999999904</v>
      </c>
      <c r="D488" s="39">
        <v>-2.48076852294895E-2</v>
      </c>
      <c r="E488" s="37">
        <v>27.37</v>
      </c>
      <c r="F488" s="37">
        <v>26.447500000000002</v>
      </c>
      <c r="G488" s="37">
        <v>27.46799</v>
      </c>
      <c r="H488" s="7">
        <v>446258950</v>
      </c>
      <c r="I488" s="37">
        <v>11952781963</v>
      </c>
      <c r="J488" s="37">
        <v>320842633471.55499</v>
      </c>
    </row>
    <row r="489" spans="1:10" x14ac:dyDescent="0.2">
      <c r="A489" s="36">
        <v>45027</v>
      </c>
      <c r="B489" s="37">
        <v>27.169</v>
      </c>
      <c r="C489" s="38">
        <v>-0.41</v>
      </c>
      <c r="D489" s="39">
        <v>-1.4866383842778901E-2</v>
      </c>
      <c r="E489" s="37">
        <v>27.723500000000001</v>
      </c>
      <c r="F489" s="37">
        <v>27.126000000000001</v>
      </c>
      <c r="G489" s="37">
        <v>27.79</v>
      </c>
      <c r="H489" s="7">
        <v>314378170</v>
      </c>
      <c r="I489" s="37">
        <v>8589343283</v>
      </c>
      <c r="J489" s="37">
        <v>332795415434.55499</v>
      </c>
    </row>
    <row r="490" spans="1:10" x14ac:dyDescent="0.2">
      <c r="A490" s="36">
        <v>45026</v>
      </c>
      <c r="B490" s="37">
        <v>27.579000000000001</v>
      </c>
      <c r="C490" s="38">
        <v>0.54200000000000204</v>
      </c>
      <c r="D490" s="39">
        <v>2.0046602803565499E-2</v>
      </c>
      <c r="E490" s="37">
        <v>26.823</v>
      </c>
      <c r="F490" s="37">
        <v>26.669</v>
      </c>
      <c r="G490" s="37">
        <v>27.620989999999999</v>
      </c>
      <c r="H490" s="7">
        <v>395278550</v>
      </c>
      <c r="I490" s="37">
        <v>10791420502</v>
      </c>
      <c r="J490" s="37">
        <v>341384758717.55499</v>
      </c>
    </row>
    <row r="491" spans="1:10" x14ac:dyDescent="0.2">
      <c r="A491" s="36">
        <v>45022</v>
      </c>
      <c r="B491" s="37">
        <v>27.036999999999999</v>
      </c>
      <c r="C491" s="38">
        <v>0.155999999999999</v>
      </c>
      <c r="D491" s="39">
        <v>5.80335552992816E-3</v>
      </c>
      <c r="E491" s="37">
        <v>26.584</v>
      </c>
      <c r="F491" s="37">
        <v>26.427</v>
      </c>
      <c r="G491" s="37">
        <v>27.08</v>
      </c>
      <c r="H491" s="7">
        <v>397654340</v>
      </c>
      <c r="I491" s="37">
        <v>10684109832</v>
      </c>
      <c r="J491" s="37">
        <v>330593338215.55499</v>
      </c>
    </row>
    <row r="492" spans="1:10" x14ac:dyDescent="0.2">
      <c r="A492" s="36">
        <v>45021</v>
      </c>
      <c r="B492" s="37">
        <v>26.881</v>
      </c>
      <c r="C492" s="38">
        <v>-0.57199999999999895</v>
      </c>
      <c r="D492" s="39">
        <v>-2.0835609951553501E-2</v>
      </c>
      <c r="E492" s="37">
        <v>26.829000000000001</v>
      </c>
      <c r="F492" s="37">
        <v>26.395</v>
      </c>
      <c r="G492" s="37">
        <v>26.998000000000001</v>
      </c>
      <c r="H492" s="7">
        <v>515014740</v>
      </c>
      <c r="I492" s="37">
        <v>13743654974</v>
      </c>
      <c r="J492" s="37">
        <v>319909228383.55499</v>
      </c>
    </row>
    <row r="493" spans="1:10" x14ac:dyDescent="0.2">
      <c r="A493" s="36">
        <v>45020</v>
      </c>
      <c r="B493" s="37">
        <v>27.452999999999999</v>
      </c>
      <c r="C493" s="38">
        <v>-0.51200000000000001</v>
      </c>
      <c r="D493" s="39">
        <v>-1.8308600035759001E-2</v>
      </c>
      <c r="E493" s="37">
        <v>27.966000000000001</v>
      </c>
      <c r="F493" s="37">
        <v>27.306999999999999</v>
      </c>
      <c r="G493" s="37">
        <v>28</v>
      </c>
      <c r="H493" s="7">
        <v>368591530</v>
      </c>
      <c r="I493" s="37">
        <v>10180096852</v>
      </c>
      <c r="J493" s="37">
        <v>333652883357.55499</v>
      </c>
    </row>
    <row r="494" spans="1:10" x14ac:dyDescent="0.2">
      <c r="A494" s="36">
        <v>45019</v>
      </c>
      <c r="B494" s="37">
        <v>27.965</v>
      </c>
      <c r="C494" s="38">
        <v>0.187999999999999</v>
      </c>
      <c r="D494" s="39">
        <v>6.7681895093062196E-3</v>
      </c>
      <c r="E494" s="37">
        <v>27.509</v>
      </c>
      <c r="F494" s="37">
        <v>27.335999999999999</v>
      </c>
      <c r="G494" s="37">
        <v>28</v>
      </c>
      <c r="H494" s="7">
        <v>398715600</v>
      </c>
      <c r="I494" s="37">
        <v>11043734734</v>
      </c>
      <c r="J494" s="37">
        <v>343832980209.55499</v>
      </c>
    </row>
    <row r="495" spans="1:10" x14ac:dyDescent="0.2">
      <c r="A495" s="36">
        <v>45016</v>
      </c>
      <c r="B495" s="37">
        <v>27.777000000000001</v>
      </c>
      <c r="C495" s="38">
        <v>0.39400000000000202</v>
      </c>
      <c r="D495" s="39">
        <v>1.43884892086332E-2</v>
      </c>
      <c r="E495" s="37">
        <v>27.14</v>
      </c>
      <c r="F495" s="37">
        <v>27.105</v>
      </c>
      <c r="G495" s="37">
        <v>27.834309999999999</v>
      </c>
      <c r="H495" s="7">
        <v>433932770</v>
      </c>
      <c r="I495" s="37">
        <v>11967390524</v>
      </c>
      <c r="J495" s="37">
        <v>332789245475.55499</v>
      </c>
    </row>
    <row r="496" spans="1:10" x14ac:dyDescent="0.2">
      <c r="A496" s="36">
        <v>45015</v>
      </c>
      <c r="B496" s="37">
        <v>27.382999999999999</v>
      </c>
      <c r="C496" s="38">
        <v>0.39899999999999702</v>
      </c>
      <c r="D496" s="39">
        <v>1.47865401719537E-2</v>
      </c>
      <c r="E496" s="37">
        <v>27.228999999999999</v>
      </c>
      <c r="F496" s="37">
        <v>27.102</v>
      </c>
      <c r="G496" s="37">
        <v>27.498999999999999</v>
      </c>
      <c r="H496" s="7">
        <v>364515740</v>
      </c>
      <c r="I496" s="37">
        <v>9961901099</v>
      </c>
      <c r="J496" s="37">
        <v>320821854951.55499</v>
      </c>
    </row>
    <row r="497" spans="1:10" x14ac:dyDescent="0.2">
      <c r="A497" s="36">
        <v>45014</v>
      </c>
      <c r="B497" s="37">
        <v>26.984000000000002</v>
      </c>
      <c r="C497" s="38">
        <v>0.57400000000000195</v>
      </c>
      <c r="D497" s="39">
        <v>2.1734191594093202E-2</v>
      </c>
      <c r="E497" s="37">
        <v>26.824999999999999</v>
      </c>
      <c r="F497" s="37">
        <v>26.597000000000001</v>
      </c>
      <c r="G497" s="37">
        <v>27.077999999999999</v>
      </c>
      <c r="H497" s="7">
        <v>393693870</v>
      </c>
      <c r="I497" s="37">
        <v>10590141960</v>
      </c>
      <c r="J497" s="37">
        <v>310859953852.55499</v>
      </c>
    </row>
    <row r="498" spans="1:10" x14ac:dyDescent="0.2">
      <c r="A498" s="36">
        <v>45013</v>
      </c>
      <c r="B498" s="37">
        <v>26.41</v>
      </c>
      <c r="C498" s="38">
        <v>-0.120999999999999</v>
      </c>
      <c r="D498" s="39">
        <v>-4.5607025743469396E-3</v>
      </c>
      <c r="E498" s="37">
        <v>26.446999999999999</v>
      </c>
      <c r="F498" s="37">
        <v>25.85</v>
      </c>
      <c r="G498" s="37">
        <v>26.513000000000002</v>
      </c>
      <c r="H498" s="7">
        <v>356103780</v>
      </c>
      <c r="I498" s="37">
        <v>9321457089</v>
      </c>
      <c r="J498" s="37">
        <v>300269811892.55499</v>
      </c>
    </row>
    <row r="499" spans="1:10" x14ac:dyDescent="0.2">
      <c r="A499" s="36">
        <v>45012</v>
      </c>
      <c r="B499" s="37">
        <v>26.530999999999999</v>
      </c>
      <c r="C499" s="38">
        <v>-0.248000000000001</v>
      </c>
      <c r="D499" s="39">
        <v>-9.2609880876806903E-3</v>
      </c>
      <c r="E499" s="37">
        <v>26.837</v>
      </c>
      <c r="F499" s="37">
        <v>26.364999999999998</v>
      </c>
      <c r="G499" s="37">
        <v>27</v>
      </c>
      <c r="H499" s="7">
        <v>361025740</v>
      </c>
      <c r="I499" s="37">
        <v>9623009782</v>
      </c>
      <c r="J499" s="37">
        <v>309591268981.55499</v>
      </c>
    </row>
    <row r="500" spans="1:10" x14ac:dyDescent="0.2">
      <c r="A500" s="36">
        <v>45009</v>
      </c>
      <c r="B500" s="37">
        <v>26.779</v>
      </c>
      <c r="C500" s="38">
        <v>-0.41199999999999898</v>
      </c>
      <c r="D500" s="39">
        <v>-1.5152072376889401E-2</v>
      </c>
      <c r="E500" s="37">
        <v>27.030999999999999</v>
      </c>
      <c r="F500" s="37">
        <v>26.355</v>
      </c>
      <c r="G500" s="37">
        <v>27.167000000000002</v>
      </c>
      <c r="H500" s="7">
        <v>455414070</v>
      </c>
      <c r="I500" s="37">
        <v>12138347262</v>
      </c>
      <c r="J500" s="37">
        <v>319214278763.55499</v>
      </c>
    </row>
    <row r="501" spans="1:10" x14ac:dyDescent="0.2">
      <c r="A501" s="36">
        <v>45008</v>
      </c>
      <c r="B501" s="37">
        <v>27.190999999999999</v>
      </c>
      <c r="C501" s="38">
        <v>0.72299999999999898</v>
      </c>
      <c r="D501" s="39">
        <v>2.7316004231524801E-2</v>
      </c>
      <c r="E501" s="37">
        <v>27.115500000000001</v>
      </c>
      <c r="F501" s="37">
        <v>26.69</v>
      </c>
      <c r="G501" s="37">
        <v>27.498999999999999</v>
      </c>
      <c r="H501" s="7">
        <v>564888760</v>
      </c>
      <c r="I501" s="37">
        <v>15358214757</v>
      </c>
      <c r="J501" s="37">
        <v>331352626025.55499</v>
      </c>
    </row>
    <row r="502" spans="1:10" x14ac:dyDescent="0.2">
      <c r="A502" s="36">
        <v>45007</v>
      </c>
      <c r="B502" s="37">
        <v>26.468</v>
      </c>
      <c r="C502" s="38">
        <v>0.26899999999999802</v>
      </c>
      <c r="D502" s="39">
        <v>1.0267567464407001E-2</v>
      </c>
      <c r="E502" s="37">
        <v>26.425000000000001</v>
      </c>
      <c r="F502" s="37">
        <v>26.236999999999998</v>
      </c>
      <c r="G502" s="37">
        <v>27.588999999999999</v>
      </c>
      <c r="H502" s="7">
        <v>797295110</v>
      </c>
      <c r="I502" s="37">
        <v>21512556821</v>
      </c>
      <c r="J502" s="37">
        <v>315994411268.55499</v>
      </c>
    </row>
    <row r="503" spans="1:10" x14ac:dyDescent="0.2">
      <c r="A503" s="36">
        <v>45006</v>
      </c>
      <c r="B503" s="37">
        <v>26.199000000000002</v>
      </c>
      <c r="C503" s="38">
        <v>0.29900000000000299</v>
      </c>
      <c r="D503" s="39">
        <v>1.15444015444017E-2</v>
      </c>
      <c r="E503" s="37">
        <v>26.18</v>
      </c>
      <c r="F503" s="37">
        <v>25.381</v>
      </c>
      <c r="G503" s="37">
        <v>26.391999999999999</v>
      </c>
      <c r="H503" s="7">
        <v>547407760</v>
      </c>
      <c r="I503" s="37">
        <v>14251784574</v>
      </c>
      <c r="J503" s="37">
        <v>294481854447.55499</v>
      </c>
    </row>
    <row r="504" spans="1:10" x14ac:dyDescent="0.2">
      <c r="A504" s="36">
        <v>45005</v>
      </c>
      <c r="B504" s="37">
        <v>25.9</v>
      </c>
      <c r="C504" s="38">
        <v>0.17499999999999699</v>
      </c>
      <c r="D504" s="39">
        <v>6.8027210884352603E-3</v>
      </c>
      <c r="E504" s="37">
        <v>25.614999999999998</v>
      </c>
      <c r="F504" s="37">
        <v>25.129829999999998</v>
      </c>
      <c r="G504" s="37">
        <v>26.024000000000001</v>
      </c>
      <c r="H504" s="7">
        <v>432747190</v>
      </c>
      <c r="I504" s="37">
        <v>11118408806</v>
      </c>
      <c r="J504" s="37">
        <v>280230069873.55499</v>
      </c>
    </row>
    <row r="505" spans="1:10" x14ac:dyDescent="0.2">
      <c r="A505" s="36">
        <v>45002</v>
      </c>
      <c r="B505" s="37">
        <v>25.725000000000001</v>
      </c>
      <c r="C505" s="38">
        <v>0.184000000000001</v>
      </c>
      <c r="D505" s="39">
        <v>7.2041032066090197E-3</v>
      </c>
      <c r="E505" s="37">
        <v>25.981999999999999</v>
      </c>
      <c r="F505" s="37">
        <v>25.667999999999999</v>
      </c>
      <c r="G505" s="37">
        <v>26.399000000000001</v>
      </c>
      <c r="H505" s="7">
        <v>848546560</v>
      </c>
      <c r="I505" s="37">
        <v>21999230762</v>
      </c>
      <c r="J505" s="37">
        <v>269111661067.55499</v>
      </c>
    </row>
    <row r="506" spans="1:10" x14ac:dyDescent="0.2">
      <c r="A506" s="36">
        <v>45001</v>
      </c>
      <c r="B506" s="37">
        <v>25.541</v>
      </c>
      <c r="C506" s="38">
        <v>1.3129999999999999</v>
      </c>
      <c r="D506" s="39">
        <v>5.4193495129602101E-2</v>
      </c>
      <c r="E506" s="37">
        <v>24.027000000000001</v>
      </c>
      <c r="F506" s="37">
        <v>23.893999999999998</v>
      </c>
      <c r="G506" s="37">
        <v>25.588000000000001</v>
      </c>
      <c r="H506" s="7">
        <v>584946260</v>
      </c>
      <c r="I506" s="37">
        <v>14607250647</v>
      </c>
      <c r="J506" s="37">
        <v>247112430305.55499</v>
      </c>
    </row>
    <row r="507" spans="1:10" x14ac:dyDescent="0.2">
      <c r="A507" s="36">
        <v>45000</v>
      </c>
      <c r="B507" s="37">
        <v>24.228000000000002</v>
      </c>
      <c r="C507" s="38">
        <v>0.16500000000000301</v>
      </c>
      <c r="D507" s="39">
        <v>6.8570003740183096E-3</v>
      </c>
      <c r="E507" s="37">
        <v>23.760999999999999</v>
      </c>
      <c r="F507" s="37">
        <v>23.36</v>
      </c>
      <c r="G507" s="37">
        <v>24.286000000000001</v>
      </c>
      <c r="H507" s="7">
        <v>524485740</v>
      </c>
      <c r="I507" s="37">
        <v>12488872214</v>
      </c>
      <c r="J507" s="37">
        <v>232505179658.55499</v>
      </c>
    </row>
    <row r="508" spans="1:10" x14ac:dyDescent="0.2">
      <c r="A508" s="36">
        <v>44999</v>
      </c>
      <c r="B508" s="37">
        <v>24.062999999999999</v>
      </c>
      <c r="C508" s="38">
        <v>1.097</v>
      </c>
      <c r="D508" s="39">
        <v>4.7766263171644903E-2</v>
      </c>
      <c r="E508" s="37">
        <v>23.495999999999999</v>
      </c>
      <c r="F508" s="37">
        <v>23.46</v>
      </c>
      <c r="G508" s="37">
        <v>24.219000000000001</v>
      </c>
      <c r="H508" s="7">
        <v>474910130</v>
      </c>
      <c r="I508" s="37">
        <v>11359347367</v>
      </c>
      <c r="J508" s="37">
        <v>220016307444.55499</v>
      </c>
    </row>
    <row r="509" spans="1:10" x14ac:dyDescent="0.2">
      <c r="A509" s="36">
        <v>44998</v>
      </c>
      <c r="B509" s="37">
        <v>22.966000000000001</v>
      </c>
      <c r="C509" s="38">
        <v>1.00000000000122E-3</v>
      </c>
      <c r="D509" s="39">
        <v>4.3544524276125499E-5</v>
      </c>
      <c r="E509" s="37">
        <v>22.751999999999999</v>
      </c>
      <c r="F509" s="37">
        <v>22.297000000000001</v>
      </c>
      <c r="G509" s="37">
        <v>23.297999999999998</v>
      </c>
      <c r="H509" s="7">
        <v>421890320</v>
      </c>
      <c r="I509" s="37">
        <v>9673019188</v>
      </c>
      <c r="J509" s="37">
        <v>208656960077.55499</v>
      </c>
    </row>
    <row r="510" spans="1:10" x14ac:dyDescent="0.2">
      <c r="A510" s="36">
        <v>44995</v>
      </c>
      <c r="B510" s="37">
        <v>22.965</v>
      </c>
      <c r="C510" s="38">
        <v>-0.47099999999999997</v>
      </c>
      <c r="D510" s="39">
        <v>-2.0097286226318501E-2</v>
      </c>
      <c r="E510" s="37">
        <v>23.408999999999999</v>
      </c>
      <c r="F510" s="37">
        <v>22.725999999999999</v>
      </c>
      <c r="G510" s="37">
        <v>23.626999999999999</v>
      </c>
      <c r="H510" s="7">
        <v>474865650</v>
      </c>
      <c r="I510" s="37">
        <v>10971335276</v>
      </c>
      <c r="J510" s="37">
        <v>198983940889.55499</v>
      </c>
    </row>
    <row r="511" spans="1:10" x14ac:dyDescent="0.2">
      <c r="A511" s="36">
        <v>44994</v>
      </c>
      <c r="B511" s="37">
        <v>23.436</v>
      </c>
      <c r="C511" s="38">
        <v>-0.74500000000000099</v>
      </c>
      <c r="D511" s="39">
        <v>-3.0809313097059698E-2</v>
      </c>
      <c r="E511" s="37">
        <v>24.175000000000001</v>
      </c>
      <c r="F511" s="37">
        <v>23.382840000000002</v>
      </c>
      <c r="G511" s="37">
        <v>24.454000000000001</v>
      </c>
      <c r="H511" s="7">
        <v>501256990</v>
      </c>
      <c r="I511" s="37">
        <v>11997230284</v>
      </c>
      <c r="J511" s="37">
        <v>209955276165.55499</v>
      </c>
    </row>
    <row r="512" spans="1:10" x14ac:dyDescent="0.2">
      <c r="A512" s="36">
        <v>44993</v>
      </c>
      <c r="B512" s="37">
        <v>24.181000000000001</v>
      </c>
      <c r="C512" s="38">
        <v>0.89300000000000102</v>
      </c>
      <c r="D512" s="39">
        <v>3.8345929233940299E-2</v>
      </c>
      <c r="E512" s="37">
        <v>23.486999999999998</v>
      </c>
      <c r="F512" s="37">
        <v>23.423500000000001</v>
      </c>
      <c r="G512" s="37">
        <v>24.2</v>
      </c>
      <c r="H512" s="7">
        <v>513573390</v>
      </c>
      <c r="I512" s="37">
        <v>12260335942</v>
      </c>
      <c r="J512" s="37">
        <v>221952506449.55499</v>
      </c>
    </row>
    <row r="513" spans="1:10" x14ac:dyDescent="0.2">
      <c r="A513" s="36">
        <v>44992</v>
      </c>
      <c r="B513" s="37">
        <v>23.288</v>
      </c>
      <c r="C513" s="38">
        <v>-0.26599999999999802</v>
      </c>
      <c r="D513" s="39">
        <v>-1.1293198607455099E-2</v>
      </c>
      <c r="E513" s="37">
        <v>23.6</v>
      </c>
      <c r="F513" s="37">
        <v>23.241</v>
      </c>
      <c r="G513" s="37">
        <v>24.125</v>
      </c>
      <c r="H513" s="7">
        <v>515153880</v>
      </c>
      <c r="I513" s="37">
        <v>12197091594</v>
      </c>
      <c r="J513" s="37">
        <v>209692170507.55499</v>
      </c>
    </row>
    <row r="514" spans="1:10" x14ac:dyDescent="0.2">
      <c r="A514" s="36">
        <v>44991</v>
      </c>
      <c r="B514" s="37">
        <v>23.553999999999998</v>
      </c>
      <c r="C514" s="38">
        <v>-0.33600000000000202</v>
      </c>
      <c r="D514" s="39">
        <v>-1.4064462118041099E-2</v>
      </c>
      <c r="E514" s="37">
        <v>23.890999999999998</v>
      </c>
      <c r="F514" s="37">
        <v>23.486999999999998</v>
      </c>
      <c r="G514" s="37">
        <v>24.248000000000001</v>
      </c>
      <c r="H514" s="7">
        <v>437429230</v>
      </c>
      <c r="I514" s="37">
        <v>10429758457</v>
      </c>
      <c r="J514" s="37">
        <v>221889262101.55499</v>
      </c>
    </row>
    <row r="515" spans="1:10" x14ac:dyDescent="0.2">
      <c r="A515" s="36">
        <v>44988</v>
      </c>
      <c r="B515" s="37">
        <v>23.89</v>
      </c>
      <c r="C515" s="38">
        <v>0.57600000000000096</v>
      </c>
      <c r="D515" s="39">
        <v>2.47061851248177E-2</v>
      </c>
      <c r="E515" s="37">
        <v>23.32</v>
      </c>
      <c r="F515" s="37">
        <v>23.13</v>
      </c>
      <c r="G515" s="37">
        <v>23.9</v>
      </c>
      <c r="H515" s="7">
        <v>412393300</v>
      </c>
      <c r="I515" s="37">
        <v>9705477798</v>
      </c>
      <c r="J515" s="37">
        <v>232319020558.55499</v>
      </c>
    </row>
    <row r="516" spans="1:10" x14ac:dyDescent="0.2">
      <c r="A516" s="36">
        <v>44987</v>
      </c>
      <c r="B516" s="37">
        <v>23.314</v>
      </c>
      <c r="C516" s="38">
        <v>0.61599999999999999</v>
      </c>
      <c r="D516" s="39">
        <v>2.71389549740065E-2</v>
      </c>
      <c r="E516" s="37">
        <v>22.488</v>
      </c>
      <c r="F516" s="37">
        <v>22.431999999999999</v>
      </c>
      <c r="G516" s="37">
        <v>23.380400000000002</v>
      </c>
      <c r="H516" s="7">
        <v>390074650</v>
      </c>
      <c r="I516" s="37">
        <v>8946406725</v>
      </c>
      <c r="J516" s="37">
        <v>222613542760.55499</v>
      </c>
    </row>
    <row r="517" spans="1:10" x14ac:dyDescent="0.2">
      <c r="A517" s="36">
        <v>44986</v>
      </c>
      <c r="B517" s="37">
        <v>22.698</v>
      </c>
      <c r="C517" s="38">
        <v>-0.51800000000000102</v>
      </c>
      <c r="D517" s="39">
        <v>-2.2312198483804301E-2</v>
      </c>
      <c r="E517" s="37">
        <v>23.192</v>
      </c>
      <c r="F517" s="37">
        <v>22.507999999999999</v>
      </c>
      <c r="G517" s="37">
        <v>23.255569999999999</v>
      </c>
      <c r="H517" s="7">
        <v>460025620</v>
      </c>
      <c r="I517" s="37">
        <v>10495438832</v>
      </c>
      <c r="J517" s="37">
        <v>213667136035.55499</v>
      </c>
    </row>
    <row r="518" spans="1:10" x14ac:dyDescent="0.2">
      <c r="A518" s="36">
        <v>44985</v>
      </c>
      <c r="B518" s="37">
        <v>23.216000000000001</v>
      </c>
      <c r="C518" s="38">
        <v>-0.28499999999999998</v>
      </c>
      <c r="D518" s="39">
        <v>-1.2127143525807399E-2</v>
      </c>
      <c r="E518" s="37">
        <v>23.372</v>
      </c>
      <c r="F518" s="37">
        <v>23.206</v>
      </c>
      <c r="G518" s="37">
        <v>23.824999999999999</v>
      </c>
      <c r="H518" s="7">
        <v>455962800</v>
      </c>
      <c r="I518" s="37">
        <v>10701973109</v>
      </c>
      <c r="J518" s="37">
        <v>224162574867.55499</v>
      </c>
    </row>
    <row r="519" spans="1:10" x14ac:dyDescent="0.2">
      <c r="A519" s="36">
        <v>44984</v>
      </c>
      <c r="B519" s="37">
        <v>23.501000000000001</v>
      </c>
      <c r="C519" s="38">
        <v>0.215</v>
      </c>
      <c r="D519" s="39">
        <v>9.2330155458215206E-3</v>
      </c>
      <c r="E519" s="37">
        <v>23.67</v>
      </c>
      <c r="F519" s="37">
        <v>23.454000000000001</v>
      </c>
      <c r="G519" s="37">
        <v>23.879940000000001</v>
      </c>
      <c r="H519" s="7">
        <v>452993670</v>
      </c>
      <c r="I519" s="37">
        <v>10713232481</v>
      </c>
      <c r="J519" s="37">
        <v>234864547976.55499</v>
      </c>
    </row>
    <row r="520" spans="1:10" x14ac:dyDescent="0.2">
      <c r="A520" s="36">
        <v>44981</v>
      </c>
      <c r="B520" s="37">
        <v>23.286000000000001</v>
      </c>
      <c r="C520" s="38">
        <v>-0.378</v>
      </c>
      <c r="D520" s="39">
        <v>-1.5973630831643E-2</v>
      </c>
      <c r="E520" s="37">
        <v>23.225000000000001</v>
      </c>
      <c r="F520" s="37">
        <v>22.946999999999999</v>
      </c>
      <c r="G520" s="37">
        <v>23.474</v>
      </c>
      <c r="H520" s="7">
        <v>589715910</v>
      </c>
      <c r="I520" s="37">
        <v>13686469478</v>
      </c>
      <c r="J520" s="37">
        <v>224151315495.55499</v>
      </c>
    </row>
    <row r="521" spans="1:10" x14ac:dyDescent="0.2">
      <c r="A521" s="36">
        <v>44980</v>
      </c>
      <c r="B521" s="37">
        <v>23.664000000000001</v>
      </c>
      <c r="C521" s="38">
        <v>2.91</v>
      </c>
      <c r="D521" s="39">
        <v>0.14021393466319701</v>
      </c>
      <c r="E521" s="37">
        <v>23.44</v>
      </c>
      <c r="F521" s="37">
        <v>23.024999999999999</v>
      </c>
      <c r="G521" s="37">
        <v>23.888000000000002</v>
      </c>
      <c r="H521" s="7">
        <v>1117995410</v>
      </c>
      <c r="I521" s="37">
        <v>26295845266</v>
      </c>
      <c r="J521" s="37">
        <v>237837784973.55499</v>
      </c>
    </row>
    <row r="522" spans="1:10" x14ac:dyDescent="0.2">
      <c r="A522" s="36">
        <v>44979</v>
      </c>
      <c r="B522" s="37">
        <v>20.754000000000001</v>
      </c>
      <c r="C522" s="38">
        <v>9.9000000000000199E-2</v>
      </c>
      <c r="D522" s="39">
        <v>4.7930283224401002E-3</v>
      </c>
      <c r="E522" s="37">
        <v>20.707000000000001</v>
      </c>
      <c r="F522" s="37">
        <v>20.420999999999999</v>
      </c>
      <c r="G522" s="37">
        <v>21.103999999999999</v>
      </c>
      <c r="H522" s="7">
        <v>513184320</v>
      </c>
      <c r="I522" s="37">
        <v>10777910350</v>
      </c>
      <c r="J522" s="37">
        <v>211541939707.55499</v>
      </c>
    </row>
    <row r="523" spans="1:10" x14ac:dyDescent="0.2">
      <c r="A523" s="36">
        <v>44978</v>
      </c>
      <c r="B523" s="37">
        <v>20.655000000000001</v>
      </c>
      <c r="C523" s="38">
        <v>-0.73300000000000098</v>
      </c>
      <c r="D523" s="39">
        <v>-3.4271554142509798E-2</v>
      </c>
      <c r="E523" s="37">
        <v>21</v>
      </c>
      <c r="F523" s="37">
        <v>20.617999999999999</v>
      </c>
      <c r="G523" s="37">
        <v>21.4938</v>
      </c>
      <c r="H523" s="7">
        <v>410014550</v>
      </c>
      <c r="I523" s="37">
        <v>8585897101</v>
      </c>
      <c r="J523" s="37">
        <v>200764029357.55499</v>
      </c>
    </row>
    <row r="524" spans="1:10" x14ac:dyDescent="0.2">
      <c r="A524" s="36">
        <v>44974</v>
      </c>
      <c r="B524" s="37">
        <v>21.388000000000002</v>
      </c>
      <c r="C524" s="38">
        <v>-0.61399999999999699</v>
      </c>
      <c r="D524" s="39">
        <v>-2.7906553949640801E-2</v>
      </c>
      <c r="E524" s="37">
        <v>21.631</v>
      </c>
      <c r="F524" s="37">
        <v>20.975000000000001</v>
      </c>
      <c r="G524" s="37">
        <v>21.74</v>
      </c>
      <c r="H524" s="7">
        <v>465887640</v>
      </c>
      <c r="I524" s="37">
        <v>9942788154</v>
      </c>
      <c r="J524" s="37">
        <v>209349926458.55499</v>
      </c>
    </row>
    <row r="525" spans="1:10" x14ac:dyDescent="0.2">
      <c r="A525" s="36">
        <v>44973</v>
      </c>
      <c r="B525" s="37">
        <v>22.001999999999999</v>
      </c>
      <c r="C525" s="38">
        <v>-0.76200000000000001</v>
      </c>
      <c r="D525" s="39">
        <v>-3.34739061676331E-2</v>
      </c>
      <c r="E525" s="37">
        <v>22.132999999999999</v>
      </c>
      <c r="F525" s="37">
        <v>21.9268</v>
      </c>
      <c r="G525" s="37">
        <v>22.55</v>
      </c>
      <c r="H525" s="7">
        <v>412026280</v>
      </c>
      <c r="I525" s="37">
        <v>9166026962</v>
      </c>
      <c r="J525" s="37">
        <v>219292714612.55499</v>
      </c>
    </row>
    <row r="526" spans="1:10" x14ac:dyDescent="0.2">
      <c r="A526" s="36">
        <v>44972</v>
      </c>
      <c r="B526" s="37">
        <v>22.763999999999999</v>
      </c>
      <c r="C526" s="38">
        <v>-0.20700000000000099</v>
      </c>
      <c r="D526" s="39">
        <v>-9.01136215227899E-3</v>
      </c>
      <c r="E526" s="37">
        <v>22.548999999999999</v>
      </c>
      <c r="F526" s="37">
        <v>22.106000000000002</v>
      </c>
      <c r="G526" s="37">
        <v>22.855</v>
      </c>
      <c r="H526" s="7">
        <v>421188260</v>
      </c>
      <c r="I526" s="37">
        <v>9496433113</v>
      </c>
      <c r="J526" s="37">
        <v>228458741574.55499</v>
      </c>
    </row>
    <row r="527" spans="1:10" x14ac:dyDescent="0.2">
      <c r="A527" s="36">
        <v>44971</v>
      </c>
      <c r="B527" s="37">
        <v>22.971</v>
      </c>
      <c r="C527" s="38">
        <v>1.1830000000000001</v>
      </c>
      <c r="D527" s="39">
        <v>5.4295942720763699E-2</v>
      </c>
      <c r="E527" s="37">
        <v>21.577999999999999</v>
      </c>
      <c r="F527" s="37">
        <v>21.366</v>
      </c>
      <c r="G527" s="37">
        <v>23.0488</v>
      </c>
      <c r="H527" s="7">
        <v>675473500</v>
      </c>
      <c r="I527" s="37">
        <v>15244257347</v>
      </c>
      <c r="J527" s="37">
        <v>237955174687.55499</v>
      </c>
    </row>
    <row r="528" spans="1:10" x14ac:dyDescent="0.2">
      <c r="A528" s="36">
        <v>44970</v>
      </c>
      <c r="B528" s="37">
        <v>21.788</v>
      </c>
      <c r="C528" s="38">
        <v>0.52300000000000002</v>
      </c>
      <c r="D528" s="39">
        <v>2.4594403950152801E-2</v>
      </c>
      <c r="E528" s="37">
        <v>21.538</v>
      </c>
      <c r="F528" s="37">
        <v>20.962</v>
      </c>
      <c r="G528" s="37">
        <v>22.047999999999998</v>
      </c>
      <c r="H528" s="7">
        <v>474918620</v>
      </c>
      <c r="I528" s="37">
        <v>10302873892</v>
      </c>
      <c r="J528" s="37">
        <v>222710917340.55499</v>
      </c>
    </row>
    <row r="529" spans="1:10" x14ac:dyDescent="0.2">
      <c r="A529" s="36">
        <v>44967</v>
      </c>
      <c r="B529" s="37">
        <v>21.265000000000001</v>
      </c>
      <c r="C529" s="38">
        <v>-1.0720000000000001</v>
      </c>
      <c r="D529" s="39">
        <v>-4.7992120696601998E-2</v>
      </c>
      <c r="E529" s="37">
        <v>21.69</v>
      </c>
      <c r="F529" s="37">
        <v>20.811</v>
      </c>
      <c r="G529" s="37">
        <v>22.077639999999999</v>
      </c>
      <c r="H529" s="7">
        <v>550736750</v>
      </c>
      <c r="I529" s="37">
        <v>11739048160</v>
      </c>
      <c r="J529" s="37">
        <v>212408043448.55499</v>
      </c>
    </row>
    <row r="530" spans="1:10" x14ac:dyDescent="0.2">
      <c r="A530" s="36">
        <v>44966</v>
      </c>
      <c r="B530" s="37">
        <v>22.337</v>
      </c>
      <c r="C530" s="38">
        <v>0.13200000000000101</v>
      </c>
      <c r="D530" s="39">
        <v>5.94460707047969E-3</v>
      </c>
      <c r="E530" s="37">
        <v>22.606000000000002</v>
      </c>
      <c r="F530" s="37">
        <v>22.12</v>
      </c>
      <c r="G530" s="37">
        <v>23.02</v>
      </c>
      <c r="H530" s="7">
        <v>523875780</v>
      </c>
      <c r="I530" s="37">
        <v>11874440391</v>
      </c>
      <c r="J530" s="37">
        <v>224147091608.55499</v>
      </c>
    </row>
    <row r="531" spans="1:10" x14ac:dyDescent="0.2">
      <c r="A531" s="36">
        <v>44965</v>
      </c>
      <c r="B531" s="37">
        <v>22.204999999999998</v>
      </c>
      <c r="C531" s="38">
        <v>3.2000000000000001E-2</v>
      </c>
      <c r="D531" s="39">
        <v>1.4431966806476399E-3</v>
      </c>
      <c r="E531" s="37">
        <v>22.387</v>
      </c>
      <c r="F531" s="37">
        <v>22.008009999999999</v>
      </c>
      <c r="G531" s="37">
        <v>22.878</v>
      </c>
      <c r="H531" s="7">
        <v>559651220</v>
      </c>
      <c r="I531" s="37">
        <v>12525918759</v>
      </c>
      <c r="J531" s="37">
        <v>212272651217.55499</v>
      </c>
    </row>
    <row r="532" spans="1:10" x14ac:dyDescent="0.2">
      <c r="A532" s="36">
        <v>44964</v>
      </c>
      <c r="B532" s="37">
        <v>22.172999999999998</v>
      </c>
      <c r="C532" s="38">
        <v>1.0840000000000001</v>
      </c>
      <c r="D532" s="39">
        <v>5.14012044193655E-2</v>
      </c>
      <c r="E532" s="37">
        <v>21.382000000000001</v>
      </c>
      <c r="F532" s="37">
        <v>21.15</v>
      </c>
      <c r="G532" s="37">
        <v>22.259</v>
      </c>
      <c r="H532" s="7">
        <v>664149610</v>
      </c>
      <c r="I532" s="37">
        <v>14410292923</v>
      </c>
      <c r="J532" s="37">
        <v>199746732458.55499</v>
      </c>
    </row>
    <row r="533" spans="1:10" x14ac:dyDescent="0.2">
      <c r="A533" s="36">
        <v>44963</v>
      </c>
      <c r="B533" s="37">
        <v>21.088999999999999</v>
      </c>
      <c r="C533" s="38">
        <v>-1.1000000000002799E-2</v>
      </c>
      <c r="D533" s="39">
        <v>-5.2132701421814102E-4</v>
      </c>
      <c r="E533" s="37">
        <v>20.806000000000001</v>
      </c>
      <c r="F533" s="37">
        <v>20.786000000000001</v>
      </c>
      <c r="G533" s="37">
        <v>21.57</v>
      </c>
      <c r="H533" s="7">
        <v>452197090</v>
      </c>
      <c r="I533" s="37">
        <v>9585899378</v>
      </c>
      <c r="J533" s="37">
        <v>185336439535.55499</v>
      </c>
    </row>
    <row r="534" spans="1:10" x14ac:dyDescent="0.2">
      <c r="A534" s="36">
        <v>44960</v>
      </c>
      <c r="B534" s="37">
        <v>21.1</v>
      </c>
      <c r="C534" s="38">
        <v>-0.60899999999999799</v>
      </c>
      <c r="D534" s="39">
        <v>-2.8052881293472699E-2</v>
      </c>
      <c r="E534" s="37">
        <v>21</v>
      </c>
      <c r="F534" s="37">
        <v>20.789000000000001</v>
      </c>
      <c r="G534" s="37">
        <v>21.744990000000001</v>
      </c>
      <c r="H534" s="7">
        <v>429365950</v>
      </c>
      <c r="I534" s="37">
        <v>9150921452</v>
      </c>
      <c r="J534" s="37">
        <v>194922338913.55499</v>
      </c>
    </row>
    <row r="535" spans="1:10" x14ac:dyDescent="0.2">
      <c r="A535" s="36">
        <v>44959</v>
      </c>
      <c r="B535" s="37">
        <v>21.709</v>
      </c>
      <c r="C535" s="38">
        <v>0.76599999999999802</v>
      </c>
      <c r="D535" s="39">
        <v>3.6575466743064403E-2</v>
      </c>
      <c r="E535" s="37">
        <v>21</v>
      </c>
      <c r="F535" s="37">
        <v>20.7</v>
      </c>
      <c r="G535" s="37">
        <v>21.949000000000002</v>
      </c>
      <c r="H535" s="7">
        <v>564275800</v>
      </c>
      <c r="I535" s="37">
        <v>12106620441</v>
      </c>
      <c r="J535" s="37">
        <v>204073260365.55499</v>
      </c>
    </row>
    <row r="536" spans="1:10" x14ac:dyDescent="0.2">
      <c r="A536" s="36">
        <v>44958</v>
      </c>
      <c r="B536" s="37">
        <v>20.943000000000001</v>
      </c>
      <c r="C536" s="38">
        <v>1.4059999999999999</v>
      </c>
      <c r="D536" s="39">
        <v>7.1966013205712401E-2</v>
      </c>
      <c r="E536" s="37">
        <v>19.690999999999999</v>
      </c>
      <c r="F536" s="37">
        <v>19.611000000000001</v>
      </c>
      <c r="G536" s="37">
        <v>21.192</v>
      </c>
      <c r="H536" s="7">
        <v>660477040</v>
      </c>
      <c r="I536" s="37">
        <v>13450056396</v>
      </c>
      <c r="J536" s="37">
        <v>191966639924.55499</v>
      </c>
    </row>
    <row r="537" spans="1:10" x14ac:dyDescent="0.2">
      <c r="A537" s="36">
        <v>44957</v>
      </c>
      <c r="B537" s="37">
        <v>19.536999999999999</v>
      </c>
      <c r="C537" s="38">
        <v>0.375</v>
      </c>
      <c r="D537" s="39">
        <v>1.9569982256549399E-2</v>
      </c>
      <c r="E537" s="37">
        <v>19.169499999999999</v>
      </c>
      <c r="F537" s="37">
        <v>18.95</v>
      </c>
      <c r="G537" s="37">
        <v>19.687000000000001</v>
      </c>
      <c r="H537" s="7">
        <v>498016580</v>
      </c>
      <c r="I537" s="37">
        <v>9663945703</v>
      </c>
      <c r="J537" s="37">
        <v>178516583528.55499</v>
      </c>
    </row>
    <row r="538" spans="1:10" x14ac:dyDescent="0.2">
      <c r="A538" s="36">
        <v>44956</v>
      </c>
      <c r="B538" s="37">
        <v>19.161999999999999</v>
      </c>
      <c r="C538" s="38">
        <v>-1.2030000000000001</v>
      </c>
      <c r="D538" s="39">
        <v>-5.9071937147066003E-2</v>
      </c>
      <c r="E538" s="37">
        <v>19.95</v>
      </c>
      <c r="F538" s="37">
        <v>19.149999999999999</v>
      </c>
      <c r="G538" s="37">
        <v>20.14</v>
      </c>
      <c r="H538" s="7">
        <v>488611150</v>
      </c>
      <c r="I538" s="37">
        <v>9554459617</v>
      </c>
      <c r="J538" s="37">
        <v>168852637825.55499</v>
      </c>
    </row>
    <row r="539" spans="1:10" x14ac:dyDescent="0.2">
      <c r="A539" s="36">
        <v>44953</v>
      </c>
      <c r="B539" s="37">
        <v>20.364999999999998</v>
      </c>
      <c r="C539" s="38">
        <v>0.56299999999999895</v>
      </c>
      <c r="D539" s="39">
        <v>2.8431471568528401E-2</v>
      </c>
      <c r="E539" s="37">
        <v>19.462</v>
      </c>
      <c r="F539" s="37">
        <v>19.405000000000001</v>
      </c>
      <c r="G539" s="37">
        <v>20.628</v>
      </c>
      <c r="H539" s="7">
        <v>542141980</v>
      </c>
      <c r="I539" s="37">
        <v>10934935736</v>
      </c>
      <c r="J539" s="37">
        <v>178407097442.55499</v>
      </c>
    </row>
    <row r="540" spans="1:10" x14ac:dyDescent="0.2">
      <c r="A540" s="36">
        <v>44952</v>
      </c>
      <c r="B540" s="37">
        <v>19.802</v>
      </c>
      <c r="C540" s="38">
        <v>0.47899999999999898</v>
      </c>
      <c r="D540" s="39">
        <v>2.47891114216219E-2</v>
      </c>
      <c r="E540" s="37">
        <v>19.701000000000001</v>
      </c>
      <c r="F540" s="37">
        <v>19.277999999999999</v>
      </c>
      <c r="G540" s="37">
        <v>20.166</v>
      </c>
      <c r="H540" s="7">
        <v>489535420</v>
      </c>
      <c r="I540" s="37">
        <v>9615482374</v>
      </c>
      <c r="J540" s="37">
        <v>167472161706.55499</v>
      </c>
    </row>
    <row r="541" spans="1:10" x14ac:dyDescent="0.2">
      <c r="A541" s="36">
        <v>44951</v>
      </c>
      <c r="B541" s="37">
        <v>19.323</v>
      </c>
      <c r="C541" s="38">
        <v>5.7999999999999802E-2</v>
      </c>
      <c r="D541" s="39">
        <v>3.0106410589151198E-3</v>
      </c>
      <c r="E541" s="37">
        <v>18.912500000000001</v>
      </c>
      <c r="F541" s="37">
        <v>18.579999999999998</v>
      </c>
      <c r="G541" s="37">
        <v>19.37</v>
      </c>
      <c r="H541" s="7">
        <v>449537110</v>
      </c>
      <c r="I541" s="37">
        <v>8537133753</v>
      </c>
      <c r="J541" s="37">
        <v>157856679332.55499</v>
      </c>
    </row>
    <row r="542" spans="1:10" x14ac:dyDescent="0.2">
      <c r="A542" s="36">
        <v>44950</v>
      </c>
      <c r="B542" s="37">
        <v>19.265000000000001</v>
      </c>
      <c r="C542" s="38">
        <v>7.1999999999999204E-2</v>
      </c>
      <c r="D542" s="39">
        <v>3.7513676861355301E-3</v>
      </c>
      <c r="E542" s="37">
        <v>18.827000000000002</v>
      </c>
      <c r="F542" s="37">
        <v>18.82</v>
      </c>
      <c r="G542" s="37">
        <v>19.495000000000001</v>
      </c>
      <c r="H542" s="7">
        <v>496204100</v>
      </c>
      <c r="I542" s="37">
        <v>9502170528</v>
      </c>
      <c r="J542" s="37">
        <v>149319545579.55499</v>
      </c>
    </row>
    <row r="543" spans="1:10" x14ac:dyDescent="0.2">
      <c r="A543" s="36">
        <v>44949</v>
      </c>
      <c r="B543" s="37">
        <v>19.193000000000001</v>
      </c>
      <c r="C543" s="38">
        <v>1.3540000000000001</v>
      </c>
      <c r="D543" s="39">
        <v>7.5901115533382094E-2</v>
      </c>
      <c r="E543" s="37">
        <v>18.064</v>
      </c>
      <c r="F543" s="37">
        <v>17.817499999999999</v>
      </c>
      <c r="G543" s="37">
        <v>19.245000000000001</v>
      </c>
      <c r="H543" s="7">
        <v>655162590</v>
      </c>
      <c r="I543" s="37">
        <v>12330283490</v>
      </c>
      <c r="J543" s="37">
        <v>139817375051.55499</v>
      </c>
    </row>
    <row r="544" spans="1:10" x14ac:dyDescent="0.2">
      <c r="A544" s="36">
        <v>44946</v>
      </c>
      <c r="B544" s="37">
        <v>17.838999999999999</v>
      </c>
      <c r="C544" s="38">
        <v>1.0740000000000001</v>
      </c>
      <c r="D544" s="39">
        <v>6.4062033999403398E-2</v>
      </c>
      <c r="E544" s="37">
        <v>17.010999999999999</v>
      </c>
      <c r="F544" s="37">
        <v>16.824999999999999</v>
      </c>
      <c r="G544" s="37">
        <v>17.856000000000002</v>
      </c>
      <c r="H544" s="7">
        <v>564967120</v>
      </c>
      <c r="I544" s="37">
        <v>9844130952</v>
      </c>
      <c r="J544" s="37">
        <v>127487091561.55499</v>
      </c>
    </row>
    <row r="545" spans="1:10" x14ac:dyDescent="0.2">
      <c r="A545" s="36">
        <v>44945</v>
      </c>
      <c r="B545" s="37">
        <v>16.765000000000001</v>
      </c>
      <c r="C545" s="38">
        <v>-0.61199999999999799</v>
      </c>
      <c r="D545" s="39">
        <v>-3.5218967600851601E-2</v>
      </c>
      <c r="E545" s="37">
        <v>17.036000000000001</v>
      </c>
      <c r="F545" s="37">
        <v>16.731000000000002</v>
      </c>
      <c r="G545" s="37">
        <v>17.196999999999999</v>
      </c>
      <c r="H545" s="7">
        <v>452931600</v>
      </c>
      <c r="I545" s="37">
        <v>7668669589</v>
      </c>
      <c r="J545" s="37">
        <v>117642960609.55499</v>
      </c>
    </row>
    <row r="546" spans="1:10" x14ac:dyDescent="0.2">
      <c r="A546" s="36">
        <v>44944</v>
      </c>
      <c r="B546" s="37">
        <v>17.376999999999999</v>
      </c>
      <c r="C546" s="38">
        <v>-0.32500000000000301</v>
      </c>
      <c r="D546" s="39">
        <v>-1.8359507400293899E-2</v>
      </c>
      <c r="E546" s="37">
        <v>17.667000000000002</v>
      </c>
      <c r="F546" s="37">
        <v>17.282</v>
      </c>
      <c r="G546" s="37">
        <v>17.873000000000001</v>
      </c>
      <c r="H546" s="7">
        <v>439623550</v>
      </c>
      <c r="I546" s="37">
        <v>7703962503</v>
      </c>
      <c r="J546" s="37">
        <v>125311630198.55499</v>
      </c>
    </row>
    <row r="547" spans="1:10" x14ac:dyDescent="0.2">
      <c r="A547" s="36">
        <v>44943</v>
      </c>
      <c r="B547" s="37">
        <v>17.702000000000002</v>
      </c>
      <c r="C547" s="38">
        <v>0.80300000000000105</v>
      </c>
      <c r="D547" s="39">
        <v>4.75176045919877E-2</v>
      </c>
      <c r="E547" s="37">
        <v>16.899000000000001</v>
      </c>
      <c r="F547" s="37">
        <v>16.899000000000001</v>
      </c>
      <c r="G547" s="37">
        <v>17.728000000000002</v>
      </c>
      <c r="H547" s="7">
        <v>511102160</v>
      </c>
      <c r="I547" s="37">
        <v>8950959187</v>
      </c>
      <c r="J547" s="37">
        <v>133015592701.55499</v>
      </c>
    </row>
    <row r="548" spans="1:10" x14ac:dyDescent="0.2">
      <c r="A548" s="36">
        <v>44939</v>
      </c>
      <c r="B548" s="37">
        <v>16.899000000000001</v>
      </c>
      <c r="C548" s="38">
        <v>0.38800000000000201</v>
      </c>
      <c r="D548" s="39">
        <v>2.3499485191690501E-2</v>
      </c>
      <c r="E548" s="37">
        <v>16.277999999999999</v>
      </c>
      <c r="F548" s="37">
        <v>16.164999999999999</v>
      </c>
      <c r="G548" s="37">
        <v>16.922000000000001</v>
      </c>
      <c r="H548" s="7">
        <v>447287060</v>
      </c>
      <c r="I548" s="37">
        <v>7458824550</v>
      </c>
      <c r="J548" s="37">
        <v>124064633514.55499</v>
      </c>
    </row>
    <row r="549" spans="1:10" x14ac:dyDescent="0.2">
      <c r="A549" s="36">
        <v>44938</v>
      </c>
      <c r="B549" s="37">
        <v>16.510999999999999</v>
      </c>
      <c r="C549" s="38">
        <v>0.50999999999999801</v>
      </c>
      <c r="D549" s="39">
        <v>3.1873007937003803E-2</v>
      </c>
      <c r="E549" s="37">
        <v>16.100000000000001</v>
      </c>
      <c r="F549" s="37">
        <v>15.492000000000001</v>
      </c>
      <c r="G549" s="37">
        <v>16.637</v>
      </c>
      <c r="H549" s="7">
        <v>551409060</v>
      </c>
      <c r="I549" s="37">
        <v>8934559181</v>
      </c>
      <c r="J549" s="37">
        <v>116605808964.55499</v>
      </c>
    </row>
    <row r="550" spans="1:10" x14ac:dyDescent="0.2">
      <c r="A550" s="36">
        <v>44937</v>
      </c>
      <c r="B550" s="37">
        <v>16.001000000000001</v>
      </c>
      <c r="C550" s="38">
        <v>9.2000000000000498E-2</v>
      </c>
      <c r="D550" s="39">
        <v>5.7828901879439596E-3</v>
      </c>
      <c r="E550" s="37">
        <v>15.839510000000001</v>
      </c>
      <c r="F550" s="37">
        <v>15.563000000000001</v>
      </c>
      <c r="G550" s="37">
        <v>16.027999999999999</v>
      </c>
      <c r="H550" s="7">
        <v>353284930</v>
      </c>
      <c r="I550" s="37">
        <v>5590289920</v>
      </c>
      <c r="J550" s="37">
        <v>107671249783.55499</v>
      </c>
    </row>
    <row r="551" spans="1:10" x14ac:dyDescent="0.2">
      <c r="A551" s="36">
        <v>44936</v>
      </c>
      <c r="B551" s="37">
        <v>15.909000000000001</v>
      </c>
      <c r="C551" s="38">
        <v>0.28100000000000103</v>
      </c>
      <c r="D551" s="39">
        <v>1.7980547734834901E-2</v>
      </c>
      <c r="E551" s="37">
        <v>15.507</v>
      </c>
      <c r="F551" s="37">
        <v>15.472</v>
      </c>
      <c r="G551" s="37">
        <v>15.96199</v>
      </c>
      <c r="H551" s="7">
        <v>384101260</v>
      </c>
      <c r="I551" s="37">
        <v>6048428494</v>
      </c>
      <c r="J551" s="37">
        <v>102080959863.55499</v>
      </c>
    </row>
    <row r="552" spans="1:10" x14ac:dyDescent="0.2">
      <c r="A552" s="36">
        <v>44935</v>
      </c>
      <c r="B552" s="37">
        <v>15.628</v>
      </c>
      <c r="C552" s="38">
        <v>0.76900000000000002</v>
      </c>
      <c r="D552" s="39">
        <v>5.1753146241335202E-2</v>
      </c>
      <c r="E552" s="37">
        <v>15.284000000000001</v>
      </c>
      <c r="F552" s="37">
        <v>15.141</v>
      </c>
      <c r="G552" s="37">
        <v>16.056000000000001</v>
      </c>
      <c r="H552" s="7">
        <v>504230560</v>
      </c>
      <c r="I552" s="37">
        <v>7960665713</v>
      </c>
      <c r="J552" s="37">
        <v>96032531369.554596</v>
      </c>
    </row>
    <row r="553" spans="1:10" x14ac:dyDescent="0.2">
      <c r="A553" s="36">
        <v>44932</v>
      </c>
      <c r="B553" s="37">
        <v>14.859</v>
      </c>
      <c r="C553" s="38">
        <v>0.59399999999999897</v>
      </c>
      <c r="D553" s="39">
        <v>4.16403785488959E-2</v>
      </c>
      <c r="E553" s="37">
        <v>14.474</v>
      </c>
      <c r="F553" s="37">
        <v>14.034000000000001</v>
      </c>
      <c r="G553" s="37">
        <v>15.01</v>
      </c>
      <c r="H553" s="7">
        <v>405043620</v>
      </c>
      <c r="I553" s="37">
        <v>5912922362</v>
      </c>
      <c r="J553" s="37">
        <v>88071865656.554596</v>
      </c>
    </row>
    <row r="554" spans="1:10" x14ac:dyDescent="0.2">
      <c r="A554" s="36">
        <v>44931</v>
      </c>
      <c r="B554" s="37">
        <v>14.265000000000001</v>
      </c>
      <c r="C554" s="38">
        <v>-0.48399999999999999</v>
      </c>
      <c r="D554" s="39">
        <v>-3.28157841209573E-2</v>
      </c>
      <c r="E554" s="37">
        <v>14.491</v>
      </c>
      <c r="F554" s="37">
        <v>14.14795</v>
      </c>
      <c r="G554" s="37">
        <v>14.564</v>
      </c>
      <c r="H554" s="7">
        <v>389168110</v>
      </c>
      <c r="I554" s="37">
        <v>5570569599</v>
      </c>
      <c r="J554" s="37">
        <v>82158943294.554596</v>
      </c>
    </row>
    <row r="555" spans="1:10" x14ac:dyDescent="0.2">
      <c r="A555" s="36">
        <v>44930</v>
      </c>
      <c r="B555" s="37">
        <v>14.749000000000001</v>
      </c>
      <c r="C555" s="38">
        <v>0.434000000000001</v>
      </c>
      <c r="D555" s="39">
        <v>3.0317848410757998E-2</v>
      </c>
      <c r="E555" s="37">
        <v>14.567</v>
      </c>
      <c r="F555" s="37">
        <v>14.241</v>
      </c>
      <c r="G555" s="37">
        <v>14.853</v>
      </c>
      <c r="H555" s="7">
        <v>431323600</v>
      </c>
      <c r="I555" s="37">
        <v>6303899683</v>
      </c>
      <c r="J555" s="37">
        <v>87729512893.554596</v>
      </c>
    </row>
    <row r="556" spans="1:10" x14ac:dyDescent="0.2">
      <c r="A556" s="36">
        <v>44929</v>
      </c>
      <c r="B556" s="37">
        <v>14.315</v>
      </c>
      <c r="C556" s="38">
        <v>-0.29900000000000099</v>
      </c>
      <c r="D556" s="39">
        <v>-2.0459833036814101E-2</v>
      </c>
      <c r="E556" s="37">
        <v>14.851000000000001</v>
      </c>
      <c r="F556" s="37">
        <v>14.096</v>
      </c>
      <c r="G556" s="37">
        <v>14.996</v>
      </c>
      <c r="H556" s="7">
        <v>401276580</v>
      </c>
      <c r="I556" s="37">
        <v>5765590265</v>
      </c>
      <c r="J556" s="37">
        <v>81425613210.554596</v>
      </c>
    </row>
    <row r="557" spans="1:10" x14ac:dyDescent="0.2">
      <c r="A557" s="36">
        <v>44925</v>
      </c>
      <c r="B557" s="37">
        <v>14.614000000000001</v>
      </c>
      <c r="C557" s="38">
        <v>1.1000000000001E-2</v>
      </c>
      <c r="D557" s="39">
        <v>7.5326987605293504E-4</v>
      </c>
      <c r="E557" s="37">
        <v>14.334</v>
      </c>
      <c r="F557" s="37">
        <v>14.233000000000001</v>
      </c>
      <c r="G557" s="37">
        <v>14.62899</v>
      </c>
      <c r="H557" s="7">
        <v>310489830</v>
      </c>
      <c r="I557" s="37">
        <v>4485648453</v>
      </c>
      <c r="J557" s="37">
        <v>87191203475.554596</v>
      </c>
    </row>
    <row r="558" spans="1:10" x14ac:dyDescent="0.2">
      <c r="A558" s="36">
        <v>44924</v>
      </c>
      <c r="B558" s="37">
        <v>14.603</v>
      </c>
      <c r="C558" s="38">
        <v>0.56699999999999995</v>
      </c>
      <c r="D558" s="39">
        <v>4.0396124251923599E-2</v>
      </c>
      <c r="E558" s="37">
        <v>14.401999999999999</v>
      </c>
      <c r="F558" s="37">
        <v>14.227</v>
      </c>
      <c r="G558" s="37">
        <v>14.683</v>
      </c>
      <c r="H558" s="7">
        <v>354923240</v>
      </c>
      <c r="I558" s="37">
        <v>5158946852</v>
      </c>
      <c r="J558" s="37">
        <v>82705555022.554596</v>
      </c>
    </row>
    <row r="559" spans="1:10" x14ac:dyDescent="0.2">
      <c r="A559" s="36">
        <v>44923</v>
      </c>
      <c r="B559" s="37">
        <v>14.036</v>
      </c>
      <c r="C559" s="38">
        <v>-8.5000000000000894E-2</v>
      </c>
      <c r="D559" s="39">
        <v>-6.0194037249487204E-3</v>
      </c>
      <c r="E559" s="37">
        <v>13.927</v>
      </c>
      <c r="F559" s="37">
        <v>13.884</v>
      </c>
      <c r="G559" s="37">
        <v>14.262</v>
      </c>
      <c r="H559" s="7">
        <v>351066450</v>
      </c>
      <c r="I559" s="37">
        <v>4936974812</v>
      </c>
      <c r="J559" s="37">
        <v>77546608170.554596</v>
      </c>
    </row>
    <row r="560" spans="1:10" x14ac:dyDescent="0.2">
      <c r="A560" s="36">
        <v>44922</v>
      </c>
      <c r="B560" s="37">
        <v>14.121</v>
      </c>
      <c r="C560" s="38">
        <v>-1.085</v>
      </c>
      <c r="D560" s="39">
        <v>-7.1353413126397397E-2</v>
      </c>
      <c r="E560" s="37">
        <v>15.074</v>
      </c>
      <c r="F560" s="37">
        <v>14.055999999999999</v>
      </c>
      <c r="G560" s="37">
        <v>15.1</v>
      </c>
      <c r="H560" s="7">
        <v>464902260</v>
      </c>
      <c r="I560" s="37">
        <v>6698014914</v>
      </c>
      <c r="J560" s="37">
        <v>82483582982.554596</v>
      </c>
    </row>
    <row r="561" spans="1:10" x14ac:dyDescent="0.2">
      <c r="A561" s="36">
        <v>44918</v>
      </c>
      <c r="B561" s="37">
        <v>15.206</v>
      </c>
      <c r="C561" s="38">
        <v>-0.13300000000000101</v>
      </c>
      <c r="D561" s="39">
        <v>-8.6707086511507193E-3</v>
      </c>
      <c r="E561" s="37">
        <v>15.196</v>
      </c>
      <c r="F561" s="37">
        <v>14.882999999999999</v>
      </c>
      <c r="G561" s="37">
        <v>15.339</v>
      </c>
      <c r="H561" s="7">
        <v>349325630</v>
      </c>
      <c r="I561" s="37">
        <v>5285652070</v>
      </c>
      <c r="J561" s="37">
        <v>89181597896.554596</v>
      </c>
    </row>
    <row r="562" spans="1:10" x14ac:dyDescent="0.2">
      <c r="A562" s="36">
        <v>44917</v>
      </c>
      <c r="B562" s="37">
        <v>15.339</v>
      </c>
      <c r="C562" s="38">
        <v>-1.1619999999999999</v>
      </c>
      <c r="D562" s="39">
        <v>-7.0419974546997194E-2</v>
      </c>
      <c r="E562" s="37">
        <v>16.093499999999999</v>
      </c>
      <c r="F562" s="37">
        <v>14.882</v>
      </c>
      <c r="G562" s="37">
        <v>16.138000000000002</v>
      </c>
      <c r="H562" s="7">
        <v>565045270</v>
      </c>
      <c r="I562" s="37">
        <v>8651037420</v>
      </c>
      <c r="J562" s="37">
        <v>94467249966.554596</v>
      </c>
    </row>
    <row r="563" spans="1:10" x14ac:dyDescent="0.2">
      <c r="A563" s="36">
        <v>44916</v>
      </c>
      <c r="B563" s="37">
        <v>16.501000000000001</v>
      </c>
      <c r="C563" s="38">
        <v>0.41599999999999998</v>
      </c>
      <c r="D563" s="39">
        <v>2.58626049114082E-2</v>
      </c>
      <c r="E563" s="37">
        <v>16.114000000000001</v>
      </c>
      <c r="F563" s="37">
        <v>16.102</v>
      </c>
      <c r="G563" s="37">
        <v>16.626999999999999</v>
      </c>
      <c r="H563" s="7">
        <v>325025380</v>
      </c>
      <c r="I563" s="37">
        <v>5352651944</v>
      </c>
      <c r="J563" s="37">
        <v>103118287386.55499</v>
      </c>
    </row>
    <row r="564" spans="1:10" x14ac:dyDescent="0.2">
      <c r="A564" s="36">
        <v>44915</v>
      </c>
      <c r="B564" s="37">
        <v>16.085000000000001</v>
      </c>
      <c r="C564" s="38">
        <v>-0.16900000000000001</v>
      </c>
      <c r="D564" s="39">
        <v>-1.0397440629998801E-2</v>
      </c>
      <c r="E564" s="37">
        <v>16.064</v>
      </c>
      <c r="F564" s="37">
        <v>15.852</v>
      </c>
      <c r="G564" s="37">
        <v>16.309999999999999</v>
      </c>
      <c r="H564" s="7">
        <v>403259790</v>
      </c>
      <c r="I564" s="37">
        <v>6498934067</v>
      </c>
      <c r="J564" s="37">
        <v>97765635442.554596</v>
      </c>
    </row>
    <row r="565" spans="1:10" x14ac:dyDescent="0.2">
      <c r="A565" s="36">
        <v>44914</v>
      </c>
      <c r="B565" s="37">
        <v>16.254000000000001</v>
      </c>
      <c r="C565" s="38">
        <v>-0.317</v>
      </c>
      <c r="D565" s="39">
        <v>-1.91298050811659E-2</v>
      </c>
      <c r="E565" s="37">
        <v>16.571999999999999</v>
      </c>
      <c r="F565" s="37">
        <v>16.145</v>
      </c>
      <c r="G565" s="37">
        <v>16.609000000000002</v>
      </c>
      <c r="H565" s="7">
        <v>354038770</v>
      </c>
      <c r="I565" s="37">
        <v>5766505436</v>
      </c>
      <c r="J565" s="37">
        <v>104264569509.55499</v>
      </c>
    </row>
    <row r="566" spans="1:10" x14ac:dyDescent="0.2">
      <c r="A566" s="36">
        <v>44911</v>
      </c>
      <c r="B566" s="37">
        <v>16.571000000000002</v>
      </c>
      <c r="C566" s="38">
        <v>-0.38100000000000001</v>
      </c>
      <c r="D566" s="39">
        <v>-2.2475224162340698E-2</v>
      </c>
      <c r="E566" s="37">
        <v>16.8642</v>
      </c>
      <c r="F566" s="37">
        <v>16.41</v>
      </c>
      <c r="G566" s="37">
        <v>17.041</v>
      </c>
      <c r="H566" s="7">
        <v>478231930</v>
      </c>
      <c r="I566" s="37">
        <v>7952947812</v>
      </c>
      <c r="J566" s="37">
        <v>110031074945.55499</v>
      </c>
    </row>
    <row r="567" spans="1:10" x14ac:dyDescent="0.2">
      <c r="A567" s="36">
        <v>44910</v>
      </c>
      <c r="B567" s="37">
        <v>16.952000000000002</v>
      </c>
      <c r="C567" s="38">
        <v>-0.72199999999999798</v>
      </c>
      <c r="D567" s="39">
        <v>-4.0850967522914901E-2</v>
      </c>
      <c r="E567" s="37">
        <v>17.146000000000001</v>
      </c>
      <c r="F567" s="37">
        <v>16.7</v>
      </c>
      <c r="G567" s="37">
        <v>17.32</v>
      </c>
      <c r="H567" s="7">
        <v>478542100</v>
      </c>
      <c r="I567" s="37">
        <v>8101356656</v>
      </c>
      <c r="J567" s="37">
        <v>117984022757.55499</v>
      </c>
    </row>
    <row r="568" spans="1:10" x14ac:dyDescent="0.2">
      <c r="A568" s="36">
        <v>44909</v>
      </c>
      <c r="B568" s="37">
        <v>17.673999999999999</v>
      </c>
      <c r="C568" s="38">
        <v>-0.39800000000000002</v>
      </c>
      <c r="D568" s="39">
        <v>-2.2023019034971201E-2</v>
      </c>
      <c r="E568" s="37">
        <v>17.986999999999998</v>
      </c>
      <c r="F568" s="37">
        <v>17.420000000000002</v>
      </c>
      <c r="G568" s="37">
        <v>18.251999999999999</v>
      </c>
      <c r="H568" s="7">
        <v>496888100</v>
      </c>
      <c r="I568" s="37">
        <v>8881989420</v>
      </c>
      <c r="J568" s="37">
        <v>126085379413.55499</v>
      </c>
    </row>
    <row r="569" spans="1:10" x14ac:dyDescent="0.2">
      <c r="A569" s="36">
        <v>44908</v>
      </c>
      <c r="B569" s="37">
        <v>18.071999999999999</v>
      </c>
      <c r="C569" s="38">
        <v>0.53699999999999903</v>
      </c>
      <c r="D569" s="39">
        <v>3.06244653550042E-2</v>
      </c>
      <c r="E569" s="37">
        <v>18.530999999999999</v>
      </c>
      <c r="F569" s="37">
        <v>17.710999999999999</v>
      </c>
      <c r="G569" s="37">
        <v>18.79</v>
      </c>
      <c r="H569" s="7">
        <v>656588760</v>
      </c>
      <c r="I569" s="37">
        <v>11939742259</v>
      </c>
      <c r="J569" s="37">
        <v>134967368833.55499</v>
      </c>
    </row>
    <row r="570" spans="1:10" x14ac:dyDescent="0.2">
      <c r="A570" s="36">
        <v>44907</v>
      </c>
      <c r="B570" s="37">
        <v>17.535</v>
      </c>
      <c r="C570" s="38">
        <v>0.53399999999999903</v>
      </c>
      <c r="D570" s="39">
        <v>3.1409917063702102E-2</v>
      </c>
      <c r="E570" s="37">
        <v>17.036999999999999</v>
      </c>
      <c r="F570" s="37">
        <v>16.797000000000001</v>
      </c>
      <c r="G570" s="37">
        <v>17.538</v>
      </c>
      <c r="H570" s="7">
        <v>457327800</v>
      </c>
      <c r="I570" s="37">
        <v>7872246098</v>
      </c>
      <c r="J570" s="37">
        <v>123027626574.55499</v>
      </c>
    </row>
    <row r="571" spans="1:10" x14ac:dyDescent="0.2">
      <c r="A571" s="36">
        <v>44904</v>
      </c>
      <c r="B571" s="37">
        <v>17.001000000000001</v>
      </c>
      <c r="C571" s="38">
        <v>-0.16799999999999901</v>
      </c>
      <c r="D571" s="39">
        <v>-9.7850777564214095E-3</v>
      </c>
      <c r="E571" s="37">
        <v>17.16</v>
      </c>
      <c r="F571" s="37">
        <v>16.975000000000001</v>
      </c>
      <c r="G571" s="37">
        <v>17.582999999999998</v>
      </c>
      <c r="H571" s="7">
        <v>465338190</v>
      </c>
      <c r="I571" s="37">
        <v>8044805256</v>
      </c>
      <c r="J571" s="37">
        <v>115155380476.55499</v>
      </c>
    </row>
    <row r="572" spans="1:10" x14ac:dyDescent="0.2">
      <c r="A572" s="36">
        <v>44903</v>
      </c>
      <c r="B572" s="37">
        <v>17.169</v>
      </c>
      <c r="C572" s="38">
        <v>1.0489999999999999</v>
      </c>
      <c r="D572" s="39">
        <v>6.50744416873449E-2</v>
      </c>
      <c r="E572" s="37">
        <v>16.273</v>
      </c>
      <c r="F572" s="37">
        <v>15.959</v>
      </c>
      <c r="G572" s="37">
        <v>17.178999999999998</v>
      </c>
      <c r="H572" s="7">
        <v>515455540</v>
      </c>
      <c r="I572" s="37">
        <v>8644251480</v>
      </c>
      <c r="J572" s="37">
        <v>123200185732.55499</v>
      </c>
    </row>
    <row r="573" spans="1:10" x14ac:dyDescent="0.2">
      <c r="A573" s="36">
        <v>44902</v>
      </c>
      <c r="B573" s="37">
        <v>16.12</v>
      </c>
      <c r="C573" s="38">
        <v>0.13300000000000101</v>
      </c>
      <c r="D573" s="39">
        <v>8.3192593982611401E-3</v>
      </c>
      <c r="E573" s="37">
        <v>15.772</v>
      </c>
      <c r="F573" s="37">
        <v>15.667</v>
      </c>
      <c r="G573" s="37">
        <v>16.186</v>
      </c>
      <c r="H573" s="7">
        <v>372387580</v>
      </c>
      <c r="I573" s="37">
        <v>5959745576</v>
      </c>
      <c r="J573" s="37">
        <v>114555934252.55499</v>
      </c>
    </row>
    <row r="574" spans="1:10" x14ac:dyDescent="0.2">
      <c r="A574" s="36">
        <v>44901</v>
      </c>
      <c r="B574" s="37">
        <v>15.987</v>
      </c>
      <c r="C574" s="38">
        <v>-0.622999999999999</v>
      </c>
      <c r="D574" s="39">
        <v>-3.7507525586995702E-2</v>
      </c>
      <c r="E574" s="37">
        <v>16.53</v>
      </c>
      <c r="F574" s="37">
        <v>15.819000000000001</v>
      </c>
      <c r="G574" s="37">
        <v>16.573</v>
      </c>
      <c r="H574" s="7">
        <v>352694270</v>
      </c>
      <c r="I574" s="37">
        <v>5666886330</v>
      </c>
      <c r="J574" s="37">
        <v>108596188676.55499</v>
      </c>
    </row>
    <row r="575" spans="1:10" x14ac:dyDescent="0.2">
      <c r="A575" s="36">
        <v>44900</v>
      </c>
      <c r="B575" s="37">
        <v>16.61</v>
      </c>
      <c r="C575" s="38">
        <v>-0.26600000000000201</v>
      </c>
      <c r="D575" s="39">
        <v>-1.5762028916805001E-2</v>
      </c>
      <c r="E575" s="37">
        <v>16.678999999999998</v>
      </c>
      <c r="F575" s="37">
        <v>16.472010000000001</v>
      </c>
      <c r="G575" s="37">
        <v>16.995000000000001</v>
      </c>
      <c r="H575" s="7">
        <v>352255170</v>
      </c>
      <c r="I575" s="37">
        <v>5887764962</v>
      </c>
      <c r="J575" s="37">
        <v>114263075006.55499</v>
      </c>
    </row>
    <row r="576" spans="1:10" x14ac:dyDescent="0.2">
      <c r="A576" s="36">
        <v>44897</v>
      </c>
      <c r="B576" s="37">
        <v>16.876000000000001</v>
      </c>
      <c r="C576" s="38">
        <v>-0.25900000000000001</v>
      </c>
      <c r="D576" s="39">
        <v>-1.5115261161365599E-2</v>
      </c>
      <c r="E576" s="37">
        <v>16.658999999999999</v>
      </c>
      <c r="F576" s="37">
        <v>16.445</v>
      </c>
      <c r="G576" s="37">
        <v>16.932569999999998</v>
      </c>
      <c r="H576" s="7">
        <v>371388580</v>
      </c>
      <c r="I576" s="37">
        <v>6199993384</v>
      </c>
      <c r="J576" s="37">
        <v>120150839968.55499</v>
      </c>
    </row>
    <row r="577" spans="1:10" x14ac:dyDescent="0.2">
      <c r="A577" s="36">
        <v>44896</v>
      </c>
      <c r="B577" s="37">
        <v>17.135000000000002</v>
      </c>
      <c r="C577" s="38">
        <v>0.21200000000000299</v>
      </c>
      <c r="D577" s="39">
        <v>1.2527329669680501E-2</v>
      </c>
      <c r="E577" s="37">
        <v>16.998999999999999</v>
      </c>
      <c r="F577" s="37">
        <v>16.635000000000002</v>
      </c>
      <c r="G577" s="37">
        <v>17.265000000000001</v>
      </c>
      <c r="H577" s="7">
        <v>470976570</v>
      </c>
      <c r="I577" s="37">
        <v>8035076109</v>
      </c>
      <c r="J577" s="37">
        <v>126350833352.55499</v>
      </c>
    </row>
    <row r="578" spans="1:10" x14ac:dyDescent="0.2">
      <c r="A578" s="36">
        <v>44895</v>
      </c>
      <c r="B578" s="37">
        <v>16.922999999999998</v>
      </c>
      <c r="C578" s="38">
        <v>1.284</v>
      </c>
      <c r="D578" s="39">
        <v>8.2102436217149397E-2</v>
      </c>
      <c r="E578" s="37">
        <v>15.696999999999999</v>
      </c>
      <c r="F578" s="37">
        <v>15.597</v>
      </c>
      <c r="G578" s="37">
        <v>16.93</v>
      </c>
      <c r="H578" s="7">
        <v>565298220</v>
      </c>
      <c r="I578" s="37">
        <v>9219386721</v>
      </c>
      <c r="J578" s="37">
        <v>118315757243.55499</v>
      </c>
    </row>
    <row r="579" spans="1:10" x14ac:dyDescent="0.2">
      <c r="A579" s="36">
        <v>44894</v>
      </c>
      <c r="B579" s="37">
        <v>15.638999999999999</v>
      </c>
      <c r="C579" s="38">
        <v>-0.188000000000001</v>
      </c>
      <c r="D579" s="39">
        <v>-1.1878435584760301E-2</v>
      </c>
      <c r="E579" s="37">
        <v>15.827</v>
      </c>
      <c r="F579" s="37">
        <v>15.52</v>
      </c>
      <c r="G579" s="37">
        <v>15.932</v>
      </c>
      <c r="H579" s="7">
        <v>298384490</v>
      </c>
      <c r="I579" s="37">
        <v>4686801600</v>
      </c>
      <c r="J579" s="37">
        <v>109096370522.55499</v>
      </c>
    </row>
    <row r="580" spans="1:10" x14ac:dyDescent="0.2">
      <c r="A580" s="36">
        <v>44893</v>
      </c>
      <c r="B580" s="37">
        <v>15.827</v>
      </c>
      <c r="C580" s="38">
        <v>-0.443</v>
      </c>
      <c r="D580" s="39">
        <v>-2.7228027043638602E-2</v>
      </c>
      <c r="E580" s="37">
        <v>16.026</v>
      </c>
      <c r="F580" s="37">
        <v>15.725</v>
      </c>
      <c r="G580" s="37">
        <v>16.356999999999999</v>
      </c>
      <c r="H580" s="7">
        <v>304152010</v>
      </c>
      <c r="I580" s="37">
        <v>4871163189</v>
      </c>
      <c r="J580" s="37">
        <v>113783172122.55499</v>
      </c>
    </row>
    <row r="581" spans="1:10" x14ac:dyDescent="0.2">
      <c r="A581" s="36">
        <v>44890</v>
      </c>
      <c r="B581" s="37">
        <v>16.27</v>
      </c>
      <c r="C581" s="38">
        <v>-0.248999999999999</v>
      </c>
      <c r="D581" s="39">
        <v>-1.5073551667776399E-2</v>
      </c>
      <c r="E581" s="37">
        <v>16.318000000000001</v>
      </c>
      <c r="F581" s="37">
        <v>16.172000000000001</v>
      </c>
      <c r="G581" s="37">
        <v>16.486999999999998</v>
      </c>
      <c r="H581" s="7">
        <v>167934300</v>
      </c>
      <c r="I581" s="37">
        <v>2745657486</v>
      </c>
      <c r="J581" s="37">
        <v>118654335311.55499</v>
      </c>
    </row>
    <row r="582" spans="1:10" x14ac:dyDescent="0.2">
      <c r="A582" s="36">
        <v>44888</v>
      </c>
      <c r="B582" s="37">
        <v>16.518999999999998</v>
      </c>
      <c r="C582" s="38">
        <v>0.48099999999999798</v>
      </c>
      <c r="D582" s="39">
        <v>2.99912707320114E-2</v>
      </c>
      <c r="E582" s="37">
        <v>16.097999999999999</v>
      </c>
      <c r="F582" s="37">
        <v>16.048010000000001</v>
      </c>
      <c r="G582" s="37">
        <v>16.527000000000001</v>
      </c>
      <c r="H582" s="7">
        <v>427240930</v>
      </c>
      <c r="I582" s="37">
        <v>6986656561</v>
      </c>
      <c r="J582" s="37">
        <v>121399992797.55499</v>
      </c>
    </row>
    <row r="583" spans="1:10" x14ac:dyDescent="0.2">
      <c r="A583" s="36">
        <v>44887</v>
      </c>
      <c r="B583" s="37">
        <v>16.038</v>
      </c>
      <c r="C583" s="38">
        <v>0.72099999999999997</v>
      </c>
      <c r="D583" s="39">
        <v>4.7071880916628603E-2</v>
      </c>
      <c r="E583" s="37">
        <v>15.327999999999999</v>
      </c>
      <c r="F583" s="37">
        <v>15.121600000000001</v>
      </c>
      <c r="G583" s="37">
        <v>16.057569999999998</v>
      </c>
      <c r="H583" s="7">
        <v>472866070</v>
      </c>
      <c r="I583" s="37">
        <v>7436084496</v>
      </c>
      <c r="J583" s="37">
        <v>114413336236.55499</v>
      </c>
    </row>
    <row r="584" spans="1:10" x14ac:dyDescent="0.2">
      <c r="A584" s="36">
        <v>44886</v>
      </c>
      <c r="B584" s="37">
        <v>15.317</v>
      </c>
      <c r="C584" s="38">
        <v>-9.2000000000000498E-2</v>
      </c>
      <c r="D584" s="39">
        <v>-5.9705366993315903E-3</v>
      </c>
      <c r="E584" s="37">
        <v>15.147</v>
      </c>
      <c r="F584" s="37">
        <v>15.08</v>
      </c>
      <c r="G584" s="37">
        <v>15.477</v>
      </c>
      <c r="H584" s="7">
        <v>404739310</v>
      </c>
      <c r="I584" s="37">
        <v>6192767542</v>
      </c>
      <c r="J584" s="37">
        <v>106977251740.55499</v>
      </c>
    </row>
    <row r="585" spans="1:10" x14ac:dyDescent="0.2">
      <c r="A585" s="36">
        <v>44883</v>
      </c>
      <c r="B585" s="37">
        <v>15.409000000000001</v>
      </c>
      <c r="C585" s="38">
        <v>-0.26799999999999902</v>
      </c>
      <c r="D585" s="39">
        <v>-1.70951074822988E-2</v>
      </c>
      <c r="E585" s="37">
        <v>15.965999999999999</v>
      </c>
      <c r="F585" s="37">
        <v>15.120010000000001</v>
      </c>
      <c r="G585" s="37">
        <v>16.001999999999999</v>
      </c>
      <c r="H585" s="7">
        <v>492071650</v>
      </c>
      <c r="I585" s="37">
        <v>7584762374</v>
      </c>
      <c r="J585" s="37">
        <v>113170019282.55499</v>
      </c>
    </row>
    <row r="586" spans="1:10" x14ac:dyDescent="0.2">
      <c r="A586" s="36">
        <v>44882</v>
      </c>
      <c r="B586" s="37">
        <v>15.677</v>
      </c>
      <c r="C586" s="38">
        <v>-0.23300000000000101</v>
      </c>
      <c r="D586" s="39">
        <v>-1.4644877435575099E-2</v>
      </c>
      <c r="E586" s="37">
        <v>15.715</v>
      </c>
      <c r="F586" s="37">
        <v>15.535</v>
      </c>
      <c r="G586" s="37">
        <v>16.265999999999998</v>
      </c>
      <c r="H586" s="7">
        <v>710893560</v>
      </c>
      <c r="I586" s="37">
        <v>11279853063</v>
      </c>
      <c r="J586" s="37">
        <v>120754781656.55499</v>
      </c>
    </row>
    <row r="587" spans="1:10" x14ac:dyDescent="0.2">
      <c r="A587" s="36">
        <v>44881</v>
      </c>
      <c r="B587" s="37">
        <v>15.91</v>
      </c>
      <c r="C587" s="38">
        <v>-0.75600000000000001</v>
      </c>
      <c r="D587" s="39">
        <v>-4.53618144725789E-2</v>
      </c>
      <c r="E587" s="37">
        <v>16.1615</v>
      </c>
      <c r="F587" s="37">
        <v>15.872999999999999</v>
      </c>
      <c r="G587" s="37">
        <v>16.361999999999998</v>
      </c>
      <c r="H587" s="7">
        <v>649546840</v>
      </c>
      <c r="I587" s="37">
        <v>10452426470</v>
      </c>
      <c r="J587" s="37">
        <v>132034634719.55499</v>
      </c>
    </row>
    <row r="588" spans="1:10" x14ac:dyDescent="0.2">
      <c r="A588" s="36">
        <v>44880</v>
      </c>
      <c r="B588" s="37">
        <v>16.666</v>
      </c>
      <c r="C588" s="38">
        <v>0.370999999999999</v>
      </c>
      <c r="D588" s="39">
        <v>2.2767720159558101E-2</v>
      </c>
      <c r="E588" s="37">
        <v>16.721499999999999</v>
      </c>
      <c r="F588" s="37">
        <v>16.382000000000001</v>
      </c>
      <c r="G588" s="37">
        <v>16.998000000000001</v>
      </c>
      <c r="H588" s="7">
        <v>545875500</v>
      </c>
      <c r="I588" s="37">
        <v>9136285238</v>
      </c>
      <c r="J588" s="37">
        <v>142487061189.55499</v>
      </c>
    </row>
    <row r="589" spans="1:10" x14ac:dyDescent="0.2">
      <c r="A589" s="36">
        <v>44879</v>
      </c>
      <c r="B589" s="37">
        <v>16.295000000000002</v>
      </c>
      <c r="C589" s="38">
        <v>-3.2000000000000001E-2</v>
      </c>
      <c r="D589" s="39">
        <v>-1.9599436516200201E-3</v>
      </c>
      <c r="E589" s="37">
        <v>16.218</v>
      </c>
      <c r="F589" s="37">
        <v>15.922000000000001</v>
      </c>
      <c r="G589" s="37">
        <v>16.54</v>
      </c>
      <c r="H589" s="7">
        <v>527852450</v>
      </c>
      <c r="I589" s="37">
        <v>8611828421</v>
      </c>
      <c r="J589" s="37">
        <v>133350775951.55499</v>
      </c>
    </row>
    <row r="590" spans="1:10" x14ac:dyDescent="0.2">
      <c r="A590" s="36">
        <v>44876</v>
      </c>
      <c r="B590" s="37">
        <v>16.327000000000002</v>
      </c>
      <c r="C590" s="38">
        <v>0.57700000000000196</v>
      </c>
      <c r="D590" s="39">
        <v>3.6634920634920701E-2</v>
      </c>
      <c r="E590" s="37">
        <v>15.807499999999999</v>
      </c>
      <c r="F590" s="37">
        <v>15.481999999999999</v>
      </c>
      <c r="G590" s="37">
        <v>16.388999999999999</v>
      </c>
      <c r="H590" s="7">
        <v>655487470</v>
      </c>
      <c r="I590" s="37">
        <v>10527058787</v>
      </c>
      <c r="J590" s="37">
        <v>141962604372.55499</v>
      </c>
    </row>
    <row r="591" spans="1:10" x14ac:dyDescent="0.2">
      <c r="A591" s="36">
        <v>44875</v>
      </c>
      <c r="B591" s="37">
        <v>15.75</v>
      </c>
      <c r="C591" s="38">
        <v>1.974</v>
      </c>
      <c r="D591" s="39">
        <v>0.14329268292682901</v>
      </c>
      <c r="E591" s="37">
        <v>14.8</v>
      </c>
      <c r="F591" s="37">
        <v>14.547000000000001</v>
      </c>
      <c r="G591" s="37">
        <v>15.773</v>
      </c>
      <c r="H591" s="7">
        <v>700819250</v>
      </c>
      <c r="I591" s="37">
        <v>10684967275</v>
      </c>
      <c r="J591" s="37">
        <v>131435545585.55499</v>
      </c>
    </row>
    <row r="592" spans="1:10" x14ac:dyDescent="0.2">
      <c r="A592" s="36">
        <v>44874</v>
      </c>
      <c r="B592" s="37">
        <v>13.776</v>
      </c>
      <c r="C592" s="38">
        <v>-0.82600000000000096</v>
      </c>
      <c r="D592" s="39">
        <v>-5.65675934803452E-2</v>
      </c>
      <c r="E592" s="37">
        <v>14.1615</v>
      </c>
      <c r="F592" s="37">
        <v>13.75901</v>
      </c>
      <c r="G592" s="37">
        <v>14.211</v>
      </c>
      <c r="H592" s="7">
        <v>454413660</v>
      </c>
      <c r="I592" s="37">
        <v>6326839761</v>
      </c>
      <c r="J592" s="37">
        <v>120750578310.55499</v>
      </c>
    </row>
    <row r="593" spans="1:10" x14ac:dyDescent="0.2">
      <c r="A593" s="36">
        <v>44873</v>
      </c>
      <c r="B593" s="37">
        <v>14.602</v>
      </c>
      <c r="C593" s="38">
        <v>0.30099999999999999</v>
      </c>
      <c r="D593" s="39">
        <v>2.1047479197258901E-2</v>
      </c>
      <c r="E593" s="37">
        <v>14.801</v>
      </c>
      <c r="F593" s="37">
        <v>14.215999999999999</v>
      </c>
      <c r="G593" s="37">
        <v>14.89101</v>
      </c>
      <c r="H593" s="7">
        <v>595291990</v>
      </c>
      <c r="I593" s="37">
        <v>8699002703</v>
      </c>
      <c r="J593" s="37">
        <v>127077418071.55499</v>
      </c>
    </row>
    <row r="594" spans="1:10" x14ac:dyDescent="0.2">
      <c r="A594" s="36">
        <v>44872</v>
      </c>
      <c r="B594" s="37">
        <v>14.301</v>
      </c>
      <c r="C594" s="38">
        <v>0.14499999999999999</v>
      </c>
      <c r="D594" s="39">
        <v>1.0243006499011E-2</v>
      </c>
      <c r="E594" s="37">
        <v>14.228</v>
      </c>
      <c r="F594" s="37">
        <v>13.954000000000001</v>
      </c>
      <c r="G594" s="37">
        <v>14.412000000000001</v>
      </c>
      <c r="H594" s="7">
        <v>410060950</v>
      </c>
      <c r="I594" s="37">
        <v>5816941353</v>
      </c>
      <c r="J594" s="37">
        <v>118378415368.55499</v>
      </c>
    </row>
    <row r="595" spans="1:10" x14ac:dyDescent="0.2">
      <c r="A595" s="36">
        <v>44869</v>
      </c>
      <c r="B595" s="37">
        <v>14.156000000000001</v>
      </c>
      <c r="C595" s="38">
        <v>0.73500000000000099</v>
      </c>
      <c r="D595" s="39">
        <v>5.4764920646747699E-2</v>
      </c>
      <c r="E595" s="37">
        <v>13.986000000000001</v>
      </c>
      <c r="F595" s="37">
        <v>13.696999999999999</v>
      </c>
      <c r="G595" s="37">
        <v>14.228999999999999</v>
      </c>
      <c r="H595" s="7">
        <v>612575910</v>
      </c>
      <c r="I595" s="37">
        <v>8566537032</v>
      </c>
      <c r="J595" s="37">
        <v>112561474015.55499</v>
      </c>
    </row>
    <row r="596" spans="1:10" x14ac:dyDescent="0.2">
      <c r="A596" s="36">
        <v>44868</v>
      </c>
      <c r="B596" s="37">
        <v>13.420999999999999</v>
      </c>
      <c r="C596" s="38">
        <v>0.20200000000000001</v>
      </c>
      <c r="D596" s="39">
        <v>1.52810348740449E-2</v>
      </c>
      <c r="E596" s="37">
        <v>13.042999999999999</v>
      </c>
      <c r="F596" s="37">
        <v>12.956</v>
      </c>
      <c r="G596" s="37">
        <v>13.781000000000001</v>
      </c>
      <c r="H596" s="7">
        <v>500064860</v>
      </c>
      <c r="I596" s="37">
        <v>6714413441</v>
      </c>
      <c r="J596" s="37">
        <v>103994936983.55499</v>
      </c>
    </row>
    <row r="597" spans="1:10" x14ac:dyDescent="0.2">
      <c r="A597" s="36">
        <v>44867</v>
      </c>
      <c r="B597" s="37">
        <v>13.218999999999999</v>
      </c>
      <c r="C597" s="38">
        <v>-0.32400000000000001</v>
      </c>
      <c r="D597" s="39">
        <v>-2.3923798272170099E-2</v>
      </c>
      <c r="E597" s="37">
        <v>13.85</v>
      </c>
      <c r="F597" s="37">
        <v>13.21124</v>
      </c>
      <c r="G597" s="37">
        <v>14.21</v>
      </c>
      <c r="H597" s="7">
        <v>672627840</v>
      </c>
      <c r="I597" s="37">
        <v>9266938595</v>
      </c>
      <c r="J597" s="37">
        <v>97280523542.554596</v>
      </c>
    </row>
    <row r="598" spans="1:10" x14ac:dyDescent="0.2">
      <c r="A598" s="36">
        <v>44866</v>
      </c>
      <c r="B598" s="37">
        <v>13.542999999999999</v>
      </c>
      <c r="C598" s="38">
        <v>4.5999999999999402E-2</v>
      </c>
      <c r="D598" s="39">
        <v>3.4081647773578898E-3</v>
      </c>
      <c r="E598" s="37">
        <v>13.811</v>
      </c>
      <c r="F598" s="37">
        <v>13.519</v>
      </c>
      <c r="G598" s="37">
        <v>13.925000000000001</v>
      </c>
      <c r="H598" s="7">
        <v>432816900</v>
      </c>
      <c r="I598" s="37">
        <v>5924102789</v>
      </c>
      <c r="J598" s="37">
        <v>106547462137.55499</v>
      </c>
    </row>
    <row r="599" spans="1:10" x14ac:dyDescent="0.2">
      <c r="A599" s="36">
        <v>44865</v>
      </c>
      <c r="B599" s="37">
        <v>13.497</v>
      </c>
      <c r="C599" s="38">
        <v>-0.33700000000000002</v>
      </c>
      <c r="D599" s="39">
        <v>-2.43602717941304E-2</v>
      </c>
      <c r="E599" s="37">
        <v>13.778</v>
      </c>
      <c r="F599" s="37">
        <v>13.297000000000001</v>
      </c>
      <c r="G599" s="37">
        <v>13.837999999999999</v>
      </c>
      <c r="H599" s="7">
        <v>486340990</v>
      </c>
      <c r="I599" s="37">
        <v>6574507727</v>
      </c>
      <c r="J599" s="37">
        <v>100623359348.55499</v>
      </c>
    </row>
    <row r="600" spans="1:10" x14ac:dyDescent="0.2">
      <c r="A600" s="36">
        <v>44862</v>
      </c>
      <c r="B600" s="37">
        <v>13.834</v>
      </c>
      <c r="C600" s="38">
        <v>0.65799999999999903</v>
      </c>
      <c r="D600" s="39">
        <v>4.9939283545840901E-2</v>
      </c>
      <c r="E600" s="37">
        <v>13.103999999999999</v>
      </c>
      <c r="F600" s="37">
        <v>13.061</v>
      </c>
      <c r="G600" s="37">
        <v>13.85</v>
      </c>
      <c r="H600" s="7">
        <v>521039930</v>
      </c>
      <c r="I600" s="37">
        <v>7080037664</v>
      </c>
      <c r="J600" s="37">
        <v>107197867075.55499</v>
      </c>
    </row>
    <row r="601" spans="1:10" x14ac:dyDescent="0.2">
      <c r="A601" s="36">
        <v>44861</v>
      </c>
      <c r="B601" s="37">
        <v>13.176</v>
      </c>
      <c r="C601" s="38">
        <v>0.27999999999999903</v>
      </c>
      <c r="D601" s="39">
        <v>2.1712158808932999E-2</v>
      </c>
      <c r="E601" s="37">
        <v>13.63</v>
      </c>
      <c r="F601" s="37">
        <v>13.122</v>
      </c>
      <c r="G601" s="37">
        <v>13.837999999999999</v>
      </c>
      <c r="H601" s="7">
        <v>583113080</v>
      </c>
      <c r="I601" s="37">
        <v>7794708928</v>
      </c>
      <c r="J601" s="37">
        <v>100117829411.55499</v>
      </c>
    </row>
    <row r="602" spans="1:10" x14ac:dyDescent="0.2">
      <c r="A602" s="36">
        <v>44860</v>
      </c>
      <c r="B602" s="37">
        <v>12.896000000000001</v>
      </c>
      <c r="C602" s="38">
        <v>-0.36499999999999799</v>
      </c>
      <c r="D602" s="39">
        <v>-2.7524319432923501E-2</v>
      </c>
      <c r="E602" s="37">
        <v>12.869</v>
      </c>
      <c r="F602" s="37">
        <v>12.708</v>
      </c>
      <c r="G602" s="37">
        <v>13.388</v>
      </c>
      <c r="H602" s="7">
        <v>535533290</v>
      </c>
      <c r="I602" s="37">
        <v>6997019808</v>
      </c>
      <c r="J602" s="37">
        <v>92323120483.554596</v>
      </c>
    </row>
    <row r="603" spans="1:10" x14ac:dyDescent="0.2">
      <c r="A603" s="36">
        <v>44859</v>
      </c>
      <c r="B603" s="37">
        <v>13.260999999999999</v>
      </c>
      <c r="C603" s="38">
        <v>0.66199999999999903</v>
      </c>
      <c r="D603" s="39">
        <v>5.2543852686721099E-2</v>
      </c>
      <c r="E603" s="37">
        <v>12.6935</v>
      </c>
      <c r="F603" s="37">
        <v>12.664</v>
      </c>
      <c r="G603" s="37">
        <v>13.3</v>
      </c>
      <c r="H603" s="7">
        <v>505482330</v>
      </c>
      <c r="I603" s="37">
        <v>6636001994</v>
      </c>
      <c r="J603" s="37">
        <v>99320140291.554596</v>
      </c>
    </row>
    <row r="604" spans="1:10" x14ac:dyDescent="0.2">
      <c r="A604" s="36">
        <v>44858</v>
      </c>
      <c r="B604" s="37">
        <v>12.599</v>
      </c>
      <c r="C604" s="38">
        <v>0.13300000000000101</v>
      </c>
      <c r="D604" s="39">
        <v>1.06690197336757E-2</v>
      </c>
      <c r="E604" s="37">
        <v>12.507999999999999</v>
      </c>
      <c r="F604" s="37">
        <v>12.064</v>
      </c>
      <c r="G604" s="37">
        <v>12.71</v>
      </c>
      <c r="H604" s="7">
        <v>517457400</v>
      </c>
      <c r="I604" s="37">
        <v>6439912670</v>
      </c>
      <c r="J604" s="37">
        <v>92684138297.554596</v>
      </c>
    </row>
    <row r="605" spans="1:10" x14ac:dyDescent="0.2">
      <c r="A605" s="36">
        <v>44855</v>
      </c>
      <c r="B605" s="37">
        <v>12.465999999999999</v>
      </c>
      <c r="C605" s="38">
        <v>0.27199999999999802</v>
      </c>
      <c r="D605" s="39">
        <v>2.23060521567983E-2</v>
      </c>
      <c r="E605" s="37">
        <v>12.0982</v>
      </c>
      <c r="F605" s="37">
        <v>11.887</v>
      </c>
      <c r="G605" s="37">
        <v>12.497999999999999</v>
      </c>
      <c r="H605" s="7">
        <v>609494410</v>
      </c>
      <c r="I605" s="37">
        <v>7483722358</v>
      </c>
      <c r="J605" s="37">
        <v>86244225627.554596</v>
      </c>
    </row>
    <row r="606" spans="1:10" x14ac:dyDescent="0.2">
      <c r="A606" s="36">
        <v>44854</v>
      </c>
      <c r="B606" s="37">
        <v>12.194000000000001</v>
      </c>
      <c r="C606" s="38">
        <v>0.14300000000000099</v>
      </c>
      <c r="D606" s="39">
        <v>1.1866235167206101E-2</v>
      </c>
      <c r="E606" s="37">
        <v>12.113</v>
      </c>
      <c r="F606" s="37">
        <v>12.105</v>
      </c>
      <c r="G606" s="37">
        <v>12.769</v>
      </c>
      <c r="H606" s="7">
        <v>652397610</v>
      </c>
      <c r="I606" s="37">
        <v>8096917639</v>
      </c>
      <c r="J606" s="37">
        <v>78760503269.554596</v>
      </c>
    </row>
    <row r="607" spans="1:10" x14ac:dyDescent="0.2">
      <c r="A607" s="36">
        <v>44853</v>
      </c>
      <c r="B607" s="37">
        <v>12.051</v>
      </c>
      <c r="C607" s="38">
        <v>8.3999999999999603E-2</v>
      </c>
      <c r="D607" s="39">
        <v>7.0193030834795403E-3</v>
      </c>
      <c r="E607" s="37">
        <v>11.879</v>
      </c>
      <c r="F607" s="37">
        <v>11.834</v>
      </c>
      <c r="G607" s="37">
        <v>12.35</v>
      </c>
      <c r="H607" s="7">
        <v>523130610</v>
      </c>
      <c r="I607" s="37">
        <v>6304999136</v>
      </c>
      <c r="J607" s="37">
        <v>70663585630.554596</v>
      </c>
    </row>
    <row r="608" spans="1:10" x14ac:dyDescent="0.2">
      <c r="A608" s="36">
        <v>44852</v>
      </c>
      <c r="B608" s="37">
        <v>11.967000000000001</v>
      </c>
      <c r="C608" s="38">
        <v>7.9000000000000598E-2</v>
      </c>
      <c r="D608" s="39">
        <v>6.6453566621803998E-3</v>
      </c>
      <c r="E608" s="37">
        <v>12.343999999999999</v>
      </c>
      <c r="F608" s="37">
        <v>11.618</v>
      </c>
      <c r="G608" s="37">
        <v>12.492000000000001</v>
      </c>
      <c r="H608" s="7">
        <v>659362060</v>
      </c>
      <c r="I608" s="37">
        <v>7884332509</v>
      </c>
      <c r="J608" s="37">
        <v>64358586494.554604</v>
      </c>
    </row>
    <row r="609" spans="1:10" x14ac:dyDescent="0.2">
      <c r="A609" s="36">
        <v>44851</v>
      </c>
      <c r="B609" s="37">
        <v>11.888</v>
      </c>
      <c r="C609" s="38">
        <v>0.66100000000000003</v>
      </c>
      <c r="D609" s="39">
        <v>5.8875924111516799E-2</v>
      </c>
      <c r="E609" s="37">
        <v>11.518000000000001</v>
      </c>
      <c r="F609" s="37">
        <v>11.516999999999999</v>
      </c>
      <c r="G609" s="37">
        <v>11.948</v>
      </c>
      <c r="H609" s="7">
        <v>580774170</v>
      </c>
      <c r="I609" s="37">
        <v>6862894555</v>
      </c>
      <c r="J609" s="37">
        <v>56474253985.554604</v>
      </c>
    </row>
    <row r="610" spans="1:10" x14ac:dyDescent="0.2">
      <c r="A610" s="36">
        <v>44848</v>
      </c>
      <c r="B610" s="37">
        <v>11.227</v>
      </c>
      <c r="C610" s="38">
        <v>-0.73300000000000098</v>
      </c>
      <c r="D610" s="39">
        <v>-6.1287625418060203E-2</v>
      </c>
      <c r="E610" s="37">
        <v>12.057</v>
      </c>
      <c r="F610" s="37">
        <v>11.204000000000001</v>
      </c>
      <c r="G610" s="37">
        <v>12.111000000000001</v>
      </c>
      <c r="H610" s="7">
        <v>713431990</v>
      </c>
      <c r="I610" s="37">
        <v>8158717019</v>
      </c>
      <c r="J610" s="37">
        <v>49611359430.554604</v>
      </c>
    </row>
    <row r="611" spans="1:10" x14ac:dyDescent="0.2">
      <c r="A611" s="36">
        <v>44847</v>
      </c>
      <c r="B611" s="37">
        <v>11.96</v>
      </c>
      <c r="C611" s="38">
        <v>0.46000000000000102</v>
      </c>
      <c r="D611" s="39">
        <v>4.0000000000000098E-2</v>
      </c>
      <c r="E611" s="37">
        <v>10.971</v>
      </c>
      <c r="F611" s="37">
        <v>10.813000000000001</v>
      </c>
      <c r="G611" s="37">
        <v>12.07799</v>
      </c>
      <c r="H611" s="7">
        <v>850103010</v>
      </c>
      <c r="I611" s="37">
        <v>9877976118</v>
      </c>
      <c r="J611" s="37">
        <v>57770076449.554604</v>
      </c>
    </row>
    <row r="612" spans="1:10" x14ac:dyDescent="0.2">
      <c r="A612" s="36">
        <v>44846</v>
      </c>
      <c r="B612" s="37">
        <v>11.5</v>
      </c>
      <c r="C612" s="38">
        <v>-8.6000000000000298E-2</v>
      </c>
      <c r="D612" s="39">
        <v>-7.4227515967547298E-3</v>
      </c>
      <c r="E612" s="37">
        <v>11.579000000000001</v>
      </c>
      <c r="F612" s="37">
        <v>11.345000000000001</v>
      </c>
      <c r="G612" s="37">
        <v>11.734999999999999</v>
      </c>
      <c r="H612" s="7">
        <v>492590190</v>
      </c>
      <c r="I612" s="37">
        <v>5678206188</v>
      </c>
      <c r="J612" s="37">
        <v>47892100331.554604</v>
      </c>
    </row>
    <row r="613" spans="1:10" x14ac:dyDescent="0.2">
      <c r="A613" s="36">
        <v>44845</v>
      </c>
      <c r="B613" s="37">
        <v>11.586</v>
      </c>
      <c r="C613" s="38">
        <v>-8.3999999999999603E-2</v>
      </c>
      <c r="D613" s="39">
        <v>-7.1979434447300497E-3</v>
      </c>
      <c r="E613" s="37">
        <v>11.561</v>
      </c>
      <c r="F613" s="37">
        <v>11.282999999999999</v>
      </c>
      <c r="G613" s="37">
        <v>11.846</v>
      </c>
      <c r="H613" s="7">
        <v>667481630</v>
      </c>
      <c r="I613" s="37">
        <v>7723069590</v>
      </c>
      <c r="J613" s="37">
        <v>53570306519.554604</v>
      </c>
    </row>
    <row r="614" spans="1:10" x14ac:dyDescent="0.2">
      <c r="A614" s="36">
        <v>44844</v>
      </c>
      <c r="B614" s="37">
        <v>11.67</v>
      </c>
      <c r="C614" s="38">
        <v>-0.40600000000000103</v>
      </c>
      <c r="D614" s="39">
        <v>-3.3620404107320402E-2</v>
      </c>
      <c r="E614" s="37">
        <v>12.037000000000001</v>
      </c>
      <c r="F614" s="37">
        <v>11.40812</v>
      </c>
      <c r="G614" s="37">
        <v>12.124320000000001</v>
      </c>
      <c r="H614" s="7">
        <v>698699250</v>
      </c>
      <c r="I614" s="37">
        <v>8146884971</v>
      </c>
      <c r="J614" s="37">
        <v>61293376109.554604</v>
      </c>
    </row>
    <row r="615" spans="1:10" x14ac:dyDescent="0.2">
      <c r="A615" s="36">
        <v>44841</v>
      </c>
      <c r="B615" s="37">
        <v>12.076000000000001</v>
      </c>
      <c r="C615" s="38">
        <v>-1.054</v>
      </c>
      <c r="D615" s="39">
        <v>-8.0274181264280306E-2</v>
      </c>
      <c r="E615" s="37">
        <v>12.505000000000001</v>
      </c>
      <c r="F615" s="37">
        <v>12.022</v>
      </c>
      <c r="G615" s="37">
        <v>12.67</v>
      </c>
      <c r="H615" s="7">
        <v>672478160</v>
      </c>
      <c r="I615" s="37">
        <v>8268975212</v>
      </c>
      <c r="J615" s="37">
        <v>69440261080.554596</v>
      </c>
    </row>
    <row r="616" spans="1:10" x14ac:dyDescent="0.2">
      <c r="A616" s="36">
        <v>44840</v>
      </c>
      <c r="B616" s="37">
        <v>13.13</v>
      </c>
      <c r="C616" s="38">
        <v>-7.8999999999998793E-2</v>
      </c>
      <c r="D616" s="39">
        <v>-5.9807706866529496E-3</v>
      </c>
      <c r="E616" s="37">
        <v>13.22</v>
      </c>
      <c r="F616" s="37">
        <v>13.103</v>
      </c>
      <c r="G616" s="37">
        <v>13.656000000000001</v>
      </c>
      <c r="H616" s="7">
        <v>644156890</v>
      </c>
      <c r="I616" s="37">
        <v>8564352559</v>
      </c>
      <c r="J616" s="37">
        <v>77709236292.554596</v>
      </c>
    </row>
    <row r="617" spans="1:10" x14ac:dyDescent="0.2">
      <c r="A617" s="36">
        <v>44839</v>
      </c>
      <c r="B617" s="37">
        <v>13.209</v>
      </c>
      <c r="C617" s="38">
        <v>4.1999999999999801E-2</v>
      </c>
      <c r="D617" s="39">
        <v>3.1897926634768601E-3</v>
      </c>
      <c r="E617" s="37">
        <v>12.9107</v>
      </c>
      <c r="F617" s="37">
        <v>12.621</v>
      </c>
      <c r="G617" s="37">
        <v>13.321</v>
      </c>
      <c r="H617" s="7">
        <v>507130730</v>
      </c>
      <c r="I617" s="37">
        <v>6579156659</v>
      </c>
      <c r="J617" s="37">
        <v>86273588851.554596</v>
      </c>
    </row>
    <row r="618" spans="1:10" x14ac:dyDescent="0.2">
      <c r="A618" s="36">
        <v>44838</v>
      </c>
      <c r="B618" s="37">
        <v>13.167</v>
      </c>
      <c r="C618" s="38">
        <v>0.65499999999999903</v>
      </c>
      <c r="D618" s="39">
        <v>5.2349744245524202E-2</v>
      </c>
      <c r="E618" s="37">
        <v>12.879</v>
      </c>
      <c r="F618" s="37">
        <v>12.879</v>
      </c>
      <c r="G618" s="37">
        <v>13.22</v>
      </c>
      <c r="H618" s="7">
        <v>584181670</v>
      </c>
      <c r="I618" s="37">
        <v>7636437363</v>
      </c>
      <c r="J618" s="37">
        <v>79694432192.554596</v>
      </c>
    </row>
    <row r="619" spans="1:10" x14ac:dyDescent="0.2">
      <c r="A619" s="36">
        <v>44837</v>
      </c>
      <c r="B619" s="37">
        <v>12.512</v>
      </c>
      <c r="C619" s="38">
        <v>0.373000000000001</v>
      </c>
      <c r="D619" s="39">
        <v>3.07274075294506E-2</v>
      </c>
      <c r="E619" s="37">
        <v>12.347</v>
      </c>
      <c r="F619" s="37">
        <v>12.105</v>
      </c>
      <c r="G619" s="37">
        <v>12.678000000000001</v>
      </c>
      <c r="H619" s="7">
        <v>547478470</v>
      </c>
      <c r="I619" s="37">
        <v>6833807335</v>
      </c>
      <c r="J619" s="37">
        <v>72057994829.554596</v>
      </c>
    </row>
    <row r="620" spans="1:10" x14ac:dyDescent="0.2">
      <c r="A620" s="36">
        <v>44834</v>
      </c>
      <c r="B620" s="37">
        <v>12.138999999999999</v>
      </c>
      <c r="C620" s="38">
        <v>-8.1000000000001293E-2</v>
      </c>
      <c r="D620" s="39">
        <v>-6.6284779050737597E-3</v>
      </c>
      <c r="E620" s="37">
        <v>12.087</v>
      </c>
      <c r="F620" s="37">
        <v>12.074999999999999</v>
      </c>
      <c r="G620" s="37">
        <v>12.632999999999999</v>
      </c>
      <c r="H620" s="7">
        <v>565638420</v>
      </c>
      <c r="I620" s="37">
        <v>6986305869</v>
      </c>
      <c r="J620" s="37">
        <v>65224187494.554604</v>
      </c>
    </row>
    <row r="621" spans="1:10" x14ac:dyDescent="0.2">
      <c r="A621" s="36">
        <v>44833</v>
      </c>
      <c r="B621" s="37">
        <v>12.22</v>
      </c>
      <c r="C621" s="38">
        <v>-0.51600000000000001</v>
      </c>
      <c r="D621" s="39">
        <v>-4.0515075376884403E-2</v>
      </c>
      <c r="E621" s="37">
        <v>12.448</v>
      </c>
      <c r="F621" s="37">
        <v>11.946009999999999</v>
      </c>
      <c r="G621" s="37">
        <v>12.5</v>
      </c>
      <c r="H621" s="7">
        <v>532763120</v>
      </c>
      <c r="I621" s="37">
        <v>6482908701</v>
      </c>
      <c r="J621" s="37">
        <v>72210493363.554596</v>
      </c>
    </row>
    <row r="622" spans="1:10" x14ac:dyDescent="0.2">
      <c r="A622" s="36">
        <v>44832</v>
      </c>
      <c r="B622" s="37">
        <v>12.736000000000001</v>
      </c>
      <c r="C622" s="38">
        <v>0.32300000000000001</v>
      </c>
      <c r="D622" s="39">
        <v>2.60211069040522E-2</v>
      </c>
      <c r="E622" s="37">
        <v>12.41</v>
      </c>
      <c r="F622" s="37">
        <v>12.353859999999999</v>
      </c>
      <c r="G622" s="37">
        <v>12.823</v>
      </c>
      <c r="H622" s="7">
        <v>542413880</v>
      </c>
      <c r="I622" s="37">
        <v>6850463637</v>
      </c>
      <c r="J622" s="37">
        <v>78693402064.554596</v>
      </c>
    </row>
    <row r="623" spans="1:10" x14ac:dyDescent="0.2">
      <c r="A623" s="36">
        <v>44831</v>
      </c>
      <c r="B623" s="37">
        <v>12.413</v>
      </c>
      <c r="C623" s="38">
        <v>0.185</v>
      </c>
      <c r="D623" s="39">
        <v>1.5129211645403999E-2</v>
      </c>
      <c r="E623" s="37">
        <v>12.507</v>
      </c>
      <c r="F623" s="37">
        <v>12.257999999999999</v>
      </c>
      <c r="G623" s="37">
        <v>12.736000000000001</v>
      </c>
      <c r="H623" s="7">
        <v>553854060</v>
      </c>
      <c r="I623" s="37">
        <v>6914583442</v>
      </c>
      <c r="J623" s="37">
        <v>71842938427.554596</v>
      </c>
    </row>
    <row r="624" spans="1:10" x14ac:dyDescent="0.2">
      <c r="A624" s="36">
        <v>44830</v>
      </c>
      <c r="B624" s="37">
        <v>12.228</v>
      </c>
      <c r="C624" s="38">
        <v>-0.28799999999999998</v>
      </c>
      <c r="D624" s="39">
        <v>-2.3010546500479401E-2</v>
      </c>
      <c r="E624" s="37">
        <v>12.491</v>
      </c>
      <c r="F624" s="37">
        <v>12.214</v>
      </c>
      <c r="G624" s="37">
        <v>12.659000000000001</v>
      </c>
      <c r="H624" s="7">
        <v>547342690</v>
      </c>
      <c r="I624" s="37">
        <v>6779200245</v>
      </c>
      <c r="J624" s="37">
        <v>64928354985.554604</v>
      </c>
    </row>
    <row r="625" spans="1:10" x14ac:dyDescent="0.2">
      <c r="A625" s="36">
        <v>44827</v>
      </c>
      <c r="B625" s="37">
        <v>12.516</v>
      </c>
      <c r="C625" s="38">
        <v>-4.4999999999999901E-2</v>
      </c>
      <c r="D625" s="39">
        <v>-3.5825173155003501E-3</v>
      </c>
      <c r="E625" s="37">
        <v>12.42</v>
      </c>
      <c r="F625" s="37">
        <v>12.257</v>
      </c>
      <c r="G625" s="37">
        <v>12.611000000000001</v>
      </c>
      <c r="H625" s="7">
        <v>663309310</v>
      </c>
      <c r="I625" s="37">
        <v>8229912559</v>
      </c>
      <c r="J625" s="37">
        <v>71707555230.554596</v>
      </c>
    </row>
    <row r="626" spans="1:10" x14ac:dyDescent="0.2">
      <c r="A626" s="36">
        <v>44826</v>
      </c>
      <c r="B626" s="37">
        <v>12.561</v>
      </c>
      <c r="C626" s="38">
        <v>-0.69999999999999896</v>
      </c>
      <c r="D626" s="39">
        <v>-5.2786366035743902E-2</v>
      </c>
      <c r="E626" s="37">
        <v>13.07</v>
      </c>
      <c r="F626" s="37">
        <v>12.428000000000001</v>
      </c>
      <c r="G626" s="37">
        <v>13.14897</v>
      </c>
      <c r="H626" s="7">
        <v>759162160</v>
      </c>
      <c r="I626" s="37">
        <v>9622340359</v>
      </c>
      <c r="J626" s="37">
        <v>79937467789.554596</v>
      </c>
    </row>
    <row r="627" spans="1:10" x14ac:dyDescent="0.2">
      <c r="A627" s="36">
        <v>44825</v>
      </c>
      <c r="B627" s="37">
        <v>13.260999999999999</v>
      </c>
      <c r="C627" s="38">
        <v>8.4999999999999104E-2</v>
      </c>
      <c r="D627" s="39">
        <v>6.4511232544018698E-3</v>
      </c>
      <c r="E627" s="37">
        <v>13.212999999999999</v>
      </c>
      <c r="F627" s="37">
        <v>13.11</v>
      </c>
      <c r="G627" s="37">
        <v>14.031000000000001</v>
      </c>
      <c r="H627" s="7">
        <v>807679400</v>
      </c>
      <c r="I627" s="37">
        <v>10892206103</v>
      </c>
      <c r="J627" s="37">
        <v>89559808148.554596</v>
      </c>
    </row>
    <row r="628" spans="1:10" x14ac:dyDescent="0.2">
      <c r="A628" s="36">
        <v>44824</v>
      </c>
      <c r="B628" s="37">
        <v>13.176</v>
      </c>
      <c r="C628" s="38">
        <v>-0.20599999999999999</v>
      </c>
      <c r="D628" s="39">
        <v>-1.5393812584068099E-2</v>
      </c>
      <c r="E628" s="37">
        <v>13.214499999999999</v>
      </c>
      <c r="F628" s="37">
        <v>13.057</v>
      </c>
      <c r="G628" s="37">
        <v>13.482760000000001</v>
      </c>
      <c r="H628" s="7">
        <v>524817750</v>
      </c>
      <c r="I628" s="37">
        <v>6962286328</v>
      </c>
      <c r="J628" s="37">
        <v>78667602045.554596</v>
      </c>
    </row>
    <row r="629" spans="1:10" x14ac:dyDescent="0.2">
      <c r="A629" s="36">
        <v>44823</v>
      </c>
      <c r="B629" s="37">
        <v>13.382</v>
      </c>
      <c r="C629" s="38">
        <v>0.183999999999999</v>
      </c>
      <c r="D629" s="39">
        <v>1.39415062888316E-2</v>
      </c>
      <c r="E629" s="37">
        <v>13.012</v>
      </c>
      <c r="F629" s="37">
        <v>13.01</v>
      </c>
      <c r="G629" s="37">
        <v>13.462999999999999</v>
      </c>
      <c r="H629" s="7">
        <v>569685280</v>
      </c>
      <c r="I629" s="37">
        <v>7573043254</v>
      </c>
      <c r="J629" s="37">
        <v>85629888373.554596</v>
      </c>
    </row>
    <row r="630" spans="1:10" x14ac:dyDescent="0.2">
      <c r="A630" s="36">
        <v>44820</v>
      </c>
      <c r="B630" s="37">
        <v>13.198</v>
      </c>
      <c r="C630" s="38">
        <v>0.26900000000000002</v>
      </c>
      <c r="D630" s="39">
        <v>2.0805940134581199E-2</v>
      </c>
      <c r="E630" s="37">
        <v>12.7415</v>
      </c>
      <c r="F630" s="37">
        <v>12.617000000000001</v>
      </c>
      <c r="G630" s="37">
        <v>13.212</v>
      </c>
      <c r="H630" s="7">
        <v>670751400</v>
      </c>
      <c r="I630" s="37">
        <v>8701243216</v>
      </c>
      <c r="J630" s="37">
        <v>78056845119.554596</v>
      </c>
    </row>
    <row r="631" spans="1:10" x14ac:dyDescent="0.2">
      <c r="A631" s="36">
        <v>44819</v>
      </c>
      <c r="B631" s="37">
        <v>12.929</v>
      </c>
      <c r="C631" s="38">
        <v>-0.19900000000000001</v>
      </c>
      <c r="D631" s="39">
        <v>-1.5158439975624599E-2</v>
      </c>
      <c r="E631" s="37">
        <v>13.0152</v>
      </c>
      <c r="F631" s="37">
        <v>12.79</v>
      </c>
      <c r="G631" s="37">
        <v>13.232989999999999</v>
      </c>
      <c r="H631" s="7">
        <v>523625160</v>
      </c>
      <c r="I631" s="37">
        <v>6804884824</v>
      </c>
      <c r="J631" s="37">
        <v>69355601903.554596</v>
      </c>
    </row>
    <row r="632" spans="1:10" x14ac:dyDescent="0.2">
      <c r="A632" s="36">
        <v>44818</v>
      </c>
      <c r="B632" s="37">
        <v>13.128</v>
      </c>
      <c r="C632" s="38">
        <v>-3.0000000000001098E-3</v>
      </c>
      <c r="D632" s="39">
        <v>-2.2846698652045599E-4</v>
      </c>
      <c r="E632" s="37">
        <v>13.254</v>
      </c>
      <c r="F632" s="37">
        <v>12.913</v>
      </c>
      <c r="G632" s="37">
        <v>13.28999</v>
      </c>
      <c r="H632" s="7">
        <v>588506540</v>
      </c>
      <c r="I632" s="37">
        <v>7695532924</v>
      </c>
      <c r="J632" s="37">
        <v>76160486727.554596</v>
      </c>
    </row>
    <row r="633" spans="1:10" x14ac:dyDescent="0.2">
      <c r="A633" s="36">
        <v>44817</v>
      </c>
      <c r="B633" s="37">
        <v>13.131</v>
      </c>
      <c r="C633" s="38">
        <v>-1.3740000000000001</v>
      </c>
      <c r="D633" s="39">
        <v>-9.47259565667012E-2</v>
      </c>
      <c r="E633" s="37">
        <v>13.802</v>
      </c>
      <c r="F633" s="37">
        <v>13.099</v>
      </c>
      <c r="G633" s="37">
        <v>13.922000000000001</v>
      </c>
      <c r="H633" s="7">
        <v>714955630</v>
      </c>
      <c r="I633" s="37">
        <v>9606152451</v>
      </c>
      <c r="J633" s="37">
        <v>83856019651.554596</v>
      </c>
    </row>
    <row r="634" spans="1:10" x14ac:dyDescent="0.2">
      <c r="A634" s="36">
        <v>44816</v>
      </c>
      <c r="B634" s="37">
        <v>14.505000000000001</v>
      </c>
      <c r="C634" s="38">
        <v>0.11799999999999999</v>
      </c>
      <c r="D634" s="39">
        <v>8.2018488913602802E-3</v>
      </c>
      <c r="E634" s="37">
        <v>14.369</v>
      </c>
      <c r="F634" s="37">
        <v>14.198</v>
      </c>
      <c r="G634" s="37">
        <v>14.547000000000001</v>
      </c>
      <c r="H634" s="7">
        <v>484159240</v>
      </c>
      <c r="I634" s="37">
        <v>6963529432</v>
      </c>
      <c r="J634" s="37">
        <v>93462172102.554596</v>
      </c>
    </row>
    <row r="635" spans="1:10" x14ac:dyDescent="0.2">
      <c r="A635" s="36">
        <v>44813</v>
      </c>
      <c r="B635" s="37">
        <v>14.387</v>
      </c>
      <c r="C635" s="38">
        <v>0.39700000000000002</v>
      </c>
      <c r="D635" s="39">
        <v>2.8377412437455299E-2</v>
      </c>
      <c r="E635" s="37">
        <v>14.157</v>
      </c>
      <c r="F635" s="37">
        <v>14.125999999999999</v>
      </c>
      <c r="G635" s="37">
        <v>14.474</v>
      </c>
      <c r="H635" s="7">
        <v>487128420</v>
      </c>
      <c r="I635" s="37">
        <v>6986295983</v>
      </c>
      <c r="J635" s="37">
        <v>86498642670.554596</v>
      </c>
    </row>
    <row r="636" spans="1:10" x14ac:dyDescent="0.2">
      <c r="A636" s="36">
        <v>44812</v>
      </c>
      <c r="B636" s="37">
        <v>13.99</v>
      </c>
      <c r="C636" s="38">
        <v>0.27600000000000002</v>
      </c>
      <c r="D636" s="39">
        <v>2.0125419279568301E-2</v>
      </c>
      <c r="E636" s="37">
        <v>13.459</v>
      </c>
      <c r="F636" s="37">
        <v>13.369</v>
      </c>
      <c r="G636" s="37">
        <v>14.007999999999999</v>
      </c>
      <c r="H636" s="7">
        <v>624873120</v>
      </c>
      <c r="I636" s="37">
        <v>8611015987</v>
      </c>
      <c r="J636" s="37">
        <v>79512346687.554596</v>
      </c>
    </row>
    <row r="637" spans="1:10" x14ac:dyDescent="0.2">
      <c r="A637" s="36">
        <v>44811</v>
      </c>
      <c r="B637" s="37">
        <v>13.714</v>
      </c>
      <c r="C637" s="38">
        <v>0.249000000000001</v>
      </c>
      <c r="D637" s="39">
        <v>1.8492387671741599E-2</v>
      </c>
      <c r="E637" s="37">
        <v>13.563000000000001</v>
      </c>
      <c r="F637" s="37">
        <v>13.346</v>
      </c>
      <c r="G637" s="37">
        <v>13.837999999999999</v>
      </c>
      <c r="H637" s="7">
        <v>512657460</v>
      </c>
      <c r="I637" s="37">
        <v>6965849049</v>
      </c>
      <c r="J637" s="37">
        <v>70901330700.554596</v>
      </c>
    </row>
    <row r="638" spans="1:10" x14ac:dyDescent="0.2">
      <c r="A638" s="36">
        <v>44810</v>
      </c>
      <c r="B638" s="37">
        <v>13.465</v>
      </c>
      <c r="C638" s="38">
        <v>-0.182</v>
      </c>
      <c r="D638" s="39">
        <v>-1.3336264380449899E-2</v>
      </c>
      <c r="E638" s="37">
        <v>13.731</v>
      </c>
      <c r="F638" s="37">
        <v>13.351000000000001</v>
      </c>
      <c r="G638" s="37">
        <v>13.779</v>
      </c>
      <c r="H638" s="7">
        <v>535751180</v>
      </c>
      <c r="I638" s="37">
        <v>7261010057</v>
      </c>
      <c r="J638" s="37">
        <v>63935481651.554604</v>
      </c>
    </row>
    <row r="639" spans="1:10" x14ac:dyDescent="0.2">
      <c r="A639" s="36">
        <v>44806</v>
      </c>
      <c r="B639" s="37">
        <v>13.647</v>
      </c>
      <c r="C639" s="38">
        <v>-0.28999999999999898</v>
      </c>
      <c r="D639" s="39">
        <v>-2.0807921360407499E-2</v>
      </c>
      <c r="E639" s="37">
        <v>14.1</v>
      </c>
      <c r="F639" s="37">
        <v>13.590999999999999</v>
      </c>
      <c r="G639" s="37">
        <v>14.170999999999999</v>
      </c>
      <c r="H639" s="7">
        <v>743157460</v>
      </c>
      <c r="I639" s="37">
        <v>10287289063</v>
      </c>
      <c r="J639" s="37">
        <v>71196491708.554596</v>
      </c>
    </row>
    <row r="640" spans="1:10" x14ac:dyDescent="0.2">
      <c r="A640" s="36">
        <v>44805</v>
      </c>
      <c r="B640" s="37">
        <v>13.936999999999999</v>
      </c>
      <c r="C640" s="38">
        <v>-1.157</v>
      </c>
      <c r="D640" s="39">
        <v>-7.6652974691930595E-2</v>
      </c>
      <c r="E640" s="37">
        <v>14.209</v>
      </c>
      <c r="F640" s="37">
        <v>13.270210000000001</v>
      </c>
      <c r="G640" s="37">
        <v>14.38</v>
      </c>
      <c r="H640" s="7">
        <v>1178865140</v>
      </c>
      <c r="I640" s="37">
        <v>16163954428</v>
      </c>
      <c r="J640" s="37">
        <v>81483780771.554596</v>
      </c>
    </row>
    <row r="641" spans="1:10" x14ac:dyDescent="0.2">
      <c r="A641" s="36">
        <v>44804</v>
      </c>
      <c r="B641" s="37">
        <v>15.093999999999999</v>
      </c>
      <c r="C641" s="38">
        <v>-0.374000000000001</v>
      </c>
      <c r="D641" s="39">
        <v>-2.41789500905095E-2</v>
      </c>
      <c r="E641" s="37">
        <v>15.384</v>
      </c>
      <c r="F641" s="37">
        <v>14.95851</v>
      </c>
      <c r="G641" s="37">
        <v>15.54</v>
      </c>
      <c r="H641" s="7">
        <v>573709860</v>
      </c>
      <c r="I641" s="37">
        <v>8679509430</v>
      </c>
      <c r="J641" s="37">
        <v>97647735199.554596</v>
      </c>
    </row>
    <row r="642" spans="1:10" x14ac:dyDescent="0.2">
      <c r="A642" s="36">
        <v>44803</v>
      </c>
      <c r="B642" s="37">
        <v>15.468</v>
      </c>
      <c r="C642" s="38">
        <v>-0.33300000000000002</v>
      </c>
      <c r="D642" s="39">
        <v>-2.1074615530662599E-2</v>
      </c>
      <c r="E642" s="37">
        <v>15.96</v>
      </c>
      <c r="F642" s="37">
        <v>15.182</v>
      </c>
      <c r="G642" s="37">
        <v>16.039000000000001</v>
      </c>
      <c r="H642" s="7">
        <v>530180690</v>
      </c>
      <c r="I642" s="37">
        <v>8207913808</v>
      </c>
      <c r="J642" s="37">
        <v>106327244629.55499</v>
      </c>
    </row>
    <row r="643" spans="1:10" x14ac:dyDescent="0.2">
      <c r="A643" s="36">
        <v>44802</v>
      </c>
      <c r="B643" s="37">
        <v>15.801</v>
      </c>
      <c r="C643" s="38">
        <v>-0.45900000000000102</v>
      </c>
      <c r="D643" s="39">
        <v>-2.8228782287822999E-2</v>
      </c>
      <c r="E643" s="37">
        <v>16.02</v>
      </c>
      <c r="F643" s="37">
        <v>15.766999999999999</v>
      </c>
      <c r="G643" s="37">
        <v>16.338000000000001</v>
      </c>
      <c r="H643" s="7">
        <v>496131940</v>
      </c>
      <c r="I643" s="37">
        <v>7922239916</v>
      </c>
      <c r="J643" s="37">
        <v>114535158437.55499</v>
      </c>
    </row>
    <row r="644" spans="1:10" x14ac:dyDescent="0.2">
      <c r="A644" s="36">
        <v>44799</v>
      </c>
      <c r="B644" s="37">
        <v>16.260000000000002</v>
      </c>
      <c r="C644" s="38">
        <v>-1.653</v>
      </c>
      <c r="D644" s="39">
        <v>-9.2279350192597503E-2</v>
      </c>
      <c r="E644" s="37">
        <v>17.856999999999999</v>
      </c>
      <c r="F644" s="37">
        <v>16.236999999999998</v>
      </c>
      <c r="G644" s="37">
        <v>17.923999999999999</v>
      </c>
      <c r="H644" s="7">
        <v>769127430</v>
      </c>
      <c r="I644" s="37">
        <v>12993581659</v>
      </c>
      <c r="J644" s="37">
        <v>122457398353.55499</v>
      </c>
    </row>
    <row r="645" spans="1:10" x14ac:dyDescent="0.2">
      <c r="A645" s="36">
        <v>44798</v>
      </c>
      <c r="B645" s="37">
        <v>17.913</v>
      </c>
      <c r="C645" s="38">
        <v>0.69099999999999895</v>
      </c>
      <c r="D645" s="39">
        <v>4.0123098362559499E-2</v>
      </c>
      <c r="E645" s="37">
        <v>16.844000000000001</v>
      </c>
      <c r="F645" s="37">
        <v>16.832999999999998</v>
      </c>
      <c r="G645" s="37">
        <v>17.946999999999999</v>
      </c>
      <c r="H645" s="7">
        <v>770691330</v>
      </c>
      <c r="I645" s="37">
        <v>13519744924</v>
      </c>
      <c r="J645" s="37">
        <v>135450980012.55499</v>
      </c>
    </row>
    <row r="646" spans="1:10" x14ac:dyDescent="0.2">
      <c r="A646" s="36">
        <v>44797</v>
      </c>
      <c r="B646" s="37">
        <v>17.222000000000001</v>
      </c>
      <c r="C646" s="38">
        <v>4.1000000000000397E-2</v>
      </c>
      <c r="D646" s="39">
        <v>2.38635702229209E-3</v>
      </c>
      <c r="E646" s="37">
        <v>17.012</v>
      </c>
      <c r="F646" s="37">
        <v>16.895</v>
      </c>
      <c r="G646" s="37">
        <v>17.405999999999999</v>
      </c>
      <c r="H646" s="7">
        <v>522660710</v>
      </c>
      <c r="I646" s="37">
        <v>8958274851</v>
      </c>
      <c r="J646" s="37">
        <v>121931235088.55499</v>
      </c>
    </row>
    <row r="647" spans="1:10" x14ac:dyDescent="0.2">
      <c r="A647" s="36">
        <v>44796</v>
      </c>
      <c r="B647" s="37">
        <v>17.181000000000001</v>
      </c>
      <c r="C647" s="38">
        <v>0.14700000000000199</v>
      </c>
      <c r="D647" s="39">
        <v>8.6297992250793706E-3</v>
      </c>
      <c r="E647" s="37">
        <v>16.988499999999998</v>
      </c>
      <c r="F647" s="37">
        <v>16.97</v>
      </c>
      <c r="G647" s="37">
        <v>17.465</v>
      </c>
      <c r="H647" s="7">
        <v>369985770</v>
      </c>
      <c r="I647" s="37">
        <v>6376795651</v>
      </c>
      <c r="J647" s="37">
        <v>112972960237.55499</v>
      </c>
    </row>
    <row r="648" spans="1:10" x14ac:dyDescent="0.2">
      <c r="A648" s="36">
        <v>44795</v>
      </c>
      <c r="B648" s="37">
        <v>17.033999999999999</v>
      </c>
      <c r="C648" s="38">
        <v>-0.81500000000000095</v>
      </c>
      <c r="D648" s="39">
        <v>-4.5660821334528597E-2</v>
      </c>
      <c r="E648" s="37">
        <v>17.489999999999998</v>
      </c>
      <c r="F648" s="37">
        <v>16.966000000000001</v>
      </c>
      <c r="G648" s="37">
        <v>17.558</v>
      </c>
      <c r="H648" s="7">
        <v>409592710</v>
      </c>
      <c r="I648" s="37">
        <v>7043844959</v>
      </c>
      <c r="J648" s="37">
        <v>106596164586.55499</v>
      </c>
    </row>
    <row r="649" spans="1:10" x14ac:dyDescent="0.2">
      <c r="A649" s="36">
        <v>44792</v>
      </c>
      <c r="B649" s="37">
        <v>17.849</v>
      </c>
      <c r="C649" s="38">
        <v>-0.92399999999999904</v>
      </c>
      <c r="D649" s="39">
        <v>-4.9219623927981598E-2</v>
      </c>
      <c r="E649" s="37">
        <v>18.405999999999999</v>
      </c>
      <c r="F649" s="37">
        <v>17.77</v>
      </c>
      <c r="G649" s="37">
        <v>18.52</v>
      </c>
      <c r="H649" s="7">
        <v>441588330</v>
      </c>
      <c r="I649" s="37">
        <v>7946785257</v>
      </c>
      <c r="J649" s="37">
        <v>113640009545.55499</v>
      </c>
    </row>
    <row r="650" spans="1:10" x14ac:dyDescent="0.2">
      <c r="A650" s="36">
        <v>44791</v>
      </c>
      <c r="B650" s="37">
        <v>18.773</v>
      </c>
      <c r="C650" s="38">
        <v>0.437999999999999</v>
      </c>
      <c r="D650" s="39">
        <v>2.3888737387510201E-2</v>
      </c>
      <c r="E650" s="37">
        <v>18.300999999999998</v>
      </c>
      <c r="F650" s="37">
        <v>18.183</v>
      </c>
      <c r="G650" s="37">
        <v>18.864989999999999</v>
      </c>
      <c r="H650" s="7">
        <v>415446560</v>
      </c>
      <c r="I650" s="37">
        <v>7746695945</v>
      </c>
      <c r="J650" s="37">
        <v>121586794802.55499</v>
      </c>
    </row>
    <row r="651" spans="1:10" x14ac:dyDescent="0.2">
      <c r="A651" s="36">
        <v>44790</v>
      </c>
      <c r="B651" s="37">
        <v>18.335000000000001</v>
      </c>
      <c r="C651" s="38">
        <v>-0.54400000000000004</v>
      </c>
      <c r="D651" s="39">
        <v>-2.88150855447852E-2</v>
      </c>
      <c r="E651" s="37">
        <v>18.523</v>
      </c>
      <c r="F651" s="37">
        <v>18.145</v>
      </c>
      <c r="G651" s="37">
        <v>18.687999999999999</v>
      </c>
      <c r="H651" s="7">
        <v>446799110</v>
      </c>
      <c r="I651" s="37">
        <v>8198835364</v>
      </c>
      <c r="J651" s="37">
        <v>113840098857.55499</v>
      </c>
    </row>
    <row r="652" spans="1:10" x14ac:dyDescent="0.2">
      <c r="A652" s="36">
        <v>44789</v>
      </c>
      <c r="B652" s="37">
        <v>18.879000000000001</v>
      </c>
      <c r="C652" s="38">
        <v>-0.152999999999999</v>
      </c>
      <c r="D652" s="39">
        <v>-8.0390920554854299E-3</v>
      </c>
      <c r="E652" s="37">
        <v>18.919499999999999</v>
      </c>
      <c r="F652" s="37">
        <v>18.501000000000001</v>
      </c>
      <c r="G652" s="37">
        <v>19.141999999999999</v>
      </c>
      <c r="H652" s="7">
        <v>451239640</v>
      </c>
      <c r="I652" s="37">
        <v>8502372140</v>
      </c>
      <c r="J652" s="37">
        <v>122038934221.55499</v>
      </c>
    </row>
    <row r="653" spans="1:10" x14ac:dyDescent="0.2">
      <c r="A653" s="36">
        <v>44788</v>
      </c>
      <c r="B653" s="37">
        <v>19.032</v>
      </c>
      <c r="C653" s="38">
        <v>0.32300000000000001</v>
      </c>
      <c r="D653" s="39">
        <v>1.7264418194451899E-2</v>
      </c>
      <c r="E653" s="37">
        <v>18.701000000000001</v>
      </c>
      <c r="F653" s="37">
        <v>18.613</v>
      </c>
      <c r="G653" s="37">
        <v>19.164000000000001</v>
      </c>
      <c r="H653" s="7">
        <v>457665560</v>
      </c>
      <c r="I653" s="37">
        <v>8635540612</v>
      </c>
      <c r="J653" s="37">
        <v>130541306361.55499</v>
      </c>
    </row>
    <row r="654" spans="1:10" x14ac:dyDescent="0.2">
      <c r="A654" s="36">
        <v>44785</v>
      </c>
      <c r="B654" s="37">
        <v>18.709</v>
      </c>
      <c r="C654" s="38">
        <v>0.76699999999999902</v>
      </c>
      <c r="D654" s="39">
        <v>4.2748857429495003E-2</v>
      </c>
      <c r="E654" s="37">
        <v>18.16</v>
      </c>
      <c r="F654" s="37">
        <v>17.952999999999999</v>
      </c>
      <c r="G654" s="37">
        <v>18.718</v>
      </c>
      <c r="H654" s="7">
        <v>478094150</v>
      </c>
      <c r="I654" s="37">
        <v>8826578966</v>
      </c>
      <c r="J654" s="37">
        <v>121905765749.55499</v>
      </c>
    </row>
    <row r="655" spans="1:10" x14ac:dyDescent="0.2">
      <c r="A655" s="36">
        <v>44784</v>
      </c>
      <c r="B655" s="37">
        <v>17.942</v>
      </c>
      <c r="C655" s="38">
        <v>-0.155000000000001</v>
      </c>
      <c r="D655" s="39">
        <v>-8.5649555174891496E-3</v>
      </c>
      <c r="E655" s="37">
        <v>18.131</v>
      </c>
      <c r="F655" s="37">
        <v>17.876000000000001</v>
      </c>
      <c r="G655" s="37">
        <v>18.707000000000001</v>
      </c>
      <c r="H655" s="7">
        <v>509326550</v>
      </c>
      <c r="I655" s="37">
        <v>9291058672</v>
      </c>
      <c r="J655" s="37">
        <v>113079186783.55499</v>
      </c>
    </row>
    <row r="656" spans="1:10" x14ac:dyDescent="0.2">
      <c r="A656" s="36">
        <v>44783</v>
      </c>
      <c r="B656" s="37">
        <v>18.097000000000001</v>
      </c>
      <c r="C656" s="38">
        <v>1.0109999999999999</v>
      </c>
      <c r="D656" s="39">
        <v>5.9171251316867797E-2</v>
      </c>
      <c r="E656" s="37">
        <v>17.698</v>
      </c>
      <c r="F656" s="37">
        <v>17.31701</v>
      </c>
      <c r="G656" s="37">
        <v>18.117999999999999</v>
      </c>
      <c r="H656" s="7">
        <v>597422460</v>
      </c>
      <c r="I656" s="37">
        <v>10633454810</v>
      </c>
      <c r="J656" s="37">
        <v>122370245455.55499</v>
      </c>
    </row>
    <row r="657" spans="1:10" x14ac:dyDescent="0.2">
      <c r="A657" s="36">
        <v>44782</v>
      </c>
      <c r="B657" s="37">
        <v>17.085999999999999</v>
      </c>
      <c r="C657" s="38">
        <v>-0.70700000000000096</v>
      </c>
      <c r="D657" s="39">
        <v>-3.9734727139886503E-2</v>
      </c>
      <c r="E657" s="37">
        <v>17.251999999999999</v>
      </c>
      <c r="F657" s="37">
        <v>16.724</v>
      </c>
      <c r="G657" s="37">
        <v>17.447189999999999</v>
      </c>
      <c r="H657" s="7">
        <v>668262650</v>
      </c>
      <c r="I657" s="37">
        <v>11396523372</v>
      </c>
      <c r="J657" s="37">
        <v>111736790645.55499</v>
      </c>
    </row>
    <row r="658" spans="1:10" x14ac:dyDescent="0.2">
      <c r="A658" s="36">
        <v>44781</v>
      </c>
      <c r="B658" s="37">
        <v>17.792999999999999</v>
      </c>
      <c r="C658" s="38">
        <v>-1.196</v>
      </c>
      <c r="D658" s="39">
        <v>-6.2983832745273693E-2</v>
      </c>
      <c r="E658" s="37">
        <v>17.501999999999999</v>
      </c>
      <c r="F658" s="37">
        <v>17.242000000000001</v>
      </c>
      <c r="G658" s="37">
        <v>18.239000000000001</v>
      </c>
      <c r="H658" s="7">
        <v>983783180</v>
      </c>
      <c r="I658" s="37">
        <v>17387801667</v>
      </c>
      <c r="J658" s="37">
        <v>123133314017.55499</v>
      </c>
    </row>
    <row r="659" spans="1:10" x14ac:dyDescent="0.2">
      <c r="A659" s="36">
        <v>44778</v>
      </c>
      <c r="B659" s="37">
        <v>18.989000000000001</v>
      </c>
      <c r="C659" s="38">
        <v>-0.22599999999999901</v>
      </c>
      <c r="D659" s="39">
        <v>-1.1761644548529701E-2</v>
      </c>
      <c r="E659" s="37">
        <v>18.809999999999999</v>
      </c>
      <c r="F659" s="37">
        <v>18.666</v>
      </c>
      <c r="G659" s="37">
        <v>19.228919999999999</v>
      </c>
      <c r="H659" s="7">
        <v>386068290</v>
      </c>
      <c r="I659" s="37">
        <v>7309149217</v>
      </c>
      <c r="J659" s="37">
        <v>140521115684.55499</v>
      </c>
    </row>
    <row r="660" spans="1:10" x14ac:dyDescent="0.2">
      <c r="A660" s="36">
        <v>44777</v>
      </c>
      <c r="B660" s="37">
        <v>19.215</v>
      </c>
      <c r="C660" s="38">
        <v>0.32199999999999901</v>
      </c>
      <c r="D660" s="39">
        <v>1.70433493886624E-2</v>
      </c>
      <c r="E660" s="37">
        <v>18.849</v>
      </c>
      <c r="F660" s="37">
        <v>18.760000000000002</v>
      </c>
      <c r="G660" s="37">
        <v>19.274000000000001</v>
      </c>
      <c r="H660" s="7">
        <v>409652270</v>
      </c>
      <c r="I660" s="37">
        <v>7800804488</v>
      </c>
      <c r="J660" s="37">
        <v>147830264901.55499</v>
      </c>
    </row>
    <row r="661" spans="1:10" x14ac:dyDescent="0.2">
      <c r="A661" s="36">
        <v>44776</v>
      </c>
      <c r="B661" s="37">
        <v>18.893000000000001</v>
      </c>
      <c r="C661" s="38">
        <v>0.36700000000000099</v>
      </c>
      <c r="D661" s="39">
        <v>1.9809996761308499E-2</v>
      </c>
      <c r="E661" s="37">
        <v>18.184000000000001</v>
      </c>
      <c r="F661" s="37">
        <v>18.137</v>
      </c>
      <c r="G661" s="37">
        <v>18.968</v>
      </c>
      <c r="H661" s="7">
        <v>418145570</v>
      </c>
      <c r="I661" s="37">
        <v>7785388835</v>
      </c>
      <c r="J661" s="37">
        <v>140029460413.55499</v>
      </c>
    </row>
    <row r="662" spans="1:10" x14ac:dyDescent="0.2">
      <c r="A662" s="36">
        <v>44775</v>
      </c>
      <c r="B662" s="37">
        <v>18.526</v>
      </c>
      <c r="C662" s="38">
        <v>8.5000000000000894E-2</v>
      </c>
      <c r="D662" s="39">
        <v>4.6092945068055297E-3</v>
      </c>
      <c r="E662" s="37">
        <v>18.122</v>
      </c>
      <c r="F662" s="37">
        <v>18.091999999999999</v>
      </c>
      <c r="G662" s="37">
        <v>18.937529999999999</v>
      </c>
      <c r="H662" s="7">
        <v>489526920</v>
      </c>
      <c r="I662" s="37">
        <v>9072317654</v>
      </c>
      <c r="J662" s="37">
        <v>132244071578.55499</v>
      </c>
    </row>
    <row r="663" spans="1:10" x14ac:dyDescent="0.2">
      <c r="A663" s="36">
        <v>44774</v>
      </c>
      <c r="B663" s="37">
        <v>18.440999999999999</v>
      </c>
      <c r="C663" s="38">
        <v>0.27799999999999903</v>
      </c>
      <c r="D663" s="39">
        <v>1.5305841545999999E-2</v>
      </c>
      <c r="E663" s="37">
        <v>18.181999999999999</v>
      </c>
      <c r="F663" s="37">
        <v>17.989999999999998</v>
      </c>
      <c r="G663" s="37">
        <v>18.846</v>
      </c>
      <c r="H663" s="7">
        <v>476469040</v>
      </c>
      <c r="I663" s="37">
        <v>8806409309</v>
      </c>
      <c r="J663" s="37">
        <v>123171753924.55499</v>
      </c>
    </row>
    <row r="664" spans="1:10" x14ac:dyDescent="0.2">
      <c r="A664" s="36">
        <v>44771</v>
      </c>
      <c r="B664" s="37">
        <v>18.163</v>
      </c>
      <c r="C664" s="38">
        <v>0.17899999999999799</v>
      </c>
      <c r="D664" s="39">
        <v>9.9532918149465403E-3</v>
      </c>
      <c r="E664" s="37">
        <v>17.812999999999999</v>
      </c>
      <c r="F664" s="37">
        <v>17.692</v>
      </c>
      <c r="G664" s="37">
        <v>18.244</v>
      </c>
      <c r="H664" s="7">
        <v>435460420</v>
      </c>
      <c r="I664" s="37">
        <v>7847520620</v>
      </c>
      <c r="J664" s="37">
        <v>114365344615.55499</v>
      </c>
    </row>
    <row r="665" spans="1:10" x14ac:dyDescent="0.2">
      <c r="A665" s="36">
        <v>44770</v>
      </c>
      <c r="B665" s="37">
        <v>17.984000000000002</v>
      </c>
      <c r="C665" s="38">
        <v>0.194000000000003</v>
      </c>
      <c r="D665" s="39">
        <v>1.09050028105679E-2</v>
      </c>
      <c r="E665" s="37">
        <v>17.975000000000001</v>
      </c>
      <c r="F665" s="37">
        <v>17.440000000000001</v>
      </c>
      <c r="G665" s="37">
        <v>18.14</v>
      </c>
      <c r="H665" s="7">
        <v>474646280</v>
      </c>
      <c r="I665" s="37">
        <v>8469127515</v>
      </c>
      <c r="J665" s="37">
        <v>106517823995.55499</v>
      </c>
    </row>
    <row r="666" spans="1:10" x14ac:dyDescent="0.2">
      <c r="A666" s="36">
        <v>44769</v>
      </c>
      <c r="B666" s="37">
        <v>17.79</v>
      </c>
      <c r="C666" s="38">
        <v>1.2569999999999999</v>
      </c>
      <c r="D666" s="39">
        <v>7.6029758664489105E-2</v>
      </c>
      <c r="E666" s="37">
        <v>17.032</v>
      </c>
      <c r="F666" s="37">
        <v>16.91301</v>
      </c>
      <c r="G666" s="37">
        <v>17.936</v>
      </c>
      <c r="H666" s="7">
        <v>569776230</v>
      </c>
      <c r="I666" s="37">
        <v>9970919701</v>
      </c>
      <c r="J666" s="37">
        <v>98048696480.554596</v>
      </c>
    </row>
    <row r="667" spans="1:10" x14ac:dyDescent="0.2">
      <c r="A667" s="36">
        <v>44768</v>
      </c>
      <c r="B667" s="37">
        <v>16.533000000000001</v>
      </c>
      <c r="C667" s="38">
        <v>-0.49099999999999999</v>
      </c>
      <c r="D667" s="39">
        <v>-2.88416353383458E-2</v>
      </c>
      <c r="E667" s="37">
        <v>16.888999999999999</v>
      </c>
      <c r="F667" s="37">
        <v>16.478000000000002</v>
      </c>
      <c r="G667" s="37">
        <v>16.919</v>
      </c>
      <c r="H667" s="7">
        <v>397864910</v>
      </c>
      <c r="I667" s="37">
        <v>6624250560</v>
      </c>
      <c r="J667" s="37">
        <v>88077776779.554596</v>
      </c>
    </row>
    <row r="668" spans="1:10" x14ac:dyDescent="0.2">
      <c r="A668" s="36">
        <v>44767</v>
      </c>
      <c r="B668" s="37">
        <v>17.024000000000001</v>
      </c>
      <c r="C668" s="38">
        <v>-0.29499999999999799</v>
      </c>
      <c r="D668" s="39">
        <v>-1.7033316011316899E-2</v>
      </c>
      <c r="E668" s="37">
        <v>17.018999999999998</v>
      </c>
      <c r="F668" s="37">
        <v>16.649000000000001</v>
      </c>
      <c r="G668" s="37">
        <v>17.123999999999999</v>
      </c>
      <c r="H668" s="7">
        <v>480747510</v>
      </c>
      <c r="I668" s="37">
        <v>8112766618</v>
      </c>
      <c r="J668" s="37">
        <v>94702027339.554596</v>
      </c>
    </row>
    <row r="669" spans="1:10" x14ac:dyDescent="0.2">
      <c r="A669" s="36">
        <v>44764</v>
      </c>
      <c r="B669" s="37">
        <v>17.318999999999999</v>
      </c>
      <c r="C669" s="38">
        <v>-0.73100000000000198</v>
      </c>
      <c r="D669" s="39">
        <v>-4.0498614958448802E-2</v>
      </c>
      <c r="E669" s="37">
        <v>17.893000000000001</v>
      </c>
      <c r="F669" s="37">
        <v>17.136500000000002</v>
      </c>
      <c r="G669" s="37">
        <v>17.966999999999999</v>
      </c>
      <c r="H669" s="7">
        <v>536670880</v>
      </c>
      <c r="I669" s="37">
        <v>9346388755</v>
      </c>
      <c r="J669" s="37">
        <v>102814793957.55499</v>
      </c>
    </row>
    <row r="670" spans="1:10" x14ac:dyDescent="0.2">
      <c r="A670" s="36">
        <v>44763</v>
      </c>
      <c r="B670" s="37">
        <v>18.05</v>
      </c>
      <c r="C670" s="38">
        <v>0.24300000000000199</v>
      </c>
      <c r="D670" s="39">
        <v>1.3646318863368499E-2</v>
      </c>
      <c r="E670" s="37">
        <v>17.885000000000002</v>
      </c>
      <c r="F670" s="37">
        <v>17.544560000000001</v>
      </c>
      <c r="G670" s="37">
        <v>18.143999999999998</v>
      </c>
      <c r="H670" s="7">
        <v>557049280</v>
      </c>
      <c r="I670" s="37">
        <v>9971524213</v>
      </c>
      <c r="J670" s="37">
        <v>112161182712.55499</v>
      </c>
    </row>
    <row r="671" spans="1:10" x14ac:dyDescent="0.2">
      <c r="A671" s="36">
        <v>44762</v>
      </c>
      <c r="B671" s="37">
        <v>17.806999999999999</v>
      </c>
      <c r="C671" s="38">
        <v>0.81499999999999795</v>
      </c>
      <c r="D671" s="39">
        <v>4.7963747645950898E-2</v>
      </c>
      <c r="E671" s="37">
        <v>16.946999999999999</v>
      </c>
      <c r="F671" s="37">
        <v>16.800999999999998</v>
      </c>
      <c r="G671" s="37">
        <v>17.932500000000001</v>
      </c>
      <c r="H671" s="7">
        <v>760537790</v>
      </c>
      <c r="I671" s="37">
        <v>13378892696</v>
      </c>
      <c r="J671" s="37">
        <v>102189658499.55499</v>
      </c>
    </row>
    <row r="672" spans="1:10" x14ac:dyDescent="0.2">
      <c r="A672" s="36">
        <v>44761</v>
      </c>
      <c r="B672" s="37">
        <v>16.992000000000001</v>
      </c>
      <c r="C672" s="38">
        <v>0.89100000000000201</v>
      </c>
      <c r="D672" s="39">
        <v>5.5338177752934703E-2</v>
      </c>
      <c r="E672" s="37">
        <v>16.486000000000001</v>
      </c>
      <c r="F672" s="37">
        <v>16.17201</v>
      </c>
      <c r="G672" s="37">
        <v>17.11</v>
      </c>
      <c r="H672" s="7">
        <v>702366080</v>
      </c>
      <c r="I672" s="37">
        <v>11753755380</v>
      </c>
      <c r="J672" s="37">
        <v>88810765803.554596</v>
      </c>
    </row>
    <row r="673" spans="1:10" x14ac:dyDescent="0.2">
      <c r="A673" s="36">
        <v>44760</v>
      </c>
      <c r="B673" s="37">
        <v>16.100999999999999</v>
      </c>
      <c r="C673" s="38">
        <v>0.33899999999999902</v>
      </c>
      <c r="D673" s="39">
        <v>2.15074229158735E-2</v>
      </c>
      <c r="E673" s="37">
        <v>16.302</v>
      </c>
      <c r="F673" s="37">
        <v>16.001999999999999</v>
      </c>
      <c r="G673" s="37">
        <v>16.896999999999998</v>
      </c>
      <c r="H673" s="7">
        <v>670517450</v>
      </c>
      <c r="I673" s="37">
        <v>11018671493</v>
      </c>
      <c r="J673" s="37">
        <v>77057010423.554596</v>
      </c>
    </row>
    <row r="674" spans="1:10" x14ac:dyDescent="0.2">
      <c r="A674" s="36">
        <v>44757</v>
      </c>
      <c r="B674" s="37">
        <v>15.762</v>
      </c>
      <c r="C674" s="38">
        <v>0.39000000000000101</v>
      </c>
      <c r="D674" s="39">
        <v>2.5370804059328698E-2</v>
      </c>
      <c r="E674" s="37">
        <v>15.659000000000001</v>
      </c>
      <c r="F674" s="37">
        <v>15.445</v>
      </c>
      <c r="G674" s="37">
        <v>15.782</v>
      </c>
      <c r="H674" s="7">
        <v>385935470</v>
      </c>
      <c r="I674" s="37">
        <v>6030054447</v>
      </c>
      <c r="J674" s="37">
        <v>66038338930.554604</v>
      </c>
    </row>
    <row r="675" spans="1:10" x14ac:dyDescent="0.2">
      <c r="A675" s="36">
        <v>44756</v>
      </c>
      <c r="B675" s="37">
        <v>15.372</v>
      </c>
      <c r="C675" s="38">
        <v>0.20799999999999999</v>
      </c>
      <c r="D675" s="39">
        <v>1.3716697441308399E-2</v>
      </c>
      <c r="E675" s="37">
        <v>15.108000000000001</v>
      </c>
      <c r="F675" s="37">
        <v>14.728</v>
      </c>
      <c r="G675" s="37">
        <v>15.472989999999999</v>
      </c>
      <c r="H675" s="7">
        <v>456234840</v>
      </c>
      <c r="I675" s="37">
        <v>6894194032</v>
      </c>
      <c r="J675" s="37">
        <v>60008284483.554604</v>
      </c>
    </row>
    <row r="676" spans="1:10" x14ac:dyDescent="0.2">
      <c r="A676" s="36">
        <v>44755</v>
      </c>
      <c r="B676" s="37">
        <v>15.164</v>
      </c>
      <c r="C676" s="38">
        <v>8.1999999999999004E-2</v>
      </c>
      <c r="D676" s="39">
        <v>5.4369447022940597E-3</v>
      </c>
      <c r="E676" s="37">
        <v>14.59</v>
      </c>
      <c r="F676" s="37">
        <v>14.465</v>
      </c>
      <c r="G676" s="37">
        <v>15.375</v>
      </c>
      <c r="H676" s="7">
        <v>521918340</v>
      </c>
      <c r="I676" s="37">
        <v>7861764191</v>
      </c>
      <c r="J676" s="37">
        <v>53114090451.554604</v>
      </c>
    </row>
    <row r="677" spans="1:10" x14ac:dyDescent="0.2">
      <c r="A677" s="36">
        <v>44754</v>
      </c>
      <c r="B677" s="37">
        <v>15.082000000000001</v>
      </c>
      <c r="C677" s="38">
        <v>-6.9999999999998494E-2</v>
      </c>
      <c r="D677" s="39">
        <v>-4.61985216473063E-3</v>
      </c>
      <c r="E677" s="37">
        <v>15.268000000000001</v>
      </c>
      <c r="F677" s="37">
        <v>14.877000000000001</v>
      </c>
      <c r="G677" s="37">
        <v>15.430999999999999</v>
      </c>
      <c r="H677" s="7">
        <v>458483100</v>
      </c>
      <c r="I677" s="37">
        <v>6947373266</v>
      </c>
      <c r="J677" s="37">
        <v>45252326260.554604</v>
      </c>
    </row>
    <row r="678" spans="1:10" x14ac:dyDescent="0.2">
      <c r="A678" s="36">
        <v>44753</v>
      </c>
      <c r="B678" s="37">
        <v>15.151999999999999</v>
      </c>
      <c r="C678" s="38">
        <v>-0.68600000000000005</v>
      </c>
      <c r="D678" s="39">
        <v>-4.33135496906175E-2</v>
      </c>
      <c r="E678" s="37">
        <v>15.526</v>
      </c>
      <c r="F678" s="37">
        <v>15.03801</v>
      </c>
      <c r="G678" s="37">
        <v>15.52699</v>
      </c>
      <c r="H678" s="7">
        <v>438388730</v>
      </c>
      <c r="I678" s="37">
        <v>6667468798</v>
      </c>
      <c r="J678" s="37">
        <v>52199699526.554604</v>
      </c>
    </row>
    <row r="679" spans="1:10" x14ac:dyDescent="0.2">
      <c r="A679" s="36">
        <v>44750</v>
      </c>
      <c r="B679" s="37">
        <v>15.837999999999999</v>
      </c>
      <c r="C679" s="38">
        <v>-2.0000000000001399E-2</v>
      </c>
      <c r="D679" s="39">
        <v>-1.26119308866196E-3</v>
      </c>
      <c r="E679" s="37">
        <v>15.43</v>
      </c>
      <c r="F679" s="37">
        <v>15.388999999999999</v>
      </c>
      <c r="G679" s="37">
        <v>16.036989999999999</v>
      </c>
      <c r="H679" s="7">
        <v>467971760</v>
      </c>
      <c r="I679" s="37">
        <v>7354044700</v>
      </c>
      <c r="J679" s="37">
        <v>58867168324.554604</v>
      </c>
    </row>
    <row r="680" spans="1:10" x14ac:dyDescent="0.2">
      <c r="A680" s="36">
        <v>44749</v>
      </c>
      <c r="B680" s="37">
        <v>15.858000000000001</v>
      </c>
      <c r="C680" s="38">
        <v>0.72799999999999998</v>
      </c>
      <c r="D680" s="39">
        <v>4.8116325181758103E-2</v>
      </c>
      <c r="E680" s="37">
        <v>15.455500000000001</v>
      </c>
      <c r="F680" s="37">
        <v>15.388999999999999</v>
      </c>
      <c r="G680" s="37">
        <v>15.945</v>
      </c>
      <c r="H680" s="7">
        <v>492902760</v>
      </c>
      <c r="I680" s="37">
        <v>7741322036</v>
      </c>
      <c r="J680" s="37">
        <v>66221213024.554604</v>
      </c>
    </row>
    <row r="681" spans="1:10" x14ac:dyDescent="0.2">
      <c r="A681" s="36">
        <v>44748</v>
      </c>
      <c r="B681" s="37">
        <v>15.13</v>
      </c>
      <c r="C681" s="38">
        <v>0.16600000000000001</v>
      </c>
      <c r="D681" s="39">
        <v>1.10932905640203E-2</v>
      </c>
      <c r="E681" s="37">
        <v>15.01</v>
      </c>
      <c r="F681" s="37">
        <v>14.789</v>
      </c>
      <c r="G681" s="37">
        <v>15.318989999999999</v>
      </c>
      <c r="H681" s="7">
        <v>529065860</v>
      </c>
      <c r="I681" s="37">
        <v>7976605029</v>
      </c>
      <c r="J681" s="37">
        <v>58479890988.554604</v>
      </c>
    </row>
    <row r="682" spans="1:10" x14ac:dyDescent="0.2">
      <c r="A682" s="36">
        <v>44747</v>
      </c>
      <c r="B682" s="37">
        <v>14.964</v>
      </c>
      <c r="C682" s="38">
        <v>0.441000000000001</v>
      </c>
      <c r="D682" s="39">
        <v>3.0365626936583401E-2</v>
      </c>
      <c r="E682" s="37">
        <v>14.175000000000001</v>
      </c>
      <c r="F682" s="37">
        <v>14.055</v>
      </c>
      <c r="G682" s="37">
        <v>14.971</v>
      </c>
      <c r="H682" s="7">
        <v>652207610</v>
      </c>
      <c r="I682" s="37">
        <v>9540539148</v>
      </c>
      <c r="J682" s="37">
        <v>50503285959.554604</v>
      </c>
    </row>
    <row r="683" spans="1:10" x14ac:dyDescent="0.2">
      <c r="A683" s="36">
        <v>44743</v>
      </c>
      <c r="B683" s="37">
        <v>14.523</v>
      </c>
      <c r="C683" s="38">
        <v>-0.63600000000000101</v>
      </c>
      <c r="D683" s="39">
        <v>-4.1955274094597303E-2</v>
      </c>
      <c r="E683" s="37">
        <v>14.898999999999999</v>
      </c>
      <c r="F683" s="37">
        <v>14.391999999999999</v>
      </c>
      <c r="G683" s="37">
        <v>15.06291</v>
      </c>
      <c r="H683" s="7">
        <v>577610080</v>
      </c>
      <c r="I683" s="37">
        <v>8445222211</v>
      </c>
      <c r="J683" s="37">
        <v>40962746811.554604</v>
      </c>
    </row>
    <row r="684" spans="1:10" x14ac:dyDescent="0.2">
      <c r="A684" s="36">
        <v>44742</v>
      </c>
      <c r="B684" s="37">
        <v>15.159000000000001</v>
      </c>
      <c r="C684" s="38">
        <v>-0.38299999999999901</v>
      </c>
      <c r="D684" s="39">
        <v>-2.46429031012739E-2</v>
      </c>
      <c r="E684" s="37">
        <v>15.361000000000001</v>
      </c>
      <c r="F684" s="37">
        <v>14.862</v>
      </c>
      <c r="G684" s="37">
        <v>15.567</v>
      </c>
      <c r="H684" s="7">
        <v>686070030</v>
      </c>
      <c r="I684" s="37">
        <v>10431301519</v>
      </c>
      <c r="J684" s="37">
        <v>49407969022.554604</v>
      </c>
    </row>
    <row r="685" spans="1:10" x14ac:dyDescent="0.2">
      <c r="A685" s="36">
        <v>44741</v>
      </c>
      <c r="B685" s="37">
        <v>15.542</v>
      </c>
      <c r="C685" s="38">
        <v>-0.44</v>
      </c>
      <c r="D685" s="39">
        <v>-2.7530972343886798E-2</v>
      </c>
      <c r="E685" s="37">
        <v>15.814</v>
      </c>
      <c r="F685" s="37">
        <v>15.17</v>
      </c>
      <c r="G685" s="37">
        <v>15.82</v>
      </c>
      <c r="H685" s="7">
        <v>482352280</v>
      </c>
      <c r="I685" s="37">
        <v>7452271866</v>
      </c>
      <c r="J685" s="37">
        <v>59839270541.554604</v>
      </c>
    </row>
    <row r="686" spans="1:10" x14ac:dyDescent="0.2">
      <c r="A686" s="36">
        <v>44740</v>
      </c>
      <c r="B686" s="37">
        <v>15.981999999999999</v>
      </c>
      <c r="C686" s="38">
        <v>-0.88700000000000001</v>
      </c>
      <c r="D686" s="39">
        <v>-5.2581658663821203E-2</v>
      </c>
      <c r="E686" s="37">
        <v>16.899999999999999</v>
      </c>
      <c r="F686" s="37">
        <v>15.945</v>
      </c>
      <c r="G686" s="37">
        <v>17.201989999999999</v>
      </c>
      <c r="H686" s="7">
        <v>461859360</v>
      </c>
      <c r="I686" s="37">
        <v>7551533235</v>
      </c>
      <c r="J686" s="37">
        <v>67291542407.554604</v>
      </c>
    </row>
    <row r="687" spans="1:10" x14ac:dyDescent="0.2">
      <c r="A687" s="36">
        <v>44739</v>
      </c>
      <c r="B687" s="37">
        <v>16.869</v>
      </c>
      <c r="C687" s="38">
        <v>-0.25700000000000101</v>
      </c>
      <c r="D687" s="39">
        <v>-1.5006422982599601E-2</v>
      </c>
      <c r="E687" s="37">
        <v>17.312000000000001</v>
      </c>
      <c r="F687" s="37">
        <v>16.625499999999999</v>
      </c>
      <c r="G687" s="37">
        <v>17.329999999999998</v>
      </c>
      <c r="H687" s="7">
        <v>427967880</v>
      </c>
      <c r="I687" s="37">
        <v>7246260908</v>
      </c>
      <c r="J687" s="37">
        <v>74843075642.554596</v>
      </c>
    </row>
    <row r="688" spans="1:10" x14ac:dyDescent="0.2">
      <c r="A688" s="36">
        <v>44736</v>
      </c>
      <c r="B688" s="37">
        <v>17.126000000000001</v>
      </c>
      <c r="C688" s="38">
        <v>0.90100000000000002</v>
      </c>
      <c r="D688" s="39">
        <v>5.5531587057010799E-2</v>
      </c>
      <c r="E688" s="37">
        <v>16.5</v>
      </c>
      <c r="F688" s="37">
        <v>16.309999999999999</v>
      </c>
      <c r="G688" s="37">
        <v>17.14</v>
      </c>
      <c r="H688" s="7">
        <v>472152830</v>
      </c>
      <c r="I688" s="37">
        <v>7961731135</v>
      </c>
      <c r="J688" s="37">
        <v>82089336550.554596</v>
      </c>
    </row>
    <row r="689" spans="1:10" x14ac:dyDescent="0.2">
      <c r="A689" s="36">
        <v>44735</v>
      </c>
      <c r="B689" s="37">
        <v>16.225000000000001</v>
      </c>
      <c r="C689" s="38">
        <v>-0.13499999999999801</v>
      </c>
      <c r="D689" s="39">
        <v>-8.2518337408311708E-3</v>
      </c>
      <c r="E689" s="37">
        <v>16.5185</v>
      </c>
      <c r="F689" s="37">
        <v>15.853</v>
      </c>
      <c r="G689" s="37">
        <v>16.585000000000001</v>
      </c>
      <c r="H689" s="7">
        <v>463679590</v>
      </c>
      <c r="I689" s="37">
        <v>7489211192</v>
      </c>
      <c r="J689" s="37">
        <v>74127605415.554596</v>
      </c>
    </row>
    <row r="690" spans="1:10" x14ac:dyDescent="0.2">
      <c r="A690" s="36">
        <v>44734</v>
      </c>
      <c r="B690" s="37">
        <v>16.36</v>
      </c>
      <c r="C690" s="38">
        <v>-0.20599999999999999</v>
      </c>
      <c r="D690" s="39">
        <v>-1.24351080526379E-2</v>
      </c>
      <c r="E690" s="37">
        <v>16.225999999999999</v>
      </c>
      <c r="F690" s="37">
        <v>16.18</v>
      </c>
      <c r="G690" s="37">
        <v>16.661999999999999</v>
      </c>
      <c r="H690" s="7">
        <v>437997440</v>
      </c>
      <c r="I690" s="37">
        <v>7201530850</v>
      </c>
      <c r="J690" s="37">
        <v>81616816607.554596</v>
      </c>
    </row>
    <row r="691" spans="1:10" x14ac:dyDescent="0.2">
      <c r="A691" s="36">
        <v>44733</v>
      </c>
      <c r="B691" s="37">
        <v>16.565999999999999</v>
      </c>
      <c r="C691" s="38">
        <v>0.68599999999999794</v>
      </c>
      <c r="D691" s="39">
        <v>4.3198992443324799E-2</v>
      </c>
      <c r="E691" s="37">
        <v>16.474499999999999</v>
      </c>
      <c r="F691" s="37">
        <v>16.407</v>
      </c>
      <c r="G691" s="37">
        <v>17.007999999999999</v>
      </c>
      <c r="H691" s="7">
        <v>483088880</v>
      </c>
      <c r="I691" s="37">
        <v>8094232063</v>
      </c>
      <c r="J691" s="37">
        <v>88818347457.554596</v>
      </c>
    </row>
    <row r="692" spans="1:10" x14ac:dyDescent="0.2">
      <c r="A692" s="36">
        <v>44729</v>
      </c>
      <c r="B692" s="37">
        <v>15.88</v>
      </c>
      <c r="C692" s="38">
        <v>0.27900000000000003</v>
      </c>
      <c r="D692" s="39">
        <v>1.78834690083969E-2</v>
      </c>
      <c r="E692" s="37">
        <v>15.648</v>
      </c>
      <c r="F692" s="37">
        <v>15.327999999999999</v>
      </c>
      <c r="G692" s="37">
        <v>15.994999999999999</v>
      </c>
      <c r="H692" s="7">
        <v>630333970</v>
      </c>
      <c r="I692" s="37">
        <v>9947680410</v>
      </c>
      <c r="J692" s="37">
        <v>80724115394.554596</v>
      </c>
    </row>
    <row r="693" spans="1:10" x14ac:dyDescent="0.2">
      <c r="A693" s="36">
        <v>44728</v>
      </c>
      <c r="B693" s="37">
        <v>15.601000000000001</v>
      </c>
      <c r="C693" s="38">
        <v>-0.92600000000000005</v>
      </c>
      <c r="D693" s="39">
        <v>-5.6029527439946797E-2</v>
      </c>
      <c r="E693" s="37">
        <v>15.86</v>
      </c>
      <c r="F693" s="37">
        <v>15.401</v>
      </c>
      <c r="G693" s="37">
        <v>15.94232</v>
      </c>
      <c r="H693" s="7">
        <v>545748670</v>
      </c>
      <c r="I693" s="37">
        <v>8512299795</v>
      </c>
      <c r="J693" s="37">
        <v>70776434984.554596</v>
      </c>
    </row>
    <row r="694" spans="1:10" x14ac:dyDescent="0.2">
      <c r="A694" s="36">
        <v>44727</v>
      </c>
      <c r="B694" s="37">
        <v>16.527000000000001</v>
      </c>
      <c r="C694" s="38">
        <v>0.69100000000000095</v>
      </c>
      <c r="D694" s="39">
        <v>4.3634756251578699E-2</v>
      </c>
      <c r="E694" s="37">
        <v>16.094999999999999</v>
      </c>
      <c r="F694" s="37">
        <v>15.926</v>
      </c>
      <c r="G694" s="37">
        <v>16.867999999999999</v>
      </c>
      <c r="H694" s="7">
        <v>563935650</v>
      </c>
      <c r="I694" s="37">
        <v>9218557363</v>
      </c>
      <c r="J694" s="37">
        <v>79288734779.554596</v>
      </c>
    </row>
    <row r="695" spans="1:10" x14ac:dyDescent="0.2">
      <c r="A695" s="36">
        <v>44726</v>
      </c>
      <c r="B695" s="37">
        <v>15.836</v>
      </c>
      <c r="C695" s="38">
        <v>0.189</v>
      </c>
      <c r="D695" s="39">
        <v>1.2078992778168301E-2</v>
      </c>
      <c r="E695" s="37">
        <v>15.731</v>
      </c>
      <c r="F695" s="37">
        <v>15.412000000000001</v>
      </c>
      <c r="G695" s="37">
        <v>16.065999999999999</v>
      </c>
      <c r="H695" s="7">
        <v>469679520</v>
      </c>
      <c r="I695" s="37">
        <v>7403983341</v>
      </c>
      <c r="J695" s="37">
        <v>70070177416.554596</v>
      </c>
    </row>
    <row r="696" spans="1:10" x14ac:dyDescent="0.2">
      <c r="A696" s="36">
        <v>44725</v>
      </c>
      <c r="B696" s="37">
        <v>15.647</v>
      </c>
      <c r="C696" s="38">
        <v>-1.327</v>
      </c>
      <c r="D696" s="39">
        <v>-7.8178390479557006E-2</v>
      </c>
      <c r="E696" s="37">
        <v>16</v>
      </c>
      <c r="F696" s="37">
        <v>15.606</v>
      </c>
      <c r="G696" s="37">
        <v>16.312000000000001</v>
      </c>
      <c r="H696" s="7">
        <v>604153380</v>
      </c>
      <c r="I696" s="37">
        <v>9586789798</v>
      </c>
      <c r="J696" s="37">
        <v>62666194075.554604</v>
      </c>
    </row>
    <row r="697" spans="1:10" x14ac:dyDescent="0.2">
      <c r="A697" s="36">
        <v>44722</v>
      </c>
      <c r="B697" s="37">
        <v>16.974</v>
      </c>
      <c r="C697" s="38">
        <v>-1.0740000000000001</v>
      </c>
      <c r="D697" s="39">
        <v>-5.9507978723404201E-2</v>
      </c>
      <c r="E697" s="37">
        <v>17.600000000000001</v>
      </c>
      <c r="F697" s="37">
        <v>16.869</v>
      </c>
      <c r="G697" s="37">
        <v>17.696999999999999</v>
      </c>
      <c r="H697" s="7">
        <v>465649660</v>
      </c>
      <c r="I697" s="37">
        <v>7983230197</v>
      </c>
      <c r="J697" s="37">
        <v>72252983873.554596</v>
      </c>
    </row>
    <row r="698" spans="1:10" x14ac:dyDescent="0.2">
      <c r="A698" s="36">
        <v>44721</v>
      </c>
      <c r="B698" s="37">
        <v>18.047999999999998</v>
      </c>
      <c r="C698" s="38">
        <v>-0.60000000000000098</v>
      </c>
      <c r="D698" s="39">
        <v>-3.21750321750323E-2</v>
      </c>
      <c r="E698" s="37">
        <v>18.481000000000002</v>
      </c>
      <c r="F698" s="37">
        <v>18.041</v>
      </c>
      <c r="G698" s="37">
        <v>18.933</v>
      </c>
      <c r="H698" s="7">
        <v>395573790</v>
      </c>
      <c r="I698" s="37">
        <v>7323576804</v>
      </c>
      <c r="J698" s="37">
        <v>80236214070.554596</v>
      </c>
    </row>
    <row r="699" spans="1:10" x14ac:dyDescent="0.2">
      <c r="A699" s="36">
        <v>44720</v>
      </c>
      <c r="B699" s="37">
        <v>18.648</v>
      </c>
      <c r="C699" s="38">
        <v>-0.27799999999999903</v>
      </c>
      <c r="D699" s="39">
        <v>-1.46887879108105E-2</v>
      </c>
      <c r="E699" s="37">
        <v>18.798999999999999</v>
      </c>
      <c r="F699" s="37">
        <v>18.535</v>
      </c>
      <c r="G699" s="37">
        <v>19.18</v>
      </c>
      <c r="H699" s="7">
        <v>363252460</v>
      </c>
      <c r="I699" s="37">
        <v>6833194066</v>
      </c>
      <c r="J699" s="37">
        <v>87559790874.554596</v>
      </c>
    </row>
    <row r="700" spans="1:10" x14ac:dyDescent="0.2">
      <c r="A700" s="36">
        <v>44719</v>
      </c>
      <c r="B700" s="37">
        <v>18.925999999999998</v>
      </c>
      <c r="C700" s="38">
        <v>0.13999999999999699</v>
      </c>
      <c r="D700" s="39">
        <v>7.4523581390395499E-3</v>
      </c>
      <c r="E700" s="37">
        <v>18.472000000000001</v>
      </c>
      <c r="F700" s="37">
        <v>18.187999999999999</v>
      </c>
      <c r="G700" s="37">
        <v>19</v>
      </c>
      <c r="H700" s="7">
        <v>388914110</v>
      </c>
      <c r="I700" s="37">
        <v>7283591020</v>
      </c>
      <c r="J700" s="37">
        <v>94392984940.554596</v>
      </c>
    </row>
    <row r="701" spans="1:10" x14ac:dyDescent="0.2">
      <c r="A701" s="36">
        <v>44718</v>
      </c>
      <c r="B701" s="37">
        <v>18.786000000000001</v>
      </c>
      <c r="C701" s="38">
        <v>6.6000000000002501E-2</v>
      </c>
      <c r="D701" s="39">
        <v>3.5256410256411601E-3</v>
      </c>
      <c r="E701" s="37">
        <v>19.138999999999999</v>
      </c>
      <c r="F701" s="37">
        <v>18.5642</v>
      </c>
      <c r="G701" s="37">
        <v>19.337</v>
      </c>
      <c r="H701" s="7">
        <v>422406150</v>
      </c>
      <c r="I701" s="37">
        <v>7988817971</v>
      </c>
      <c r="J701" s="37">
        <v>87109393920.554596</v>
      </c>
    </row>
    <row r="702" spans="1:10" x14ac:dyDescent="0.2">
      <c r="A702" s="36">
        <v>44715</v>
      </c>
      <c r="B702" s="37">
        <v>18.72</v>
      </c>
      <c r="C702" s="38">
        <v>-0.872</v>
      </c>
      <c r="D702" s="39">
        <v>-4.4507962433646402E-2</v>
      </c>
      <c r="E702" s="37">
        <v>19.081499999999998</v>
      </c>
      <c r="F702" s="37">
        <v>18.521560000000001</v>
      </c>
      <c r="G702" s="37">
        <v>19.3323</v>
      </c>
      <c r="H702" s="7">
        <v>598778700</v>
      </c>
      <c r="I702" s="37">
        <v>11295449723</v>
      </c>
      <c r="J702" s="37">
        <v>79120575949.554596</v>
      </c>
    </row>
    <row r="703" spans="1:10" x14ac:dyDescent="0.2">
      <c r="A703" s="36">
        <v>44714</v>
      </c>
      <c r="B703" s="37">
        <v>19.591999999999999</v>
      </c>
      <c r="C703" s="38">
        <v>1.272</v>
      </c>
      <c r="D703" s="39">
        <v>6.9432314410480298E-2</v>
      </c>
      <c r="E703" s="37">
        <v>18.292000000000002</v>
      </c>
      <c r="F703" s="37">
        <v>18.198</v>
      </c>
      <c r="G703" s="37">
        <v>19.619</v>
      </c>
      <c r="H703" s="7">
        <v>648655800</v>
      </c>
      <c r="I703" s="37">
        <v>12452613393</v>
      </c>
      <c r="J703" s="37">
        <v>90416025672.554596</v>
      </c>
    </row>
    <row r="704" spans="1:10" x14ac:dyDescent="0.2">
      <c r="A704" s="36">
        <v>44713</v>
      </c>
      <c r="B704" s="37">
        <v>18.32</v>
      </c>
      <c r="C704" s="38">
        <v>-0.35199999999999998</v>
      </c>
      <c r="D704" s="39">
        <v>-1.8851756640959699E-2</v>
      </c>
      <c r="E704" s="37">
        <v>18.724</v>
      </c>
      <c r="F704" s="37">
        <v>18.122</v>
      </c>
      <c r="G704" s="37">
        <v>19.053180000000001</v>
      </c>
      <c r="H704" s="7">
        <v>544513900</v>
      </c>
      <c r="I704" s="37">
        <v>10097380307</v>
      </c>
      <c r="J704" s="37">
        <v>77963412279.554596</v>
      </c>
    </row>
    <row r="705" spans="1:10" x14ac:dyDescent="0.2">
      <c r="A705" s="36">
        <v>44712</v>
      </c>
      <c r="B705" s="37">
        <v>18.672000000000001</v>
      </c>
      <c r="C705" s="38">
        <v>-0.13899999999999901</v>
      </c>
      <c r="D705" s="39">
        <v>-7.3892934984848904E-3</v>
      </c>
      <c r="E705" s="37">
        <v>18.98</v>
      </c>
      <c r="F705" s="37">
        <v>18.350000000000001</v>
      </c>
      <c r="G705" s="37">
        <v>19.2</v>
      </c>
      <c r="H705" s="7">
        <v>664099510</v>
      </c>
      <c r="I705" s="37">
        <v>12449469069</v>
      </c>
      <c r="J705" s="37">
        <v>88060792586.554596</v>
      </c>
    </row>
    <row r="706" spans="1:10" x14ac:dyDescent="0.2">
      <c r="A706" s="36">
        <v>44708</v>
      </c>
      <c r="B706" s="37">
        <v>18.811</v>
      </c>
      <c r="C706" s="38">
        <v>0.96000000000000096</v>
      </c>
      <c r="D706" s="39">
        <v>5.3778499803932601E-2</v>
      </c>
      <c r="E706" s="37">
        <v>18.186</v>
      </c>
      <c r="F706" s="37">
        <v>18.100000000000001</v>
      </c>
      <c r="G706" s="37">
        <v>18.881</v>
      </c>
      <c r="H706" s="7">
        <v>738379350</v>
      </c>
      <c r="I706" s="37">
        <v>13697766434</v>
      </c>
      <c r="J706" s="37">
        <v>100510261655.55499</v>
      </c>
    </row>
    <row r="707" spans="1:10" x14ac:dyDescent="0.2">
      <c r="A707" s="36">
        <v>44707</v>
      </c>
      <c r="B707" s="37">
        <v>17.850999999999999</v>
      </c>
      <c r="C707" s="38">
        <v>0.875999999999998</v>
      </c>
      <c r="D707" s="39">
        <v>5.1605301914580098E-2</v>
      </c>
      <c r="E707" s="37">
        <v>16.036000000000001</v>
      </c>
      <c r="F707" s="37">
        <v>16.021999999999998</v>
      </c>
      <c r="G707" s="37">
        <v>18.091999999999999</v>
      </c>
      <c r="H707" s="7">
        <v>996574520</v>
      </c>
      <c r="I707" s="37">
        <v>17408127131</v>
      </c>
      <c r="J707" s="37">
        <v>86812495221.554596</v>
      </c>
    </row>
    <row r="708" spans="1:10" x14ac:dyDescent="0.2">
      <c r="A708" s="36">
        <v>44706</v>
      </c>
      <c r="B708" s="37">
        <v>16.975000000000001</v>
      </c>
      <c r="C708" s="38">
        <v>0.82100000000000195</v>
      </c>
      <c r="D708" s="39">
        <v>5.0823325492138298E-2</v>
      </c>
      <c r="E708" s="37">
        <v>16.02</v>
      </c>
      <c r="F708" s="37">
        <v>16</v>
      </c>
      <c r="G708" s="37">
        <v>17.110990000000001</v>
      </c>
      <c r="H708" s="7">
        <v>781131900</v>
      </c>
      <c r="I708" s="37">
        <v>12944632527</v>
      </c>
      <c r="J708" s="37">
        <v>69404368090.554596</v>
      </c>
    </row>
    <row r="709" spans="1:10" x14ac:dyDescent="0.2">
      <c r="A709" s="36">
        <v>44705</v>
      </c>
      <c r="B709" s="37">
        <v>16.154</v>
      </c>
      <c r="C709" s="38">
        <v>-0.74399999999999999</v>
      </c>
      <c r="D709" s="39">
        <v>-4.4028879157296703E-2</v>
      </c>
      <c r="E709" s="37">
        <v>16.510000000000002</v>
      </c>
      <c r="F709" s="37">
        <v>15.78</v>
      </c>
      <c r="G709" s="37">
        <v>16.597000000000001</v>
      </c>
      <c r="H709" s="7">
        <v>588550020</v>
      </c>
      <c r="I709" s="37">
        <v>9489763300</v>
      </c>
      <c r="J709" s="37">
        <v>56459735563.554604</v>
      </c>
    </row>
    <row r="710" spans="1:10" x14ac:dyDescent="0.2">
      <c r="A710" s="36">
        <v>44704</v>
      </c>
      <c r="B710" s="37">
        <v>16.898</v>
      </c>
      <c r="C710" s="38">
        <v>0.20400000000000101</v>
      </c>
      <c r="D710" s="39">
        <v>1.2219959266802499E-2</v>
      </c>
      <c r="E710" s="37">
        <v>16.274000000000001</v>
      </c>
      <c r="F710" s="37">
        <v>16.179010000000002</v>
      </c>
      <c r="G710" s="37">
        <v>16.914999999999999</v>
      </c>
      <c r="H710" s="7">
        <v>639888690</v>
      </c>
      <c r="I710" s="37">
        <v>10651554878</v>
      </c>
      <c r="J710" s="37">
        <v>65949498863.554604</v>
      </c>
    </row>
    <row r="711" spans="1:10" x14ac:dyDescent="0.2">
      <c r="A711" s="36">
        <v>44701</v>
      </c>
      <c r="B711" s="37">
        <v>16.693999999999999</v>
      </c>
      <c r="C711" s="38">
        <v>-0.43</v>
      </c>
      <c r="D711" s="39">
        <v>-2.5110955384255999E-2</v>
      </c>
      <c r="E711" s="37">
        <v>17.332000000000001</v>
      </c>
      <c r="F711" s="37">
        <v>15.755000000000001</v>
      </c>
      <c r="G711" s="37">
        <v>17.41</v>
      </c>
      <c r="H711" s="7">
        <v>739105260</v>
      </c>
      <c r="I711" s="37">
        <v>12113309479</v>
      </c>
      <c r="J711" s="37">
        <v>55297943985.554604</v>
      </c>
    </row>
    <row r="712" spans="1:10" x14ac:dyDescent="0.2">
      <c r="A712" s="36">
        <v>44700</v>
      </c>
      <c r="B712" s="37">
        <v>17.123999999999999</v>
      </c>
      <c r="C712" s="38">
        <v>0.186</v>
      </c>
      <c r="D712" s="39">
        <v>1.09812256464754E-2</v>
      </c>
      <c r="E712" s="37">
        <v>16.937000000000001</v>
      </c>
      <c r="F712" s="37">
        <v>16.73405</v>
      </c>
      <c r="G712" s="37">
        <v>17.687000000000001</v>
      </c>
      <c r="H712" s="7">
        <v>621309590</v>
      </c>
      <c r="I712" s="37">
        <v>10735051197</v>
      </c>
      <c r="J712" s="37">
        <v>67411253464.554604</v>
      </c>
    </row>
    <row r="713" spans="1:10" x14ac:dyDescent="0.2">
      <c r="A713" s="36">
        <v>44699</v>
      </c>
      <c r="B713" s="37">
        <v>16.937999999999999</v>
      </c>
      <c r="C713" s="38">
        <v>-1.2390000000000001</v>
      </c>
      <c r="D713" s="39">
        <v>-6.8163063211751196E-2</v>
      </c>
      <c r="E713" s="37">
        <v>17.704999999999998</v>
      </c>
      <c r="F713" s="37">
        <v>16.864000000000001</v>
      </c>
      <c r="G713" s="37">
        <v>18.117999999999999</v>
      </c>
      <c r="H713" s="7">
        <v>545161060</v>
      </c>
      <c r="I713" s="37">
        <v>9467213314</v>
      </c>
      <c r="J713" s="37">
        <v>56676202267.554604</v>
      </c>
    </row>
    <row r="714" spans="1:10" x14ac:dyDescent="0.2">
      <c r="A714" s="36">
        <v>44698</v>
      </c>
      <c r="B714" s="37">
        <v>18.177</v>
      </c>
      <c r="C714" s="38">
        <v>0.91300000000000003</v>
      </c>
      <c r="D714" s="39">
        <v>5.2884615384615398E-2</v>
      </c>
      <c r="E714" s="37">
        <v>18.074000000000002</v>
      </c>
      <c r="F714" s="37">
        <v>17.634</v>
      </c>
      <c r="G714" s="37">
        <v>18.370999999999999</v>
      </c>
      <c r="H714" s="7">
        <v>585829710</v>
      </c>
      <c r="I714" s="37">
        <v>10549670577</v>
      </c>
      <c r="J714" s="37">
        <v>66143415581.554604</v>
      </c>
    </row>
    <row r="715" spans="1:10" x14ac:dyDescent="0.2">
      <c r="A715" s="36">
        <v>44697</v>
      </c>
      <c r="B715" s="37">
        <v>17.263999999999999</v>
      </c>
      <c r="C715" s="38">
        <v>-0.442</v>
      </c>
      <c r="D715" s="39">
        <v>-2.49632892804699E-2</v>
      </c>
      <c r="E715" s="37">
        <v>17.509</v>
      </c>
      <c r="F715" s="37">
        <v>17.106000000000002</v>
      </c>
      <c r="G715" s="37">
        <v>17.788</v>
      </c>
      <c r="H715" s="7">
        <v>521445980</v>
      </c>
      <c r="I715" s="37">
        <v>9096575410</v>
      </c>
      <c r="J715" s="37">
        <v>55593745004.554604</v>
      </c>
    </row>
    <row r="716" spans="1:10" x14ac:dyDescent="0.2">
      <c r="A716" s="36">
        <v>44694</v>
      </c>
      <c r="B716" s="37">
        <v>17.706</v>
      </c>
      <c r="C716" s="38">
        <v>1.5309999999999999</v>
      </c>
      <c r="D716" s="39">
        <v>9.4652241112828397E-2</v>
      </c>
      <c r="E716" s="37">
        <v>16.788</v>
      </c>
      <c r="F716" s="37">
        <v>16.592500000000001</v>
      </c>
      <c r="G716" s="37">
        <v>17.928429999999999</v>
      </c>
      <c r="H716" s="7">
        <v>670436510</v>
      </c>
      <c r="I716" s="37">
        <v>11722363178</v>
      </c>
      <c r="J716" s="37">
        <v>64690320414.554604</v>
      </c>
    </row>
    <row r="717" spans="1:10" x14ac:dyDescent="0.2">
      <c r="A717" s="36">
        <v>44693</v>
      </c>
      <c r="B717" s="37">
        <v>16.175000000000001</v>
      </c>
      <c r="C717" s="38">
        <v>-0.45499999999999802</v>
      </c>
      <c r="D717" s="39">
        <v>-2.7360192423331198E-2</v>
      </c>
      <c r="E717" s="37">
        <v>16.219100000000001</v>
      </c>
      <c r="F717" s="37">
        <v>15.567</v>
      </c>
      <c r="G717" s="37">
        <v>16.788</v>
      </c>
      <c r="H717" s="7">
        <v>708728370</v>
      </c>
      <c r="I717" s="37">
        <v>11390724504</v>
      </c>
      <c r="J717" s="37">
        <v>52967957236.554604</v>
      </c>
    </row>
    <row r="718" spans="1:10" x14ac:dyDescent="0.2">
      <c r="A718" s="36">
        <v>44692</v>
      </c>
      <c r="B718" s="37">
        <v>16.63</v>
      </c>
      <c r="C718" s="38">
        <v>-0.96499999999999997</v>
      </c>
      <c r="D718" s="39">
        <v>-5.4845126456379699E-2</v>
      </c>
      <c r="E718" s="37">
        <v>17.347000000000001</v>
      </c>
      <c r="F718" s="37">
        <v>16.568000000000001</v>
      </c>
      <c r="G718" s="37">
        <v>17.753</v>
      </c>
      <c r="H718" s="7">
        <v>670167030</v>
      </c>
      <c r="I718" s="37">
        <v>11472718829</v>
      </c>
      <c r="J718" s="37">
        <v>64358681740.554604</v>
      </c>
    </row>
    <row r="719" spans="1:10" x14ac:dyDescent="0.2">
      <c r="A719" s="36">
        <v>44691</v>
      </c>
      <c r="B719" s="37">
        <v>17.594999999999999</v>
      </c>
      <c r="C719" s="38">
        <v>0.64500000000000002</v>
      </c>
      <c r="D719" s="39">
        <v>3.8053097345132701E-2</v>
      </c>
      <c r="E719" s="37">
        <v>17.689</v>
      </c>
      <c r="F719" s="37">
        <v>17.024999999999999</v>
      </c>
      <c r="G719" s="37">
        <v>18.198</v>
      </c>
      <c r="H719" s="7">
        <v>761474290</v>
      </c>
      <c r="I719" s="37">
        <v>13402366507</v>
      </c>
      <c r="J719" s="37">
        <v>75831400569.554596</v>
      </c>
    </row>
    <row r="720" spans="1:10" x14ac:dyDescent="0.2">
      <c r="A720" s="36">
        <v>44690</v>
      </c>
      <c r="B720" s="37">
        <v>16.95</v>
      </c>
      <c r="C720" s="38">
        <v>-1.7250000000000001</v>
      </c>
      <c r="D720" s="39">
        <v>-9.2369477911646694E-2</v>
      </c>
      <c r="E720" s="37">
        <v>18.033999999999999</v>
      </c>
      <c r="F720" s="37">
        <v>16.827000000000002</v>
      </c>
      <c r="G720" s="37">
        <v>18.254999999999999</v>
      </c>
      <c r="H720" s="7">
        <v>644454510</v>
      </c>
      <c r="I720" s="37">
        <v>11214786690</v>
      </c>
      <c r="J720" s="37">
        <v>62429034062.554604</v>
      </c>
    </row>
    <row r="721" spans="1:10" x14ac:dyDescent="0.2">
      <c r="A721" s="36">
        <v>44687</v>
      </c>
      <c r="B721" s="37">
        <v>18.675000000000001</v>
      </c>
      <c r="C721" s="38">
        <v>-0.16900000000000001</v>
      </c>
      <c r="D721" s="39">
        <v>-8.9683718955636E-3</v>
      </c>
      <c r="E721" s="37">
        <v>18.736000000000001</v>
      </c>
      <c r="F721" s="37">
        <v>17.989999999999998</v>
      </c>
      <c r="G721" s="37">
        <v>19.512</v>
      </c>
      <c r="H721" s="7">
        <v>633296720</v>
      </c>
      <c r="I721" s="37">
        <v>11877164628</v>
      </c>
      <c r="J721" s="37">
        <v>73643820752.554596</v>
      </c>
    </row>
    <row r="722" spans="1:10" x14ac:dyDescent="0.2">
      <c r="A722" s="36">
        <v>44686</v>
      </c>
      <c r="B722" s="37">
        <v>18.844000000000001</v>
      </c>
      <c r="C722" s="38">
        <v>-1.49</v>
      </c>
      <c r="D722" s="39">
        <v>-7.3276286023409007E-2</v>
      </c>
      <c r="E722" s="37">
        <v>19.867000000000001</v>
      </c>
      <c r="F722" s="37">
        <v>18.5</v>
      </c>
      <c r="G722" s="37">
        <v>19.925000000000001</v>
      </c>
      <c r="H722" s="7">
        <v>626331410</v>
      </c>
      <c r="I722" s="37">
        <v>11869323901</v>
      </c>
      <c r="J722" s="37">
        <v>85520985380.554596</v>
      </c>
    </row>
    <row r="723" spans="1:10" x14ac:dyDescent="0.2">
      <c r="A723" s="36">
        <v>44685</v>
      </c>
      <c r="B723" s="37">
        <v>20.334</v>
      </c>
      <c r="C723" s="38">
        <v>0.73199999999999898</v>
      </c>
      <c r="D723" s="39">
        <v>3.7343128252219103E-2</v>
      </c>
      <c r="E723" s="37">
        <v>19.922999999999998</v>
      </c>
      <c r="F723" s="37">
        <v>18.751000000000001</v>
      </c>
      <c r="G723" s="37">
        <v>20.399999999999999</v>
      </c>
      <c r="H723" s="7">
        <v>648854630</v>
      </c>
      <c r="I723" s="37">
        <v>12656534815</v>
      </c>
      <c r="J723" s="37">
        <v>97390309281.554596</v>
      </c>
    </row>
    <row r="724" spans="1:10" x14ac:dyDescent="0.2">
      <c r="A724" s="36">
        <v>44684</v>
      </c>
      <c r="B724" s="37">
        <v>19.602</v>
      </c>
      <c r="C724" s="38">
        <v>6.8999999999999104E-2</v>
      </c>
      <c r="D724" s="39">
        <v>3.5324834894792899E-3</v>
      </c>
      <c r="E724" s="37">
        <v>19.399999999999999</v>
      </c>
      <c r="F724" s="37">
        <v>19.132999999999999</v>
      </c>
      <c r="G724" s="37">
        <v>19.824999999999999</v>
      </c>
      <c r="H724" s="7">
        <v>475750840</v>
      </c>
      <c r="I724" s="37">
        <v>9290580245</v>
      </c>
      <c r="J724" s="37">
        <v>84733774466.554596</v>
      </c>
    </row>
    <row r="725" spans="1:10" x14ac:dyDescent="0.2">
      <c r="A725" s="36">
        <v>44683</v>
      </c>
      <c r="B725" s="37">
        <v>19.533000000000001</v>
      </c>
      <c r="C725" s="38">
        <v>0.98600000000000099</v>
      </c>
      <c r="D725" s="39">
        <v>5.31622364802933E-2</v>
      </c>
      <c r="E725" s="37">
        <v>18.540500000000002</v>
      </c>
      <c r="F725" s="37">
        <v>18.390999999999998</v>
      </c>
      <c r="G725" s="37">
        <v>19.574000000000002</v>
      </c>
      <c r="H725" s="7">
        <v>572048680</v>
      </c>
      <c r="I725" s="37">
        <v>10854334083</v>
      </c>
      <c r="J725" s="37">
        <v>75443194221.554596</v>
      </c>
    </row>
    <row r="726" spans="1:10" x14ac:dyDescent="0.2">
      <c r="A726" s="36">
        <v>44680</v>
      </c>
      <c r="B726" s="37">
        <v>18.547000000000001</v>
      </c>
      <c r="C726" s="38">
        <v>-1.2350000000000001</v>
      </c>
      <c r="D726" s="39">
        <v>-6.2430492366798103E-2</v>
      </c>
      <c r="E726" s="37">
        <v>19.402000000000001</v>
      </c>
      <c r="F726" s="37">
        <v>18.516999999999999</v>
      </c>
      <c r="G726" s="37">
        <v>20.12848</v>
      </c>
      <c r="H726" s="7">
        <v>500434910</v>
      </c>
      <c r="I726" s="37">
        <v>9576301857</v>
      </c>
      <c r="J726" s="37">
        <v>64588860138.554604</v>
      </c>
    </row>
    <row r="727" spans="1:10" x14ac:dyDescent="0.2">
      <c r="A727" s="36">
        <v>44679</v>
      </c>
      <c r="B727" s="37">
        <v>19.782</v>
      </c>
      <c r="C727" s="38">
        <v>1.367</v>
      </c>
      <c r="D727" s="39">
        <v>7.4232962259028007E-2</v>
      </c>
      <c r="E727" s="37">
        <v>18.966999999999999</v>
      </c>
      <c r="F727" s="37">
        <v>18.489570000000001</v>
      </c>
      <c r="G727" s="37">
        <v>20.036999999999999</v>
      </c>
      <c r="H727" s="7">
        <v>570326710</v>
      </c>
      <c r="I727" s="37">
        <v>11035804943</v>
      </c>
      <c r="J727" s="37">
        <v>74165161995.554596</v>
      </c>
    </row>
    <row r="728" spans="1:10" x14ac:dyDescent="0.2">
      <c r="A728" s="36">
        <v>44678</v>
      </c>
      <c r="B728" s="37">
        <v>18.414999999999999</v>
      </c>
      <c r="C728" s="38">
        <v>-0.373000000000001</v>
      </c>
      <c r="D728" s="39">
        <v>-1.9853097721950201E-2</v>
      </c>
      <c r="E728" s="37">
        <v>18.597999999999999</v>
      </c>
      <c r="F728" s="37">
        <v>18.29</v>
      </c>
      <c r="G728" s="37">
        <v>19.167000000000002</v>
      </c>
      <c r="H728" s="7">
        <v>499460170</v>
      </c>
      <c r="I728" s="37">
        <v>9311293232</v>
      </c>
      <c r="J728" s="37">
        <v>63129357052.554604</v>
      </c>
    </row>
    <row r="729" spans="1:10" x14ac:dyDescent="0.2">
      <c r="A729" s="36">
        <v>44677</v>
      </c>
      <c r="B729" s="37">
        <v>18.788</v>
      </c>
      <c r="C729" s="38">
        <v>-1.1140000000000001</v>
      </c>
      <c r="D729" s="39">
        <v>-5.5974273942317403E-2</v>
      </c>
      <c r="E729" s="37">
        <v>19.718</v>
      </c>
      <c r="F729" s="37">
        <v>18.670000000000002</v>
      </c>
      <c r="G729" s="37">
        <v>19.788</v>
      </c>
      <c r="H729" s="7">
        <v>653142500</v>
      </c>
      <c r="I729" s="37">
        <v>12401719653</v>
      </c>
      <c r="J729" s="37">
        <v>72440650284.554596</v>
      </c>
    </row>
    <row r="730" spans="1:10" x14ac:dyDescent="0.2">
      <c r="A730" s="36">
        <v>44676</v>
      </c>
      <c r="B730" s="37">
        <v>19.902000000000001</v>
      </c>
      <c r="C730" s="38">
        <v>0.38700000000000001</v>
      </c>
      <c r="D730" s="39">
        <v>1.9830899308224501E-2</v>
      </c>
      <c r="E730" s="37">
        <v>19.202000000000002</v>
      </c>
      <c r="F730" s="37">
        <v>19.096</v>
      </c>
      <c r="G730" s="37">
        <v>19.945</v>
      </c>
      <c r="H730" s="7">
        <v>641565610</v>
      </c>
      <c r="I730" s="37">
        <v>12506613388</v>
      </c>
      <c r="J730" s="37">
        <v>84842369937.554596</v>
      </c>
    </row>
    <row r="731" spans="1:10" x14ac:dyDescent="0.2">
      <c r="A731" s="36">
        <v>44673</v>
      </c>
      <c r="B731" s="37">
        <v>19.515000000000001</v>
      </c>
      <c r="C731" s="38">
        <v>-0.66799999999999904</v>
      </c>
      <c r="D731" s="39">
        <v>-3.3097160977059899E-2</v>
      </c>
      <c r="E731" s="37">
        <v>20.303000000000001</v>
      </c>
      <c r="F731" s="37">
        <v>19.5</v>
      </c>
      <c r="G731" s="37">
        <v>20.486000000000001</v>
      </c>
      <c r="H731" s="7">
        <v>624713430</v>
      </c>
      <c r="I731" s="37">
        <v>12424934371</v>
      </c>
      <c r="J731" s="37">
        <v>72335756549.554596</v>
      </c>
    </row>
    <row r="732" spans="1:10" x14ac:dyDescent="0.2">
      <c r="A732" s="36">
        <v>44672</v>
      </c>
      <c r="B732" s="37">
        <v>20.183</v>
      </c>
      <c r="C732" s="38">
        <v>-1.2989999999999999</v>
      </c>
      <c r="D732" s="39">
        <v>-6.0469230053067702E-2</v>
      </c>
      <c r="E732" s="37">
        <v>21.709150000000001</v>
      </c>
      <c r="F732" s="37">
        <v>20</v>
      </c>
      <c r="G732" s="37">
        <v>22.391999999999999</v>
      </c>
      <c r="H732" s="7">
        <v>656209440</v>
      </c>
      <c r="I732" s="37">
        <v>13685053411</v>
      </c>
      <c r="J732" s="37">
        <v>84760690920.554596</v>
      </c>
    </row>
    <row r="733" spans="1:10" x14ac:dyDescent="0.2">
      <c r="A733" s="36">
        <v>44671</v>
      </c>
      <c r="B733" s="37">
        <v>21.481999999999999</v>
      </c>
      <c r="C733" s="38">
        <v>-0.71600000000000097</v>
      </c>
      <c r="D733" s="39">
        <v>-3.2255158122353397E-2</v>
      </c>
      <c r="E733" s="37">
        <v>22.517099999999999</v>
      </c>
      <c r="F733" s="37">
        <v>21.2</v>
      </c>
      <c r="G733" s="37">
        <v>22.670369999999998</v>
      </c>
      <c r="H733" s="7">
        <v>468974440</v>
      </c>
      <c r="I733" s="37">
        <v>10149374698</v>
      </c>
      <c r="J733" s="37">
        <v>98445744331.554596</v>
      </c>
    </row>
    <row r="734" spans="1:10" x14ac:dyDescent="0.2">
      <c r="A734" s="36">
        <v>44670</v>
      </c>
      <c r="B734" s="37">
        <v>22.198</v>
      </c>
      <c r="C734" s="38">
        <v>0.41499999999999898</v>
      </c>
      <c r="D734" s="39">
        <v>1.9051553964100399E-2</v>
      </c>
      <c r="E734" s="37">
        <v>21.72</v>
      </c>
      <c r="F734" s="37">
        <v>21.314</v>
      </c>
      <c r="G734" s="37">
        <v>22.373000000000001</v>
      </c>
      <c r="H734" s="7">
        <v>512780580</v>
      </c>
      <c r="I734" s="37">
        <v>11303020578</v>
      </c>
      <c r="J734" s="37">
        <v>108595119029.55499</v>
      </c>
    </row>
    <row r="735" spans="1:10" x14ac:dyDescent="0.2">
      <c r="A735" s="36">
        <v>44669</v>
      </c>
      <c r="B735" s="37">
        <v>21.783000000000001</v>
      </c>
      <c r="C735" s="38">
        <v>0.52500000000000202</v>
      </c>
      <c r="D735" s="39">
        <v>2.46965848151285E-2</v>
      </c>
      <c r="E735" s="37">
        <v>21.2</v>
      </c>
      <c r="F735" s="37">
        <v>21.079000000000001</v>
      </c>
      <c r="G735" s="37">
        <v>22.088000000000001</v>
      </c>
      <c r="H735" s="7">
        <v>525700610</v>
      </c>
      <c r="I735" s="37">
        <v>11376316897</v>
      </c>
      <c r="J735" s="37">
        <v>97292098451.554596</v>
      </c>
    </row>
    <row r="736" spans="1:10" x14ac:dyDescent="0.2">
      <c r="A736" s="36">
        <v>44665</v>
      </c>
      <c r="B736" s="37">
        <v>21.257999999999999</v>
      </c>
      <c r="C736" s="38">
        <v>-0.94499999999999995</v>
      </c>
      <c r="D736" s="39">
        <v>-4.2561815970814799E-2</v>
      </c>
      <c r="E736" s="37">
        <v>22.504999999999999</v>
      </c>
      <c r="F736" s="37">
        <v>21.163</v>
      </c>
      <c r="G736" s="37">
        <v>22.777000000000001</v>
      </c>
      <c r="H736" s="7">
        <v>569096850</v>
      </c>
      <c r="I736" s="37">
        <v>12365097157</v>
      </c>
      <c r="J736" s="37">
        <v>85915781554.554596</v>
      </c>
    </row>
    <row r="737" spans="1:10" x14ac:dyDescent="0.2">
      <c r="A737" s="36">
        <v>44664</v>
      </c>
      <c r="B737" s="37">
        <v>22.202999999999999</v>
      </c>
      <c r="C737" s="38">
        <v>0.69899999999999796</v>
      </c>
      <c r="D737" s="39">
        <v>3.2505580357142801E-2</v>
      </c>
      <c r="E737" s="37">
        <v>21.728000000000002</v>
      </c>
      <c r="F737" s="37">
        <v>21.454999999999998</v>
      </c>
      <c r="G737" s="37">
        <v>22.5</v>
      </c>
      <c r="H737" s="7">
        <v>516943440</v>
      </c>
      <c r="I737" s="37">
        <v>11405373395</v>
      </c>
      <c r="J737" s="37">
        <v>98280878711.554596</v>
      </c>
    </row>
    <row r="738" spans="1:10" x14ac:dyDescent="0.2">
      <c r="A738" s="36">
        <v>44663</v>
      </c>
      <c r="B738" s="37">
        <v>21.504000000000001</v>
      </c>
      <c r="C738" s="38">
        <v>-0.41299999999999998</v>
      </c>
      <c r="D738" s="39">
        <v>-1.8843819865857599E-2</v>
      </c>
      <c r="E738" s="37">
        <v>22.536999999999999</v>
      </c>
      <c r="F738" s="37">
        <v>21.282039999999999</v>
      </c>
      <c r="G738" s="37">
        <v>22.725000000000001</v>
      </c>
      <c r="H738" s="7">
        <v>662258070</v>
      </c>
      <c r="I738" s="37">
        <v>14484556219</v>
      </c>
      <c r="J738" s="37">
        <v>86875505316.554596</v>
      </c>
    </row>
    <row r="739" spans="1:10" x14ac:dyDescent="0.2">
      <c r="A739" s="36">
        <v>44662</v>
      </c>
      <c r="B739" s="37">
        <v>21.917000000000002</v>
      </c>
      <c r="C739" s="38">
        <v>-1.202</v>
      </c>
      <c r="D739" s="39">
        <v>-5.1991868160387499E-2</v>
      </c>
      <c r="E739" s="37">
        <v>22.213999999999999</v>
      </c>
      <c r="F739" s="37">
        <v>21.66</v>
      </c>
      <c r="G739" s="37">
        <v>22.319939999999999</v>
      </c>
      <c r="H739" s="7">
        <v>575206840</v>
      </c>
      <c r="I739" s="37">
        <v>12628991553</v>
      </c>
      <c r="J739" s="37">
        <v>101360061535.55499</v>
      </c>
    </row>
    <row r="740" spans="1:10" x14ac:dyDescent="0.2">
      <c r="A740" s="36">
        <v>44659</v>
      </c>
      <c r="B740" s="37">
        <v>23.119</v>
      </c>
      <c r="C740" s="38">
        <v>-1.089</v>
      </c>
      <c r="D740" s="39">
        <v>-4.49851288830138E-2</v>
      </c>
      <c r="E740" s="37">
        <v>23.917000000000002</v>
      </c>
      <c r="F740" s="37">
        <v>23.062010000000001</v>
      </c>
      <c r="G740" s="37">
        <v>23.922999999999998</v>
      </c>
      <c r="H740" s="7">
        <v>524780640</v>
      </c>
      <c r="I740" s="37">
        <v>12240492425</v>
      </c>
      <c r="J740" s="37">
        <v>113989053088.55499</v>
      </c>
    </row>
    <row r="741" spans="1:10" x14ac:dyDescent="0.2">
      <c r="A741" s="36">
        <v>44658</v>
      </c>
      <c r="B741" s="37">
        <v>24.207999999999998</v>
      </c>
      <c r="C741" s="38">
        <v>-0.19900000000000201</v>
      </c>
      <c r="D741" s="39">
        <v>-8.1533986151514602E-3</v>
      </c>
      <c r="E741" s="37">
        <v>24.440999999999999</v>
      </c>
      <c r="F741" s="37">
        <v>23.478000000000002</v>
      </c>
      <c r="G741" s="37">
        <v>24.722000000000001</v>
      </c>
      <c r="H741" s="7">
        <v>557992360</v>
      </c>
      <c r="I741" s="37">
        <v>13478248647</v>
      </c>
      <c r="J741" s="37">
        <v>126229545513.55499</v>
      </c>
    </row>
    <row r="742" spans="1:10" x14ac:dyDescent="0.2">
      <c r="A742" s="36">
        <v>44657</v>
      </c>
      <c r="B742" s="37">
        <v>24.407</v>
      </c>
      <c r="C742" s="38">
        <v>-1.524</v>
      </c>
      <c r="D742" s="39">
        <v>-5.8771354749142003E-2</v>
      </c>
      <c r="E742" s="37">
        <v>24.934000000000001</v>
      </c>
      <c r="F742" s="37">
        <v>24.003</v>
      </c>
      <c r="G742" s="37">
        <v>25.3</v>
      </c>
      <c r="H742" s="7">
        <v>703832560</v>
      </c>
      <c r="I742" s="37">
        <v>17262913900</v>
      </c>
      <c r="J742" s="37">
        <v>139707794160.55499</v>
      </c>
    </row>
    <row r="743" spans="1:10" x14ac:dyDescent="0.2">
      <c r="A743" s="36">
        <v>44656</v>
      </c>
      <c r="B743" s="37">
        <v>25.931000000000001</v>
      </c>
      <c r="C743" s="38">
        <v>-1.429</v>
      </c>
      <c r="D743" s="39">
        <v>-5.2229532163742598E-2</v>
      </c>
      <c r="E743" s="37">
        <v>27.254000000000001</v>
      </c>
      <c r="F743" s="37">
        <v>25.82</v>
      </c>
      <c r="G743" s="37">
        <v>27.318999999999999</v>
      </c>
      <c r="H743" s="7">
        <v>436614730</v>
      </c>
      <c r="I743" s="37">
        <v>11479327239</v>
      </c>
      <c r="J743" s="37">
        <v>156970708060.55499</v>
      </c>
    </row>
    <row r="744" spans="1:10" x14ac:dyDescent="0.2">
      <c r="A744" s="36">
        <v>44655</v>
      </c>
      <c r="B744" s="37">
        <v>27.36</v>
      </c>
      <c r="C744" s="38">
        <v>0.64800000000000002</v>
      </c>
      <c r="D744" s="39">
        <v>2.4258760107816701E-2</v>
      </c>
      <c r="E744" s="37">
        <v>26.728000000000002</v>
      </c>
      <c r="F744" s="37">
        <v>26.613</v>
      </c>
      <c r="G744" s="37">
        <v>27.558</v>
      </c>
      <c r="H744" s="7">
        <v>397707820</v>
      </c>
      <c r="I744" s="37">
        <v>10838677554</v>
      </c>
      <c r="J744" s="37">
        <v>168450035299.55499</v>
      </c>
    </row>
    <row r="745" spans="1:10" x14ac:dyDescent="0.2">
      <c r="A745" s="36">
        <v>44652</v>
      </c>
      <c r="B745" s="37">
        <v>26.712</v>
      </c>
      <c r="C745" s="38">
        <v>-0.57400000000000195</v>
      </c>
      <c r="D745" s="39">
        <v>-2.10364289379169E-2</v>
      </c>
      <c r="E745" s="37">
        <v>27.375</v>
      </c>
      <c r="F745" s="37">
        <v>26.266999999999999</v>
      </c>
      <c r="G745" s="37">
        <v>27.495999999999999</v>
      </c>
      <c r="H745" s="7">
        <v>517235110</v>
      </c>
      <c r="I745" s="37">
        <v>13790814894</v>
      </c>
      <c r="J745" s="37">
        <v>157611357745.55499</v>
      </c>
    </row>
    <row r="746" spans="1:10" x14ac:dyDescent="0.2">
      <c r="A746" s="36">
        <v>44651</v>
      </c>
      <c r="B746" s="37">
        <v>27.286000000000001</v>
      </c>
      <c r="C746" s="38">
        <v>-0.40400000000000003</v>
      </c>
      <c r="D746" s="39">
        <v>-1.45901047309498E-2</v>
      </c>
      <c r="E746" s="37">
        <v>27.782</v>
      </c>
      <c r="F746" s="37">
        <v>27.27</v>
      </c>
      <c r="G746" s="37">
        <v>28.248000000000001</v>
      </c>
      <c r="H746" s="7">
        <v>523440220</v>
      </c>
      <c r="I746" s="37">
        <v>14511778697</v>
      </c>
      <c r="J746" s="37">
        <v>171402172639.55499</v>
      </c>
    </row>
    <row r="747" spans="1:10" x14ac:dyDescent="0.2">
      <c r="A747" s="36">
        <v>44650</v>
      </c>
      <c r="B747" s="37">
        <v>27.69</v>
      </c>
      <c r="C747" s="38">
        <v>-0.96599999999999797</v>
      </c>
      <c r="D747" s="39">
        <v>-3.3710217755443798E-2</v>
      </c>
      <c r="E747" s="37">
        <v>28.303999999999998</v>
      </c>
      <c r="F747" s="37">
        <v>27.503</v>
      </c>
      <c r="G747" s="37">
        <v>28.4955</v>
      </c>
      <c r="H747" s="7">
        <v>463487130</v>
      </c>
      <c r="I747" s="37">
        <v>12971615765</v>
      </c>
      <c r="J747" s="37">
        <v>185913951336.55499</v>
      </c>
    </row>
    <row r="748" spans="1:10" x14ac:dyDescent="0.2">
      <c r="A748" s="36">
        <v>44649</v>
      </c>
      <c r="B748" s="37">
        <v>28.655999999999999</v>
      </c>
      <c r="C748" s="38">
        <v>0.436999999999998</v>
      </c>
      <c r="D748" s="39">
        <v>1.5486020057408E-2</v>
      </c>
      <c r="E748" s="37">
        <v>28.694500000000001</v>
      </c>
      <c r="F748" s="37">
        <v>27.98</v>
      </c>
      <c r="G748" s="37">
        <v>28.946000000000002</v>
      </c>
      <c r="H748" s="7">
        <v>488984400</v>
      </c>
      <c r="I748" s="37">
        <v>13916373669</v>
      </c>
      <c r="J748" s="37">
        <v>198885567101.55499</v>
      </c>
    </row>
    <row r="749" spans="1:10" x14ac:dyDescent="0.2">
      <c r="A749" s="36">
        <v>44648</v>
      </c>
      <c r="B749" s="37">
        <v>28.219000000000001</v>
      </c>
      <c r="C749" s="38">
        <v>0.52700000000000102</v>
      </c>
      <c r="D749" s="39">
        <v>1.9030767008522399E-2</v>
      </c>
      <c r="E749" s="37">
        <v>27.755500000000001</v>
      </c>
      <c r="F749" s="37">
        <v>27.206</v>
      </c>
      <c r="G749" s="37">
        <v>28.25</v>
      </c>
      <c r="H749" s="7">
        <v>425493920</v>
      </c>
      <c r="I749" s="37">
        <v>11836740315</v>
      </c>
      <c r="J749" s="37">
        <v>184969193432.55499</v>
      </c>
    </row>
    <row r="750" spans="1:10" x14ac:dyDescent="0.2">
      <c r="A750" s="36">
        <v>44645</v>
      </c>
      <c r="B750" s="37">
        <v>27.692</v>
      </c>
      <c r="C750" s="38">
        <v>-0.45799999999999802</v>
      </c>
      <c r="D750" s="39">
        <v>-1.62699822380106E-2</v>
      </c>
      <c r="E750" s="37">
        <v>27.885999999999999</v>
      </c>
      <c r="F750" s="37">
        <v>27.271000000000001</v>
      </c>
      <c r="G750" s="37">
        <v>28.358000000000001</v>
      </c>
      <c r="H750" s="7">
        <v>579016180</v>
      </c>
      <c r="I750" s="37">
        <v>16060450993</v>
      </c>
      <c r="J750" s="37">
        <v>173132453117.55499</v>
      </c>
    </row>
    <row r="751" spans="1:10" x14ac:dyDescent="0.2">
      <c r="A751" s="36">
        <v>44644</v>
      </c>
      <c r="B751" s="37">
        <v>28.15</v>
      </c>
      <c r="C751" s="38">
        <v>2.516</v>
      </c>
      <c r="D751" s="39">
        <v>9.8150893344776405E-2</v>
      </c>
      <c r="E751" s="37">
        <v>26.166</v>
      </c>
      <c r="F751" s="37">
        <v>25.907</v>
      </c>
      <c r="G751" s="37">
        <v>28.319990000000001</v>
      </c>
      <c r="H751" s="7">
        <v>877379140</v>
      </c>
      <c r="I751" s="37">
        <v>24168754947</v>
      </c>
      <c r="J751" s="37">
        <v>189192904110.55499</v>
      </c>
    </row>
    <row r="752" spans="1:10" x14ac:dyDescent="0.2">
      <c r="A752" s="36">
        <v>44643</v>
      </c>
      <c r="B752" s="37">
        <v>25.634</v>
      </c>
      <c r="C752" s="38">
        <v>-0.89000000000000101</v>
      </c>
      <c r="D752" s="39">
        <v>-3.3554516664153197E-2</v>
      </c>
      <c r="E752" s="37">
        <v>26.126000000000001</v>
      </c>
      <c r="F752" s="37">
        <v>25.575009999999999</v>
      </c>
      <c r="G752" s="37">
        <v>26.611499999999999</v>
      </c>
      <c r="H752" s="7">
        <v>502119860</v>
      </c>
      <c r="I752" s="37">
        <v>13071229192</v>
      </c>
      <c r="J752" s="37">
        <v>165024149163.55499</v>
      </c>
    </row>
    <row r="753" spans="1:10" x14ac:dyDescent="0.2">
      <c r="A753" s="36">
        <v>44642</v>
      </c>
      <c r="B753" s="37">
        <v>26.524000000000001</v>
      </c>
      <c r="C753" s="38">
        <v>-0.21000000000000099</v>
      </c>
      <c r="D753" s="39">
        <v>-7.8551657065908907E-3</v>
      </c>
      <c r="E753" s="37">
        <v>26.727</v>
      </c>
      <c r="F753" s="37">
        <v>26.071999999999999</v>
      </c>
      <c r="G753" s="37">
        <v>27.238</v>
      </c>
      <c r="H753" s="7">
        <v>547007100</v>
      </c>
      <c r="I753" s="37">
        <v>14626906481</v>
      </c>
      <c r="J753" s="37">
        <v>178095378355.55499</v>
      </c>
    </row>
    <row r="754" spans="1:10" x14ac:dyDescent="0.2">
      <c r="A754" s="36">
        <v>44641</v>
      </c>
      <c r="B754" s="37">
        <v>26.734000000000002</v>
      </c>
      <c r="C754" s="38">
        <v>0.28100000000000203</v>
      </c>
      <c r="D754" s="39">
        <v>1.0622613692208901E-2</v>
      </c>
      <c r="E754" s="37">
        <v>26.507000000000001</v>
      </c>
      <c r="F754" s="37">
        <v>25.966999999999999</v>
      </c>
      <c r="G754" s="37">
        <v>27.151990000000001</v>
      </c>
      <c r="H754" s="7">
        <v>591727080</v>
      </c>
      <c r="I754" s="37">
        <v>15690722290</v>
      </c>
      <c r="J754" s="37">
        <v>192722284836.55499</v>
      </c>
    </row>
    <row r="755" spans="1:10" x14ac:dyDescent="0.2">
      <c r="A755" s="36">
        <v>44638</v>
      </c>
      <c r="B755" s="37">
        <v>26.452999999999999</v>
      </c>
      <c r="C755" s="38">
        <v>1.6870000000000001</v>
      </c>
      <c r="D755" s="39">
        <v>6.8117580553985396E-2</v>
      </c>
      <c r="E755" s="37">
        <v>24.798999999999999</v>
      </c>
      <c r="F755" s="37">
        <v>24.623999999999999</v>
      </c>
      <c r="G755" s="37">
        <v>26.568989999999999</v>
      </c>
      <c r="H755" s="7">
        <v>730718560</v>
      </c>
      <c r="I755" s="37">
        <v>19018438460</v>
      </c>
      <c r="J755" s="37">
        <v>177031562546.55499</v>
      </c>
    </row>
    <row r="756" spans="1:10" x14ac:dyDescent="0.2">
      <c r="A756" s="36">
        <v>44637</v>
      </c>
      <c r="B756" s="37">
        <v>24.765999999999998</v>
      </c>
      <c r="C756" s="38">
        <v>0.27</v>
      </c>
      <c r="D756" s="39">
        <v>1.1022207707380801E-2</v>
      </c>
      <c r="E756" s="37">
        <v>24.12</v>
      </c>
      <c r="F756" s="37">
        <v>23.905999999999999</v>
      </c>
      <c r="G756" s="37">
        <v>24.841999999999999</v>
      </c>
      <c r="H756" s="7">
        <v>471941190</v>
      </c>
      <c r="I756" s="37">
        <v>11536850912</v>
      </c>
      <c r="J756" s="37">
        <v>158013124086.55499</v>
      </c>
    </row>
    <row r="757" spans="1:10" x14ac:dyDescent="0.2">
      <c r="A757" s="36">
        <v>44636</v>
      </c>
      <c r="B757" s="37">
        <v>24.495999999999999</v>
      </c>
      <c r="C757" s="38">
        <v>1.5229999999999999</v>
      </c>
      <c r="D757" s="39">
        <v>6.6295216123275102E-2</v>
      </c>
      <c r="E757" s="37">
        <v>23.5</v>
      </c>
      <c r="F757" s="37">
        <v>23.172000000000001</v>
      </c>
      <c r="G757" s="37">
        <v>24.597000000000001</v>
      </c>
      <c r="H757" s="7">
        <v>671421740</v>
      </c>
      <c r="I757" s="37">
        <v>16114242650</v>
      </c>
      <c r="J757" s="37">
        <v>146476273174.55499</v>
      </c>
    </row>
    <row r="758" spans="1:10" x14ac:dyDescent="0.2">
      <c r="A758" s="36">
        <v>44635</v>
      </c>
      <c r="B758" s="37">
        <v>22.972999999999999</v>
      </c>
      <c r="C758" s="38">
        <v>1.643</v>
      </c>
      <c r="D758" s="39">
        <v>7.7027660571964404E-2</v>
      </c>
      <c r="E758" s="37">
        <v>21.518000000000001</v>
      </c>
      <c r="F758" s="37">
        <v>21.322009999999999</v>
      </c>
      <c r="G758" s="37">
        <v>23.038</v>
      </c>
      <c r="H758" s="7">
        <v>491995690</v>
      </c>
      <c r="I758" s="37">
        <v>11080735194</v>
      </c>
      <c r="J758" s="37">
        <v>130362030524.55499</v>
      </c>
    </row>
    <row r="759" spans="1:10" x14ac:dyDescent="0.2">
      <c r="A759" s="36">
        <v>44634</v>
      </c>
      <c r="B759" s="37">
        <v>21.33</v>
      </c>
      <c r="C759" s="38">
        <v>-0.77000000000000302</v>
      </c>
      <c r="D759" s="39">
        <v>-3.48416289592762E-2</v>
      </c>
      <c r="E759" s="37">
        <v>21.869</v>
      </c>
      <c r="F759" s="37">
        <v>21.159009999999999</v>
      </c>
      <c r="G759" s="37">
        <v>22.262</v>
      </c>
      <c r="H759" s="7">
        <v>385354240</v>
      </c>
      <c r="I759" s="37">
        <v>8325945568</v>
      </c>
      <c r="J759" s="37">
        <v>119281295330.55499</v>
      </c>
    </row>
    <row r="760" spans="1:10" x14ac:dyDescent="0.2">
      <c r="A760" s="36">
        <v>44631</v>
      </c>
      <c r="B760" s="37">
        <v>22.1</v>
      </c>
      <c r="C760" s="38">
        <v>-0.55800000000000005</v>
      </c>
      <c r="D760" s="39">
        <v>-2.4627063288904599E-2</v>
      </c>
      <c r="E760" s="37">
        <v>23.021999999999998</v>
      </c>
      <c r="F760" s="37">
        <v>22.045999999999999</v>
      </c>
      <c r="G760" s="37">
        <v>23.145</v>
      </c>
      <c r="H760" s="7">
        <v>367208570</v>
      </c>
      <c r="I760" s="37">
        <v>8261590312</v>
      </c>
      <c r="J760" s="37">
        <v>127607240898.55499</v>
      </c>
    </row>
    <row r="761" spans="1:10" x14ac:dyDescent="0.2">
      <c r="A761" s="36">
        <v>44630</v>
      </c>
      <c r="B761" s="37">
        <v>22.658000000000001</v>
      </c>
      <c r="C761" s="38">
        <v>-0.35599999999999798</v>
      </c>
      <c r="D761" s="39">
        <v>-1.54688450508385E-2</v>
      </c>
      <c r="E761" s="37">
        <v>22.530999999999999</v>
      </c>
      <c r="F761" s="37">
        <v>21.882000000000001</v>
      </c>
      <c r="G761" s="37">
        <v>22.788</v>
      </c>
      <c r="H761" s="7">
        <v>428065650</v>
      </c>
      <c r="I761" s="37">
        <v>9572843271</v>
      </c>
      <c r="J761" s="37">
        <v>135868831210.55499</v>
      </c>
    </row>
    <row r="762" spans="1:10" x14ac:dyDescent="0.2">
      <c r="A762" s="36">
        <v>44629</v>
      </c>
      <c r="B762" s="37">
        <v>23.013999999999999</v>
      </c>
      <c r="C762" s="38">
        <v>1.5</v>
      </c>
      <c r="D762" s="39">
        <v>6.9722041461374007E-2</v>
      </c>
      <c r="E762" s="37">
        <v>22.387</v>
      </c>
      <c r="F762" s="37">
        <v>22.247</v>
      </c>
      <c r="G762" s="37">
        <v>23.22</v>
      </c>
      <c r="H762" s="7">
        <v>492741950</v>
      </c>
      <c r="I762" s="37">
        <v>11227591537</v>
      </c>
      <c r="J762" s="37">
        <v>145441674481.55499</v>
      </c>
    </row>
    <row r="763" spans="1:10" x14ac:dyDescent="0.2">
      <c r="A763" s="36">
        <v>44628</v>
      </c>
      <c r="B763" s="37">
        <v>21.513999999999999</v>
      </c>
      <c r="C763" s="38">
        <v>0.16199999999999901</v>
      </c>
      <c r="D763" s="39">
        <v>7.5871112776320299E-3</v>
      </c>
      <c r="E763" s="37">
        <v>21.309000000000001</v>
      </c>
      <c r="F763" s="37">
        <v>20.65</v>
      </c>
      <c r="G763" s="37">
        <v>22.372990000000001</v>
      </c>
      <c r="H763" s="7">
        <v>557467190</v>
      </c>
      <c r="I763" s="37">
        <v>12005316623</v>
      </c>
      <c r="J763" s="37">
        <v>134214082944.55499</v>
      </c>
    </row>
    <row r="764" spans="1:10" x14ac:dyDescent="0.2">
      <c r="A764" s="36">
        <v>44627</v>
      </c>
      <c r="B764" s="37">
        <v>21.352</v>
      </c>
      <c r="C764" s="38">
        <v>-1.5840000000000001</v>
      </c>
      <c r="D764" s="39">
        <v>-6.9061737007324694E-2</v>
      </c>
      <c r="E764" s="37">
        <v>22.817</v>
      </c>
      <c r="F764" s="37">
        <v>21.33</v>
      </c>
      <c r="G764" s="37">
        <v>23.033000000000001</v>
      </c>
      <c r="H764" s="7">
        <v>450820890</v>
      </c>
      <c r="I764" s="37">
        <v>9889422799</v>
      </c>
      <c r="J764" s="37">
        <v>122208766321.55499</v>
      </c>
    </row>
    <row r="765" spans="1:10" x14ac:dyDescent="0.2">
      <c r="A765" s="36">
        <v>44624</v>
      </c>
      <c r="B765" s="37">
        <v>22.936</v>
      </c>
      <c r="C765" s="38">
        <v>-0.77799999999999903</v>
      </c>
      <c r="D765" s="39">
        <v>-3.2807624188243199E-2</v>
      </c>
      <c r="E765" s="37">
        <v>23.384</v>
      </c>
      <c r="F765" s="37">
        <v>22.481999999999999</v>
      </c>
      <c r="G765" s="37">
        <v>23.68</v>
      </c>
      <c r="H765" s="7">
        <v>432010700</v>
      </c>
      <c r="I765" s="37">
        <v>9910530101</v>
      </c>
      <c r="J765" s="37">
        <v>132098189120.55499</v>
      </c>
    </row>
    <row r="766" spans="1:10" x14ac:dyDescent="0.2">
      <c r="A766" s="36">
        <v>44623</v>
      </c>
      <c r="B766" s="37">
        <v>23.713999999999999</v>
      </c>
      <c r="C766" s="38">
        <v>-0.50600000000000001</v>
      </c>
      <c r="D766" s="39">
        <v>-2.08918249380677E-2</v>
      </c>
      <c r="E766" s="37">
        <v>24.261500000000002</v>
      </c>
      <c r="F766" s="37">
        <v>23.469000000000001</v>
      </c>
      <c r="G766" s="37">
        <v>24.325990000000001</v>
      </c>
      <c r="H766" s="7">
        <v>365095040</v>
      </c>
      <c r="I766" s="37">
        <v>8709841930</v>
      </c>
      <c r="J766" s="37">
        <v>142008719221.55499</v>
      </c>
    </row>
    <row r="767" spans="1:10" x14ac:dyDescent="0.2">
      <c r="A767" s="36">
        <v>44622</v>
      </c>
      <c r="B767" s="37">
        <v>24.22</v>
      </c>
      <c r="C767" s="38">
        <v>0.74299999999999899</v>
      </c>
      <c r="D767" s="39">
        <v>3.1647995910891499E-2</v>
      </c>
      <c r="E767" s="37">
        <v>23.756</v>
      </c>
      <c r="F767" s="37">
        <v>23.414999999999999</v>
      </c>
      <c r="G767" s="37">
        <v>24.408999999999999</v>
      </c>
      <c r="H767" s="7">
        <v>389641850</v>
      </c>
      <c r="I767" s="37">
        <v>9362162377</v>
      </c>
      <c r="J767" s="37">
        <v>150718561151.55499</v>
      </c>
    </row>
    <row r="768" spans="1:10" x14ac:dyDescent="0.2">
      <c r="A768" s="36">
        <v>44621</v>
      </c>
      <c r="B768" s="37">
        <v>23.477</v>
      </c>
      <c r="C768" s="38">
        <v>-0.90800000000000103</v>
      </c>
      <c r="D768" s="39">
        <v>-3.7236005741234403E-2</v>
      </c>
      <c r="E768" s="37">
        <v>24.291</v>
      </c>
      <c r="F768" s="37">
        <v>23.132000000000001</v>
      </c>
      <c r="G768" s="37">
        <v>24.376999999999999</v>
      </c>
      <c r="H768" s="7">
        <v>412055980</v>
      </c>
      <c r="I768" s="37">
        <v>9740272724</v>
      </c>
      <c r="J768" s="37">
        <v>141356398774.55499</v>
      </c>
    </row>
    <row r="769" spans="1:10" x14ac:dyDescent="0.2">
      <c r="A769" s="36">
        <v>44620</v>
      </c>
      <c r="B769" s="37">
        <v>24.385000000000002</v>
      </c>
      <c r="C769" s="38">
        <v>0.22800000000000201</v>
      </c>
      <c r="D769" s="39">
        <v>9.4382580618454903E-3</v>
      </c>
      <c r="E769" s="37">
        <v>23.992000000000001</v>
      </c>
      <c r="F769" s="37">
        <v>23.70701</v>
      </c>
      <c r="G769" s="37">
        <v>24.664999999999999</v>
      </c>
      <c r="H769" s="7">
        <v>477318610</v>
      </c>
      <c r="I769" s="37">
        <v>11542000473</v>
      </c>
      <c r="J769" s="37">
        <v>151096671498.55499</v>
      </c>
    </row>
    <row r="770" spans="1:10" x14ac:dyDescent="0.2">
      <c r="A770" s="36">
        <v>44617</v>
      </c>
      <c r="B770" s="37">
        <v>24.157</v>
      </c>
      <c r="C770" s="38">
        <v>0.40899999999999898</v>
      </c>
      <c r="D770" s="39">
        <v>1.72225029476166E-2</v>
      </c>
      <c r="E770" s="37">
        <v>23.721</v>
      </c>
      <c r="F770" s="37">
        <v>23.381</v>
      </c>
      <c r="G770" s="37">
        <v>24.216999999999999</v>
      </c>
      <c r="H770" s="7">
        <v>528865510</v>
      </c>
      <c r="I770" s="37">
        <v>12628520149</v>
      </c>
      <c r="J770" s="37">
        <v>139554671025.55499</v>
      </c>
    </row>
    <row r="771" spans="1:10" x14ac:dyDescent="0.2">
      <c r="A771" s="36">
        <v>44616</v>
      </c>
      <c r="B771" s="37">
        <v>23.748000000000001</v>
      </c>
      <c r="C771" s="38">
        <v>1.361</v>
      </c>
      <c r="D771" s="39">
        <v>6.0794210925983902E-2</v>
      </c>
      <c r="E771" s="37">
        <v>21.015000000000001</v>
      </c>
      <c r="F771" s="37">
        <v>20.89</v>
      </c>
      <c r="G771" s="37">
        <v>23.8</v>
      </c>
      <c r="H771" s="7">
        <v>735800630</v>
      </c>
      <c r="I771" s="37">
        <v>16546318337</v>
      </c>
      <c r="J771" s="37">
        <v>126926150876.55499</v>
      </c>
    </row>
    <row r="772" spans="1:10" x14ac:dyDescent="0.2">
      <c r="A772" s="36">
        <v>44615</v>
      </c>
      <c r="B772" s="37">
        <v>22.387</v>
      </c>
      <c r="C772" s="38">
        <v>-1.0029999999999999</v>
      </c>
      <c r="D772" s="39">
        <v>-4.2881573321932501E-2</v>
      </c>
      <c r="E772" s="37">
        <v>23.802</v>
      </c>
      <c r="F772" s="37">
        <v>22.300999999999998</v>
      </c>
      <c r="G772" s="37">
        <v>24.154990000000002</v>
      </c>
      <c r="H772" s="7">
        <v>566510770</v>
      </c>
      <c r="I772" s="37">
        <v>13048261940</v>
      </c>
      <c r="J772" s="37">
        <v>110379832539.55499</v>
      </c>
    </row>
    <row r="773" spans="1:10" x14ac:dyDescent="0.2">
      <c r="A773" s="36">
        <v>44614</v>
      </c>
      <c r="B773" s="37">
        <v>23.39</v>
      </c>
      <c r="C773" s="38">
        <v>-0.251999999999999</v>
      </c>
      <c r="D773" s="39">
        <v>-1.06589967007867E-2</v>
      </c>
      <c r="E773" s="37">
        <v>23.035</v>
      </c>
      <c r="F773" s="37">
        <v>23</v>
      </c>
      <c r="G773" s="37">
        <v>24.06399</v>
      </c>
      <c r="H773" s="7">
        <v>633422440</v>
      </c>
      <c r="I773" s="37">
        <v>14848698095</v>
      </c>
      <c r="J773" s="37">
        <v>123428094479.55499</v>
      </c>
    </row>
    <row r="774" spans="1:10" x14ac:dyDescent="0.2">
      <c r="A774" s="36">
        <v>44610</v>
      </c>
      <c r="B774" s="37">
        <v>23.641999999999999</v>
      </c>
      <c r="C774" s="38">
        <v>-0.86500000000000199</v>
      </c>
      <c r="D774" s="39">
        <v>-3.5296037866732001E-2</v>
      </c>
      <c r="E774" s="37">
        <v>24.6675</v>
      </c>
      <c r="F774" s="37">
        <v>23.1</v>
      </c>
      <c r="G774" s="37">
        <v>24.986000000000001</v>
      </c>
      <c r="H774" s="7">
        <v>761254910</v>
      </c>
      <c r="I774" s="37">
        <v>18066197496</v>
      </c>
      <c r="J774" s="37">
        <v>138276792574.55499</v>
      </c>
    </row>
    <row r="775" spans="1:10" x14ac:dyDescent="0.2">
      <c r="A775" s="36">
        <v>44609</v>
      </c>
      <c r="B775" s="37">
        <v>24.507000000000001</v>
      </c>
      <c r="C775" s="38">
        <v>-2.004</v>
      </c>
      <c r="D775" s="39">
        <v>-7.5591264003621095E-2</v>
      </c>
      <c r="E775" s="37">
        <v>25.63</v>
      </c>
      <c r="F775" s="37">
        <v>24.164999999999999</v>
      </c>
      <c r="G775" s="37">
        <v>25.785</v>
      </c>
      <c r="H775" s="7">
        <v>810595080</v>
      </c>
      <c r="I775" s="37">
        <v>20019330884</v>
      </c>
      <c r="J775" s="37">
        <v>156342990070.55499</v>
      </c>
    </row>
    <row r="776" spans="1:10" x14ac:dyDescent="0.2">
      <c r="A776" s="36">
        <v>44608</v>
      </c>
      <c r="B776" s="37">
        <v>26.510999999999999</v>
      </c>
      <c r="C776" s="38">
        <v>1.59999999999982E-2</v>
      </c>
      <c r="D776" s="39">
        <v>6.0388752594822605E-4</v>
      </c>
      <c r="E776" s="37">
        <v>26.259</v>
      </c>
      <c r="F776" s="37">
        <v>25.552</v>
      </c>
      <c r="G776" s="37">
        <v>26.582000000000001</v>
      </c>
      <c r="H776" s="7">
        <v>732676330</v>
      </c>
      <c r="I776" s="37">
        <v>19149755805</v>
      </c>
      <c r="J776" s="37">
        <v>176362320954.55499</v>
      </c>
    </row>
    <row r="777" spans="1:10" x14ac:dyDescent="0.2">
      <c r="A777" s="36">
        <v>44607</v>
      </c>
      <c r="B777" s="37">
        <v>26.495000000000001</v>
      </c>
      <c r="C777" s="38">
        <v>2.2280000000000002</v>
      </c>
      <c r="D777" s="39">
        <v>9.1811925660361907E-2</v>
      </c>
      <c r="E777" s="37">
        <v>24.949000000000002</v>
      </c>
      <c r="F777" s="37">
        <v>24.783999999999999</v>
      </c>
      <c r="G777" s="37">
        <v>26.545000000000002</v>
      </c>
      <c r="H777" s="7">
        <v>701752800</v>
      </c>
      <c r="I777" s="37">
        <v>18237721495</v>
      </c>
      <c r="J777" s="37">
        <v>157212565149.55499</v>
      </c>
    </row>
    <row r="778" spans="1:10" x14ac:dyDescent="0.2">
      <c r="A778" s="36">
        <v>44606</v>
      </c>
      <c r="B778" s="37">
        <v>24.266999999999999</v>
      </c>
      <c r="C778" s="38">
        <v>0.31799999999999801</v>
      </c>
      <c r="D778" s="39">
        <v>1.3278216209445E-2</v>
      </c>
      <c r="E778" s="37">
        <v>23.934000000000001</v>
      </c>
      <c r="F778" s="37">
        <v>23.754999999999999</v>
      </c>
      <c r="G778" s="37">
        <v>24.875</v>
      </c>
      <c r="H778" s="7">
        <v>440424430</v>
      </c>
      <c r="I778" s="37">
        <v>10723462541</v>
      </c>
      <c r="J778" s="37">
        <v>138974843654.55499</v>
      </c>
    </row>
    <row r="779" spans="1:10" x14ac:dyDescent="0.2">
      <c r="A779" s="36">
        <v>44603</v>
      </c>
      <c r="B779" s="37">
        <v>23.949000000000002</v>
      </c>
      <c r="C779" s="38">
        <v>-1.875</v>
      </c>
      <c r="D779" s="39">
        <v>-7.2606877323420096E-2</v>
      </c>
      <c r="E779" s="37">
        <v>25.916</v>
      </c>
      <c r="F779" s="37">
        <v>23.773</v>
      </c>
      <c r="G779" s="37">
        <v>26.152000000000001</v>
      </c>
      <c r="H779" s="7">
        <v>605471980</v>
      </c>
      <c r="I779" s="37">
        <v>14952040460</v>
      </c>
      <c r="J779" s="37">
        <v>128251381113.55499</v>
      </c>
    </row>
    <row r="780" spans="1:10" x14ac:dyDescent="0.2">
      <c r="A780" s="36">
        <v>44602</v>
      </c>
      <c r="B780" s="37">
        <v>25.824000000000002</v>
      </c>
      <c r="C780" s="38">
        <v>-0.88099999999999701</v>
      </c>
      <c r="D780" s="39">
        <v>-3.2990076764650697E-2</v>
      </c>
      <c r="E780" s="37">
        <v>25.995000000000001</v>
      </c>
      <c r="F780" s="37">
        <v>25.6</v>
      </c>
      <c r="G780" s="37">
        <v>26.924990000000001</v>
      </c>
      <c r="H780" s="7">
        <v>513199720</v>
      </c>
      <c r="I780" s="37">
        <v>13499079295</v>
      </c>
      <c r="J780" s="37">
        <v>143203421573.55499</v>
      </c>
    </row>
    <row r="781" spans="1:10" x14ac:dyDescent="0.2">
      <c r="A781" s="36">
        <v>44601</v>
      </c>
      <c r="B781" s="37">
        <v>26.704999999999998</v>
      </c>
      <c r="C781" s="38">
        <v>1.597</v>
      </c>
      <c r="D781" s="39">
        <v>6.3605225426158901E-2</v>
      </c>
      <c r="E781" s="37">
        <v>25.622</v>
      </c>
      <c r="F781" s="37">
        <v>25.353000000000002</v>
      </c>
      <c r="G781" s="37">
        <v>26.725000000000001</v>
      </c>
      <c r="H781" s="7">
        <v>524281660</v>
      </c>
      <c r="I781" s="37">
        <v>13741464139</v>
      </c>
      <c r="J781" s="37">
        <v>156702500868.55499</v>
      </c>
    </row>
    <row r="782" spans="1:10" x14ac:dyDescent="0.2">
      <c r="A782" s="36">
        <v>44600</v>
      </c>
      <c r="B782" s="37">
        <v>25.108000000000001</v>
      </c>
      <c r="C782" s="38">
        <v>0.37999999999999901</v>
      </c>
      <c r="D782" s="39">
        <v>1.53671950824975E-2</v>
      </c>
      <c r="E782" s="37">
        <v>24.359000000000002</v>
      </c>
      <c r="F782" s="37">
        <v>23.98</v>
      </c>
      <c r="G782" s="37">
        <v>25.23</v>
      </c>
      <c r="H782" s="7">
        <v>410358640</v>
      </c>
      <c r="I782" s="37">
        <v>10150068637</v>
      </c>
      <c r="J782" s="37">
        <v>142961036729.55499</v>
      </c>
    </row>
    <row r="783" spans="1:10" x14ac:dyDescent="0.2">
      <c r="A783" s="36">
        <v>44599</v>
      </c>
      <c r="B783" s="37">
        <v>24.728000000000002</v>
      </c>
      <c r="C783" s="38">
        <v>0.40900000000000197</v>
      </c>
      <c r="D783" s="39">
        <v>1.6818125745302101E-2</v>
      </c>
      <c r="E783" s="37">
        <v>24.372</v>
      </c>
      <c r="F783" s="37">
        <v>24.202000000000002</v>
      </c>
      <c r="G783" s="37">
        <v>25.181999999999999</v>
      </c>
      <c r="H783" s="7">
        <v>376867500</v>
      </c>
      <c r="I783" s="37">
        <v>9332395747</v>
      </c>
      <c r="J783" s="37">
        <v>132810968092.55499</v>
      </c>
    </row>
    <row r="784" spans="1:10" x14ac:dyDescent="0.2">
      <c r="A784" s="36">
        <v>44596</v>
      </c>
      <c r="B784" s="37">
        <v>24.318999999999999</v>
      </c>
      <c r="C784" s="38">
        <v>0.370999999999999</v>
      </c>
      <c r="D784" s="39">
        <v>1.5491899114748599E-2</v>
      </c>
      <c r="E784" s="37">
        <v>23.972000000000001</v>
      </c>
      <c r="F784" s="37">
        <v>23.632000000000001</v>
      </c>
      <c r="G784" s="37">
        <v>24.635000000000002</v>
      </c>
      <c r="H784" s="7">
        <v>354828500</v>
      </c>
      <c r="I784" s="37">
        <v>8596683178</v>
      </c>
      <c r="J784" s="37">
        <v>123478572345.55499</v>
      </c>
    </row>
    <row r="785" spans="1:10" x14ac:dyDescent="0.2">
      <c r="A785" s="36">
        <v>44595</v>
      </c>
      <c r="B785" s="37">
        <v>23.948</v>
      </c>
      <c r="C785" s="38">
        <v>-1.294</v>
      </c>
      <c r="D785" s="39">
        <v>-5.1263766737976398E-2</v>
      </c>
      <c r="E785" s="37">
        <v>24.457999999999998</v>
      </c>
      <c r="F785" s="37">
        <v>23.78</v>
      </c>
      <c r="G785" s="37">
        <v>25.077000000000002</v>
      </c>
      <c r="H785" s="7">
        <v>410177780</v>
      </c>
      <c r="I785" s="37">
        <v>10011484083</v>
      </c>
      <c r="J785" s="37">
        <v>114881889167.55499</v>
      </c>
    </row>
    <row r="786" spans="1:10" x14ac:dyDescent="0.2">
      <c r="A786" s="36">
        <v>44594</v>
      </c>
      <c r="B786" s="37">
        <v>25.242000000000001</v>
      </c>
      <c r="C786" s="38">
        <v>0.60399999999999898</v>
      </c>
      <c r="D786" s="39">
        <v>2.45149768650052E-2</v>
      </c>
      <c r="E786" s="37">
        <v>25.794</v>
      </c>
      <c r="F786" s="37">
        <v>24.55301</v>
      </c>
      <c r="G786" s="37">
        <v>25.817</v>
      </c>
      <c r="H786" s="7">
        <v>543419410</v>
      </c>
      <c r="I786" s="37">
        <v>13672039101</v>
      </c>
      <c r="J786" s="37">
        <v>124893373250.55499</v>
      </c>
    </row>
    <row r="787" spans="1:10" x14ac:dyDescent="0.2">
      <c r="A787" s="36">
        <v>44593</v>
      </c>
      <c r="B787" s="37">
        <v>24.638000000000002</v>
      </c>
      <c r="C787" s="38">
        <v>0.152000000000001</v>
      </c>
      <c r="D787" s="39">
        <v>6.2076288491383202E-3</v>
      </c>
      <c r="E787" s="37">
        <v>25.103999999999999</v>
      </c>
      <c r="F787" s="37">
        <v>23.89001</v>
      </c>
      <c r="G787" s="37">
        <v>25.145</v>
      </c>
      <c r="H787" s="7">
        <v>518925170</v>
      </c>
      <c r="I787" s="37">
        <v>12670530624</v>
      </c>
      <c r="J787" s="37">
        <v>111221334149.55499</v>
      </c>
    </row>
    <row r="788" spans="1:10" x14ac:dyDescent="0.2">
      <c r="A788" s="36">
        <v>44592</v>
      </c>
      <c r="B788" s="37">
        <v>24.486000000000001</v>
      </c>
      <c r="C788" s="38">
        <v>1.6459999999999999</v>
      </c>
      <c r="D788" s="39">
        <v>7.2066549912434399E-2</v>
      </c>
      <c r="E788" s="37">
        <v>23.181999999999999</v>
      </c>
      <c r="F788" s="37">
        <v>23.052</v>
      </c>
      <c r="G788" s="37">
        <v>24.509</v>
      </c>
      <c r="H788" s="7">
        <v>564679680</v>
      </c>
      <c r="I788" s="37">
        <v>13514502846</v>
      </c>
      <c r="J788" s="37">
        <v>98550803525.554596</v>
      </c>
    </row>
    <row r="789" spans="1:10" x14ac:dyDescent="0.2">
      <c r="A789" s="36">
        <v>44589</v>
      </c>
      <c r="B789" s="37">
        <v>22.84</v>
      </c>
      <c r="C789" s="38">
        <v>0.89600000000000102</v>
      </c>
      <c r="D789" s="39">
        <v>4.0831206707984E-2</v>
      </c>
      <c r="E789" s="37">
        <v>22.012149999999998</v>
      </c>
      <c r="F789" s="37">
        <v>21.295999999999999</v>
      </c>
      <c r="G789" s="37">
        <v>22.858000000000001</v>
      </c>
      <c r="H789" s="7">
        <v>543774250</v>
      </c>
      <c r="I789" s="37">
        <v>12023219863</v>
      </c>
      <c r="J789" s="37">
        <v>85036300679.554596</v>
      </c>
    </row>
    <row r="790" spans="1:10" x14ac:dyDescent="0.2">
      <c r="A790" s="36">
        <v>44588</v>
      </c>
      <c r="B790" s="37">
        <v>21.943999999999999</v>
      </c>
      <c r="C790" s="38">
        <v>-0.82799999999999896</v>
      </c>
      <c r="D790" s="39">
        <v>-3.6360442648867002E-2</v>
      </c>
      <c r="E790" s="37">
        <v>23.568000000000001</v>
      </c>
      <c r="F790" s="37">
        <v>21.675000000000001</v>
      </c>
      <c r="G790" s="37">
        <v>23.995000000000001</v>
      </c>
      <c r="H790" s="7">
        <v>573352720</v>
      </c>
      <c r="I790" s="37">
        <v>12856551240</v>
      </c>
      <c r="J790" s="37">
        <v>73013080816.554596</v>
      </c>
    </row>
    <row r="791" spans="1:10" x14ac:dyDescent="0.2">
      <c r="A791" s="36">
        <v>44587</v>
      </c>
      <c r="B791" s="37">
        <v>22.771999999999998</v>
      </c>
      <c r="C791" s="38">
        <v>0.44799999999999701</v>
      </c>
      <c r="D791" s="39">
        <v>2.00680881562443E-2</v>
      </c>
      <c r="E791" s="37">
        <v>23.24</v>
      </c>
      <c r="F791" s="37">
        <v>22.3</v>
      </c>
      <c r="G791" s="37">
        <v>24.056999999999999</v>
      </c>
      <c r="H791" s="7">
        <v>755958730</v>
      </c>
      <c r="I791" s="37">
        <v>17565268239</v>
      </c>
      <c r="J791" s="37">
        <v>85869632056.554596</v>
      </c>
    </row>
    <row r="792" spans="1:10" x14ac:dyDescent="0.2">
      <c r="A792" s="36">
        <v>44586</v>
      </c>
      <c r="B792" s="37">
        <v>22.324000000000002</v>
      </c>
      <c r="C792" s="38">
        <v>-1.048</v>
      </c>
      <c r="D792" s="39">
        <v>-4.4839979462604797E-2</v>
      </c>
      <c r="E792" s="37">
        <v>22.545999999999999</v>
      </c>
      <c r="F792" s="37">
        <v>22</v>
      </c>
      <c r="G792" s="37">
        <v>22.943000000000001</v>
      </c>
      <c r="H792" s="7">
        <v>664616360</v>
      </c>
      <c r="I792" s="37">
        <v>14907689181</v>
      </c>
      <c r="J792" s="37">
        <v>68304363817.554604</v>
      </c>
    </row>
    <row r="793" spans="1:10" x14ac:dyDescent="0.2">
      <c r="A793" s="36">
        <v>44585</v>
      </c>
      <c r="B793" s="37">
        <v>23.372</v>
      </c>
      <c r="C793" s="38">
        <v>-1.9999999999988898E-3</v>
      </c>
      <c r="D793" s="39">
        <v>-8.5565157867668805E-5</v>
      </c>
      <c r="E793" s="37">
        <v>22.33</v>
      </c>
      <c r="F793" s="37">
        <v>20.888000000000002</v>
      </c>
      <c r="G793" s="37">
        <v>23.38</v>
      </c>
      <c r="H793" s="7">
        <v>915810630</v>
      </c>
      <c r="I793" s="37">
        <v>20277776646</v>
      </c>
      <c r="J793" s="37">
        <v>83212052998.554596</v>
      </c>
    </row>
    <row r="794" spans="1:10" x14ac:dyDescent="0.2">
      <c r="A794" s="36">
        <v>44582</v>
      </c>
      <c r="B794" s="37">
        <v>23.373999999999999</v>
      </c>
      <c r="C794" s="38">
        <v>-0.77600000000000002</v>
      </c>
      <c r="D794" s="39">
        <v>-3.21325051759834E-2</v>
      </c>
      <c r="E794" s="37">
        <v>23.507000000000001</v>
      </c>
      <c r="F794" s="37">
        <v>23.263000000000002</v>
      </c>
      <c r="G794" s="37">
        <v>24.823</v>
      </c>
      <c r="H794" s="7">
        <v>718957840</v>
      </c>
      <c r="I794" s="37">
        <v>17120221958</v>
      </c>
      <c r="J794" s="37">
        <v>103489829644.55499</v>
      </c>
    </row>
    <row r="795" spans="1:10" x14ac:dyDescent="0.2">
      <c r="A795" s="36">
        <v>44581</v>
      </c>
      <c r="B795" s="37">
        <v>24.15</v>
      </c>
      <c r="C795" s="38">
        <v>-0.91700000000000204</v>
      </c>
      <c r="D795" s="39">
        <v>-3.6581960346272098E-2</v>
      </c>
      <c r="E795" s="37">
        <v>25.303999999999998</v>
      </c>
      <c r="F795" s="37">
        <v>24.077999999999999</v>
      </c>
      <c r="G795" s="37">
        <v>25.579039999999999</v>
      </c>
      <c r="H795" s="7">
        <v>435180730</v>
      </c>
      <c r="I795" s="37">
        <v>10855342607</v>
      </c>
      <c r="J795" s="37">
        <v>120610051602.55499</v>
      </c>
    </row>
    <row r="796" spans="1:10" x14ac:dyDescent="0.2">
      <c r="A796" s="36">
        <v>44580</v>
      </c>
      <c r="B796" s="37">
        <v>25.067</v>
      </c>
      <c r="C796" s="38">
        <v>-0.83599999999999897</v>
      </c>
      <c r="D796" s="39">
        <v>-3.2274253947419201E-2</v>
      </c>
      <c r="E796" s="37">
        <v>26.079000000000001</v>
      </c>
      <c r="F796" s="37">
        <v>25.052</v>
      </c>
      <c r="G796" s="37">
        <v>26.54317</v>
      </c>
      <c r="H796" s="7">
        <v>488314510</v>
      </c>
      <c r="I796" s="37">
        <v>12510560994</v>
      </c>
      <c r="J796" s="37">
        <v>131465394209.55499</v>
      </c>
    </row>
    <row r="797" spans="1:10" x14ac:dyDescent="0.2">
      <c r="A797" s="36">
        <v>44579</v>
      </c>
      <c r="B797" s="37">
        <v>25.902999999999999</v>
      </c>
      <c r="C797" s="38">
        <v>-1.0389999999999999</v>
      </c>
      <c r="D797" s="39">
        <v>-3.85643233612947E-2</v>
      </c>
      <c r="E797" s="37">
        <v>26.26</v>
      </c>
      <c r="F797" s="37">
        <v>25.77</v>
      </c>
      <c r="G797" s="37">
        <v>26.638000000000002</v>
      </c>
      <c r="H797" s="7">
        <v>425306170</v>
      </c>
      <c r="I797" s="37">
        <v>11112482132</v>
      </c>
      <c r="J797" s="37">
        <v>143975955203.55499</v>
      </c>
    </row>
    <row r="798" spans="1:10" x14ac:dyDescent="0.2">
      <c r="A798" s="36">
        <v>44575</v>
      </c>
      <c r="B798" s="37">
        <v>26.942</v>
      </c>
      <c r="C798" s="38">
        <v>0.36700000000000099</v>
      </c>
      <c r="D798" s="39">
        <v>1.38099717779869E-2</v>
      </c>
      <c r="E798" s="37">
        <v>26.3</v>
      </c>
      <c r="F798" s="37">
        <v>26.21001</v>
      </c>
      <c r="G798" s="37">
        <v>27.196899999999999</v>
      </c>
      <c r="H798" s="7">
        <v>395832350</v>
      </c>
      <c r="I798" s="37">
        <v>10600581979.9515</v>
      </c>
      <c r="J798" s="37">
        <v>155088437335.55499</v>
      </c>
    </row>
    <row r="799" spans="1:10" x14ac:dyDescent="0.2">
      <c r="A799" s="36">
        <v>44574</v>
      </c>
      <c r="B799" s="37">
        <v>26.574999999999999</v>
      </c>
      <c r="C799" s="38">
        <v>-1.4239999999999999</v>
      </c>
      <c r="D799" s="39">
        <v>-5.0858959248544597E-2</v>
      </c>
      <c r="E799" s="37">
        <v>28.379000000000001</v>
      </c>
      <c r="F799" s="37">
        <v>26.498000000000001</v>
      </c>
      <c r="G799" s="37">
        <v>28.48</v>
      </c>
      <c r="H799" s="7">
        <v>538868090</v>
      </c>
      <c r="I799" s="37">
        <v>14626626935.9247</v>
      </c>
      <c r="J799" s="37">
        <v>144487855355.603</v>
      </c>
    </row>
    <row r="800" spans="1:10" x14ac:dyDescent="0.2">
      <c r="A800" s="36">
        <v>44573</v>
      </c>
      <c r="B800" s="37">
        <v>27.998999999999999</v>
      </c>
      <c r="C800" s="38">
        <v>0.181999999999999</v>
      </c>
      <c r="D800" s="39">
        <v>6.5427616205916703E-3</v>
      </c>
      <c r="E800" s="37">
        <v>28.066500000000001</v>
      </c>
      <c r="F800" s="37">
        <v>27.608000000000001</v>
      </c>
      <c r="G800" s="37">
        <v>28.594999999999999</v>
      </c>
      <c r="H800" s="7">
        <v>383413480</v>
      </c>
      <c r="I800" s="37">
        <v>10764932841.016899</v>
      </c>
      <c r="J800" s="37">
        <v>159114482291.52802</v>
      </c>
    </row>
    <row r="801" spans="1:10" x14ac:dyDescent="0.2">
      <c r="A801" s="36">
        <v>44572</v>
      </c>
      <c r="B801" s="37">
        <v>27.817</v>
      </c>
      <c r="C801" s="38">
        <v>0.41700000000000198</v>
      </c>
      <c r="D801" s="39">
        <v>1.5218978102189799E-2</v>
      </c>
      <c r="E801" s="37">
        <v>27.322500000000002</v>
      </c>
      <c r="F801" s="37">
        <v>26.838999999999999</v>
      </c>
      <c r="G801" s="37">
        <v>28.065000000000001</v>
      </c>
      <c r="H801" s="7">
        <v>404089290</v>
      </c>
      <c r="I801" s="37">
        <v>11131070178.865499</v>
      </c>
      <c r="J801" s="37">
        <v>148349549450.51099</v>
      </c>
    </row>
    <row r="802" spans="1:10" x14ac:dyDescent="0.2">
      <c r="A802" s="36">
        <v>44571</v>
      </c>
      <c r="B802" s="37">
        <v>27.4</v>
      </c>
      <c r="C802" s="38">
        <v>0.152999999999999</v>
      </c>
      <c r="D802" s="39">
        <v>5.6152970969280498E-3</v>
      </c>
      <c r="E802" s="37">
        <v>26.581</v>
      </c>
      <c r="F802" s="37">
        <v>25.643840000000001</v>
      </c>
      <c r="G802" s="37">
        <v>27.469000000000001</v>
      </c>
      <c r="H802" s="7">
        <v>594680950</v>
      </c>
      <c r="I802" s="37">
        <v>15693233609.4422</v>
      </c>
      <c r="J802" s="37">
        <v>137218479271.645</v>
      </c>
    </row>
    <row r="803" spans="1:10" x14ac:dyDescent="0.2">
      <c r="A803" s="36">
        <v>44568</v>
      </c>
      <c r="B803" s="37">
        <v>27.247</v>
      </c>
      <c r="C803" s="38">
        <v>-0.93100000000000105</v>
      </c>
      <c r="D803" s="39">
        <v>-3.3039960252679398E-2</v>
      </c>
      <c r="E803" s="37">
        <v>28.140999999999998</v>
      </c>
      <c r="F803" s="37">
        <v>27.056999999999999</v>
      </c>
      <c r="G803" s="37">
        <v>28.422000000000001</v>
      </c>
      <c r="H803" s="7">
        <v>409938510</v>
      </c>
      <c r="I803" s="37">
        <v>11280867546.084</v>
      </c>
      <c r="J803" s="37">
        <v>121525245662.203</v>
      </c>
    </row>
    <row r="804" spans="1:10" x14ac:dyDescent="0.2">
      <c r="A804" s="36">
        <v>44567</v>
      </c>
      <c r="B804" s="37">
        <v>28.178000000000001</v>
      </c>
      <c r="C804" s="38">
        <v>0.57400000000000195</v>
      </c>
      <c r="D804" s="39">
        <v>2.0794087813360399E-2</v>
      </c>
      <c r="E804" s="37">
        <v>27.64</v>
      </c>
      <c r="F804" s="37">
        <v>27.065000000000001</v>
      </c>
      <c r="G804" s="37">
        <v>28.437989999999999</v>
      </c>
      <c r="H804" s="7">
        <v>454186370</v>
      </c>
      <c r="I804" s="37">
        <v>12694952703.372999</v>
      </c>
      <c r="J804" s="37">
        <v>132806113208.287</v>
      </c>
    </row>
    <row r="805" spans="1:10" x14ac:dyDescent="0.2">
      <c r="A805" s="36">
        <v>44566</v>
      </c>
      <c r="B805" s="37">
        <v>27.603999999999999</v>
      </c>
      <c r="C805" s="38">
        <v>-1.6859999999999999</v>
      </c>
      <c r="D805" s="39">
        <v>-5.7562307954933403E-2</v>
      </c>
      <c r="E805" s="37">
        <v>28.949000000000002</v>
      </c>
      <c r="F805" s="37">
        <v>27.533000000000001</v>
      </c>
      <c r="G805" s="37">
        <v>29.416</v>
      </c>
      <c r="H805" s="7">
        <v>498063880</v>
      </c>
      <c r="I805" s="37">
        <v>14089943418.1782</v>
      </c>
      <c r="J805" s="37">
        <v>120111160504.914</v>
      </c>
    </row>
    <row r="806" spans="1:10" x14ac:dyDescent="0.2">
      <c r="A806" s="36">
        <v>44565</v>
      </c>
      <c r="B806" s="37">
        <v>29.29</v>
      </c>
      <c r="C806" s="38">
        <v>-0.83099999999999996</v>
      </c>
      <c r="D806" s="39">
        <v>-2.7588725473921799E-2</v>
      </c>
      <c r="E806" s="37">
        <v>30.277000000000001</v>
      </c>
      <c r="F806" s="37">
        <v>28.349</v>
      </c>
      <c r="G806" s="37">
        <v>30.468</v>
      </c>
      <c r="H806" s="7">
        <v>527154400</v>
      </c>
      <c r="I806" s="37">
        <v>15330459902.181601</v>
      </c>
      <c r="J806" s="37">
        <v>134201103923.092</v>
      </c>
    </row>
    <row r="807" spans="1:10" x14ac:dyDescent="0.2">
      <c r="A807" s="36">
        <v>44564</v>
      </c>
      <c r="B807" s="37">
        <v>30.120999999999999</v>
      </c>
      <c r="C807" s="38">
        <v>0.70999999999999697</v>
      </c>
      <c r="D807" s="39">
        <v>2.4140627656319E-2</v>
      </c>
      <c r="E807" s="37">
        <v>29.815000000000001</v>
      </c>
      <c r="F807" s="37">
        <v>29.785</v>
      </c>
      <c r="G807" s="37">
        <v>30.710999999999999</v>
      </c>
      <c r="H807" s="7">
        <v>392402940</v>
      </c>
      <c r="I807" s="37">
        <v>11858765678.038799</v>
      </c>
      <c r="J807" s="37">
        <v>149531563825.27399</v>
      </c>
    </row>
    <row r="808" spans="1:10" x14ac:dyDescent="0.2">
      <c r="A808" s="36">
        <v>44561</v>
      </c>
      <c r="B808" s="37">
        <v>29.411000000000001</v>
      </c>
      <c r="C808" s="38">
        <v>-0.17499999999999699</v>
      </c>
      <c r="D808" s="39">
        <v>-5.9149597782734101E-3</v>
      </c>
      <c r="E808" s="37">
        <v>29.673999999999999</v>
      </c>
      <c r="F808" s="37">
        <v>29.330570000000002</v>
      </c>
      <c r="G808" s="37">
        <v>30.03</v>
      </c>
      <c r="H808" s="7">
        <v>266529910</v>
      </c>
      <c r="I808" s="37">
        <v>7882260026.8175001</v>
      </c>
      <c r="J808" s="37">
        <v>137672798147.23499</v>
      </c>
    </row>
    <row r="809" spans="1:10" x14ac:dyDescent="0.2">
      <c r="A809" s="36">
        <v>44560</v>
      </c>
      <c r="B809" s="37">
        <v>29.585999999999999</v>
      </c>
      <c r="C809" s="38">
        <v>-0.41500000000000298</v>
      </c>
      <c r="D809" s="39">
        <v>-1.3832872237592201E-2</v>
      </c>
      <c r="E809" s="37">
        <v>29.827000000000002</v>
      </c>
      <c r="F809" s="37">
        <v>29.54</v>
      </c>
      <c r="G809" s="37">
        <v>30.457000000000001</v>
      </c>
      <c r="H809" s="7">
        <v>308864220</v>
      </c>
      <c r="I809" s="37">
        <v>9281813023.97719</v>
      </c>
      <c r="J809" s="37">
        <v>145555058174.05301</v>
      </c>
    </row>
    <row r="810" spans="1:10" x14ac:dyDescent="0.2">
      <c r="A810" s="36">
        <v>44559</v>
      </c>
      <c r="B810" s="37">
        <v>30.001000000000001</v>
      </c>
      <c r="C810" s="38">
        <v>-0.32099999999999801</v>
      </c>
      <c r="D810" s="39">
        <v>-1.05863729305454E-2</v>
      </c>
      <c r="E810" s="37">
        <v>30.272500000000001</v>
      </c>
      <c r="F810" s="37">
        <v>29.366</v>
      </c>
      <c r="G810" s="37">
        <v>30.547999999999998</v>
      </c>
      <c r="H810" s="7">
        <v>343139280</v>
      </c>
      <c r="I810" s="37">
        <v>10247220991.0888</v>
      </c>
      <c r="J810" s="37">
        <v>154836871198.03</v>
      </c>
    </row>
    <row r="811" spans="1:10" x14ac:dyDescent="0.2">
      <c r="A811" s="36">
        <v>44558</v>
      </c>
      <c r="B811" s="37">
        <v>30.321999999999999</v>
      </c>
      <c r="C811" s="38">
        <v>-0.623000000000001</v>
      </c>
      <c r="D811" s="39">
        <v>-2.0132493132977901E-2</v>
      </c>
      <c r="E811" s="37">
        <v>31.312000000000001</v>
      </c>
      <c r="F811" s="37">
        <v>30.011810000000001</v>
      </c>
      <c r="G811" s="37">
        <v>31.33</v>
      </c>
      <c r="H811" s="7">
        <v>420591210</v>
      </c>
      <c r="I811" s="37">
        <v>12811603004.6294</v>
      </c>
      <c r="J811" s="37">
        <v>165084092189.11899</v>
      </c>
    </row>
    <row r="812" spans="1:10" x14ac:dyDescent="0.2">
      <c r="A812" s="36">
        <v>44557</v>
      </c>
      <c r="B812" s="37">
        <v>30.945</v>
      </c>
      <c r="C812" s="38">
        <v>1.3049999999999999</v>
      </c>
      <c r="D812" s="39">
        <v>4.4028340080971701E-2</v>
      </c>
      <c r="E812" s="37">
        <v>29.66</v>
      </c>
      <c r="F812" s="37">
        <v>29.64</v>
      </c>
      <c r="G812" s="37">
        <v>31.086500000000001</v>
      </c>
      <c r="H812" s="7">
        <v>403685870</v>
      </c>
      <c r="I812" s="37">
        <v>12402316510.492901</v>
      </c>
      <c r="J812" s="37">
        <v>177895695193.74799</v>
      </c>
    </row>
    <row r="813" spans="1:10" x14ac:dyDescent="0.2">
      <c r="A813" s="36">
        <v>44553</v>
      </c>
      <c r="B813" s="37">
        <v>29.64</v>
      </c>
      <c r="C813" s="38">
        <v>0.24000000000000199</v>
      </c>
      <c r="D813" s="39">
        <v>8.1632653061225208E-3</v>
      </c>
      <c r="E813" s="37">
        <v>29.754999999999999</v>
      </c>
      <c r="F813" s="37">
        <v>29.431010000000001</v>
      </c>
      <c r="G813" s="37">
        <v>30.059000000000001</v>
      </c>
      <c r="H813" s="7">
        <v>343021740</v>
      </c>
      <c r="I813" s="37">
        <v>10200781240.5805</v>
      </c>
      <c r="J813" s="37">
        <v>165493378683.255</v>
      </c>
    </row>
    <row r="814" spans="1:10" x14ac:dyDescent="0.2">
      <c r="A814" s="36">
        <v>44552</v>
      </c>
      <c r="B814" s="37">
        <v>29.4</v>
      </c>
      <c r="C814" s="38">
        <v>0.32499999999999901</v>
      </c>
      <c r="D814" s="39">
        <v>1.11779879621668E-2</v>
      </c>
      <c r="E814" s="37">
        <v>28.890999999999998</v>
      </c>
      <c r="F814" s="37">
        <v>28.449000000000002</v>
      </c>
      <c r="G814" s="37">
        <v>29.555</v>
      </c>
      <c r="H814" s="7">
        <v>395184380</v>
      </c>
      <c r="I814" s="37">
        <v>11521353297.2325</v>
      </c>
      <c r="J814" s="37">
        <v>155292597442.67499</v>
      </c>
    </row>
    <row r="815" spans="1:10" x14ac:dyDescent="0.2">
      <c r="A815" s="36">
        <v>44551</v>
      </c>
      <c r="B815" s="37">
        <v>29.074999999999999</v>
      </c>
      <c r="C815" s="38">
        <v>1.3560000000000001</v>
      </c>
      <c r="D815" s="39">
        <v>4.8919513690970001E-2</v>
      </c>
      <c r="E815" s="37">
        <v>28.373999999999999</v>
      </c>
      <c r="F815" s="37">
        <v>27.401</v>
      </c>
      <c r="G815" s="37">
        <v>29.12</v>
      </c>
      <c r="H815" s="7">
        <v>524384940</v>
      </c>
      <c r="I815" s="37">
        <v>14902037300.1266</v>
      </c>
      <c r="J815" s="37">
        <v>143771244145.44199</v>
      </c>
    </row>
    <row r="816" spans="1:10" x14ac:dyDescent="0.2">
      <c r="A816" s="36">
        <v>44550</v>
      </c>
      <c r="B816" s="37">
        <v>27.719000000000001</v>
      </c>
      <c r="C816" s="38">
        <v>-8.19999999999972E-2</v>
      </c>
      <c r="D816" s="39">
        <v>-2.94953418941755E-3</v>
      </c>
      <c r="E816" s="37">
        <v>27.305</v>
      </c>
      <c r="F816" s="37">
        <v>27.145</v>
      </c>
      <c r="G816" s="37">
        <v>28.143999999999998</v>
      </c>
      <c r="H816" s="7">
        <v>461846760</v>
      </c>
      <c r="I816" s="37">
        <v>12736364144.240601</v>
      </c>
      <c r="J816" s="37">
        <v>128869206845.31599</v>
      </c>
    </row>
    <row r="817" spans="1:10" x14ac:dyDescent="0.2">
      <c r="A817" s="36">
        <v>44547</v>
      </c>
      <c r="B817" s="37">
        <v>27.800999999999998</v>
      </c>
      <c r="C817" s="38">
        <v>-0.58600000000000196</v>
      </c>
      <c r="D817" s="39">
        <v>-2.06432521929053E-2</v>
      </c>
      <c r="E817" s="37">
        <v>27.984999999999999</v>
      </c>
      <c r="F817" s="37">
        <v>27.76</v>
      </c>
      <c r="G817" s="37">
        <v>28.922000000000001</v>
      </c>
      <c r="H817" s="7">
        <v>716622390</v>
      </c>
      <c r="I817" s="37">
        <v>20181670273.379299</v>
      </c>
      <c r="J817" s="37">
        <v>141605570989.556</v>
      </c>
    </row>
    <row r="818" spans="1:10" x14ac:dyDescent="0.2">
      <c r="A818" s="36">
        <v>44546</v>
      </c>
      <c r="B818" s="37">
        <v>28.387</v>
      </c>
      <c r="C818" s="38">
        <v>-2.0720000000000001</v>
      </c>
      <c r="D818" s="39">
        <v>-6.8025870842772201E-2</v>
      </c>
      <c r="E818" s="37">
        <v>31.152000000000001</v>
      </c>
      <c r="F818" s="37">
        <v>28.093</v>
      </c>
      <c r="G818" s="37">
        <v>31.16</v>
      </c>
      <c r="H818" s="7">
        <v>707365950</v>
      </c>
      <c r="I818" s="37">
        <v>20559897161.6991</v>
      </c>
      <c r="J818" s="37">
        <v>161787241262.936</v>
      </c>
    </row>
    <row r="819" spans="1:10" x14ac:dyDescent="0.2">
      <c r="A819" s="36">
        <v>44545</v>
      </c>
      <c r="B819" s="37">
        <v>30.459</v>
      </c>
      <c r="C819" s="38">
        <v>2.1219999999999999</v>
      </c>
      <c r="D819" s="39">
        <v>7.4884426721247802E-2</v>
      </c>
      <c r="E819" s="37">
        <v>28.4</v>
      </c>
      <c r="F819" s="37">
        <v>27.838000000000001</v>
      </c>
      <c r="G819" s="37">
        <v>30.5</v>
      </c>
      <c r="H819" s="7">
        <v>698296880</v>
      </c>
      <c r="I819" s="37">
        <v>20302515377.118801</v>
      </c>
      <c r="J819" s="37">
        <v>182347138424.63501</v>
      </c>
    </row>
    <row r="820" spans="1:10" x14ac:dyDescent="0.2">
      <c r="A820" s="36">
        <v>44544</v>
      </c>
      <c r="B820" s="37">
        <v>28.337</v>
      </c>
      <c r="C820" s="38">
        <v>0.17599999999999799</v>
      </c>
      <c r="D820" s="39">
        <v>6.2497780618585401E-3</v>
      </c>
      <c r="E820" s="37">
        <v>27.699000000000002</v>
      </c>
      <c r="F820" s="37">
        <v>27.25</v>
      </c>
      <c r="G820" s="37">
        <v>28.678000000000001</v>
      </c>
      <c r="H820" s="7">
        <v>667035370</v>
      </c>
      <c r="I820" s="37">
        <v>18674724106.550999</v>
      </c>
      <c r="J820" s="37">
        <v>162044623047.51599</v>
      </c>
    </row>
    <row r="821" spans="1:10" x14ac:dyDescent="0.2">
      <c r="A821" s="36">
        <v>44543</v>
      </c>
      <c r="B821" s="37">
        <v>28.161000000000001</v>
      </c>
      <c r="C821" s="38">
        <v>-2.0369999999999999</v>
      </c>
      <c r="D821" s="39">
        <v>-6.7454798331015295E-2</v>
      </c>
      <c r="E821" s="37">
        <v>30.248999999999999</v>
      </c>
      <c r="F821" s="37">
        <v>28.116</v>
      </c>
      <c r="G821" s="37">
        <v>30.294</v>
      </c>
      <c r="H821" s="7">
        <v>598343660</v>
      </c>
      <c r="I821" s="37">
        <v>17387033980.843201</v>
      </c>
      <c r="J821" s="37">
        <v>143369898940.965</v>
      </c>
    </row>
    <row r="822" spans="1:10" x14ac:dyDescent="0.2">
      <c r="A822" s="36">
        <v>44540</v>
      </c>
      <c r="B822" s="37">
        <v>30.198</v>
      </c>
      <c r="C822" s="38">
        <v>-0.29199999999999798</v>
      </c>
      <c r="D822" s="39">
        <v>-9.5769104624466393E-3</v>
      </c>
      <c r="E822" s="37">
        <v>31.15</v>
      </c>
      <c r="F822" s="37">
        <v>29.861000000000001</v>
      </c>
      <c r="G822" s="37">
        <v>31.305</v>
      </c>
      <c r="H822" s="7">
        <v>488825090</v>
      </c>
      <c r="I822" s="37">
        <v>14809618550.837299</v>
      </c>
      <c r="J822" s="37">
        <v>160756932921.80801</v>
      </c>
    </row>
    <row r="823" spans="1:10" x14ac:dyDescent="0.2">
      <c r="A823" s="36">
        <v>44539</v>
      </c>
      <c r="B823" s="37">
        <v>30.49</v>
      </c>
      <c r="C823" s="38">
        <v>-1.3360000000000001</v>
      </c>
      <c r="D823" s="39">
        <v>-4.1978256771193399E-2</v>
      </c>
      <c r="E823" s="37">
        <v>31.734000000000002</v>
      </c>
      <c r="F823" s="37">
        <v>30.428000000000001</v>
      </c>
      <c r="G823" s="37">
        <v>32.204999999999998</v>
      </c>
      <c r="H823" s="7">
        <v>488507160</v>
      </c>
      <c r="I823" s="37">
        <v>15218335217.882799</v>
      </c>
      <c r="J823" s="37">
        <v>175566551472.64499</v>
      </c>
    </row>
    <row r="824" spans="1:10" x14ac:dyDescent="0.2">
      <c r="A824" s="36">
        <v>44538</v>
      </c>
      <c r="B824" s="37">
        <v>31.826000000000001</v>
      </c>
      <c r="C824" s="38">
        <v>-0.60099999999999898</v>
      </c>
      <c r="D824" s="39">
        <v>-1.85339377679094E-2</v>
      </c>
      <c r="E824" s="37">
        <v>31.998999999999999</v>
      </c>
      <c r="F824" s="37">
        <v>31.421009999999999</v>
      </c>
      <c r="G824" s="37">
        <v>32.29</v>
      </c>
      <c r="H824" s="7">
        <v>475551450</v>
      </c>
      <c r="I824" s="37">
        <v>15160507262.837099</v>
      </c>
      <c r="J824" s="37">
        <v>190784886690.52802</v>
      </c>
    </row>
    <row r="825" spans="1:10" x14ac:dyDescent="0.2">
      <c r="A825" s="36">
        <v>44537</v>
      </c>
      <c r="B825" s="37">
        <v>32.427</v>
      </c>
      <c r="C825" s="38">
        <v>2.39</v>
      </c>
      <c r="D825" s="39">
        <v>7.9568532143689502E-2</v>
      </c>
      <c r="E825" s="37">
        <v>30.957000000000001</v>
      </c>
      <c r="F825" s="37">
        <v>30.651</v>
      </c>
      <c r="G825" s="37">
        <v>32.448999999999998</v>
      </c>
      <c r="H825" s="7">
        <v>593053480</v>
      </c>
      <c r="I825" s="37">
        <v>18848389996.455601</v>
      </c>
      <c r="J825" s="37">
        <v>205945393953.36499</v>
      </c>
    </row>
    <row r="826" spans="1:10" x14ac:dyDescent="0.2">
      <c r="A826" s="36">
        <v>44536</v>
      </c>
      <c r="B826" s="37">
        <v>30.036999999999999</v>
      </c>
      <c r="C826" s="38">
        <v>-0.65600000000000203</v>
      </c>
      <c r="D826" s="39">
        <v>-2.1372951487309898E-2</v>
      </c>
      <c r="E826" s="37">
        <v>29.88</v>
      </c>
      <c r="F826" s="37">
        <v>28.038</v>
      </c>
      <c r="G826" s="37">
        <v>30.241</v>
      </c>
      <c r="H826" s="7">
        <v>658938450</v>
      </c>
      <c r="I826" s="37">
        <v>19330911611.112801</v>
      </c>
      <c r="J826" s="37">
        <v>187097003956.91</v>
      </c>
    </row>
    <row r="827" spans="1:10" x14ac:dyDescent="0.2">
      <c r="A827" s="36">
        <v>44533</v>
      </c>
      <c r="B827" s="37">
        <v>30.693000000000001</v>
      </c>
      <c r="C827" s="38">
        <v>-1.4330000000000001</v>
      </c>
      <c r="D827" s="39">
        <v>-4.46056153894041E-2</v>
      </c>
      <c r="E827" s="37">
        <v>32</v>
      </c>
      <c r="F827" s="37">
        <v>30.13</v>
      </c>
      <c r="G827" s="37">
        <v>32.128999999999998</v>
      </c>
      <c r="H827" s="7">
        <v>544325050</v>
      </c>
      <c r="I827" s="37">
        <v>16707718571.6103</v>
      </c>
      <c r="J827" s="37">
        <v>206427915568.022</v>
      </c>
    </row>
    <row r="828" spans="1:10" x14ac:dyDescent="0.2">
      <c r="A828" s="36">
        <v>44532</v>
      </c>
      <c r="B828" s="37">
        <v>32.125999999999998</v>
      </c>
      <c r="C828" s="38">
        <v>0.69099999999999895</v>
      </c>
      <c r="D828" s="39">
        <v>2.1981867345315698E-2</v>
      </c>
      <c r="E828" s="37">
        <v>31.213999999999999</v>
      </c>
      <c r="F828" s="37">
        <v>31.024999999999999</v>
      </c>
      <c r="G828" s="37">
        <v>32.477989999999998</v>
      </c>
      <c r="H828" s="7">
        <v>472890330</v>
      </c>
      <c r="I828" s="37">
        <v>15122554886.219999</v>
      </c>
      <c r="J828" s="37">
        <v>223135634139.633</v>
      </c>
    </row>
    <row r="829" spans="1:10" x14ac:dyDescent="0.2">
      <c r="A829" s="36">
        <v>44531</v>
      </c>
      <c r="B829" s="37">
        <v>31.434999999999999</v>
      </c>
      <c r="C829" s="38">
        <v>-1.2410000000000001</v>
      </c>
      <c r="D829" s="39">
        <v>-3.7978944791284198E-2</v>
      </c>
      <c r="E829" s="37">
        <v>33.219470000000001</v>
      </c>
      <c r="F829" s="37">
        <v>31.38</v>
      </c>
      <c r="G829" s="37">
        <v>33.289340000000003</v>
      </c>
      <c r="H829" s="7">
        <v>485802040</v>
      </c>
      <c r="I829" s="37">
        <v>15767246591.366199</v>
      </c>
      <c r="J829" s="37">
        <v>208013079253.41299</v>
      </c>
    </row>
    <row r="830" spans="1:10" x14ac:dyDescent="0.2">
      <c r="A830" s="36">
        <v>44530</v>
      </c>
      <c r="B830" s="37">
        <v>32.676000000000002</v>
      </c>
      <c r="C830" s="38">
        <v>-0.69999999999999596</v>
      </c>
      <c r="D830" s="39">
        <v>-2.0973154362416001E-2</v>
      </c>
      <c r="E830" s="37">
        <v>33.168999999999997</v>
      </c>
      <c r="F830" s="37">
        <v>31.86401</v>
      </c>
      <c r="G830" s="37">
        <v>33.353000000000002</v>
      </c>
      <c r="H830" s="7">
        <v>622066470</v>
      </c>
      <c r="I830" s="37">
        <v>20259112777.348301</v>
      </c>
      <c r="J830" s="37">
        <v>223780325844.77899</v>
      </c>
    </row>
    <row r="831" spans="1:10" x14ac:dyDescent="0.2">
      <c r="A831" s="36">
        <v>44529</v>
      </c>
      <c r="B831" s="37">
        <v>33.375999999999998</v>
      </c>
      <c r="C831" s="38">
        <v>1.873</v>
      </c>
      <c r="D831" s="39">
        <v>5.9454655112211499E-2</v>
      </c>
      <c r="E831" s="37">
        <v>32.366</v>
      </c>
      <c r="F831" s="37">
        <v>32.036000000000001</v>
      </c>
      <c r="G831" s="37">
        <v>33.411999999999999</v>
      </c>
      <c r="H831" s="7">
        <v>454963980</v>
      </c>
      <c r="I831" s="37">
        <v>14927416351.181499</v>
      </c>
      <c r="J831" s="37">
        <v>244039438622.12701</v>
      </c>
    </row>
    <row r="832" spans="1:10" x14ac:dyDescent="0.2">
      <c r="A832" s="36">
        <v>44526</v>
      </c>
      <c r="B832" s="37">
        <v>31.503</v>
      </c>
      <c r="C832" s="38">
        <v>-1.171</v>
      </c>
      <c r="D832" s="39">
        <v>-3.58388933096652E-2</v>
      </c>
      <c r="E832" s="37">
        <v>32.6</v>
      </c>
      <c r="F832" s="37">
        <v>31.35</v>
      </c>
      <c r="G832" s="37">
        <v>32.71</v>
      </c>
      <c r="H832" s="7">
        <v>283068860</v>
      </c>
      <c r="I832" s="37">
        <v>9014332688.1435299</v>
      </c>
      <c r="J832" s="37">
        <v>229112022270.94601</v>
      </c>
    </row>
    <row r="833" spans="1:10" x14ac:dyDescent="0.2">
      <c r="A833" s="36">
        <v>44524</v>
      </c>
      <c r="B833" s="37">
        <v>32.673999999999999</v>
      </c>
      <c r="C833" s="38">
        <v>0.92800000000000105</v>
      </c>
      <c r="D833" s="39">
        <v>2.9232029232029302E-2</v>
      </c>
      <c r="E833" s="37">
        <v>31.460999999999999</v>
      </c>
      <c r="F833" s="37">
        <v>30.928000000000001</v>
      </c>
      <c r="G833" s="37">
        <v>32.854999999999997</v>
      </c>
      <c r="H833" s="7">
        <v>435162260</v>
      </c>
      <c r="I833" s="37">
        <v>13998649191.879801</v>
      </c>
      <c r="J833" s="37">
        <v>238126354959.08899</v>
      </c>
    </row>
    <row r="834" spans="1:10" x14ac:dyDescent="0.2">
      <c r="A834" s="36">
        <v>44523</v>
      </c>
      <c r="B834" s="37">
        <v>31.745999999999999</v>
      </c>
      <c r="C834" s="38">
        <v>-0.21000000000000099</v>
      </c>
      <c r="D834" s="39">
        <v>-6.5715358618100199E-3</v>
      </c>
      <c r="E834" s="37">
        <v>31.535</v>
      </c>
      <c r="F834" s="37">
        <v>30.88</v>
      </c>
      <c r="G834" s="37">
        <v>32.36</v>
      </c>
      <c r="H834" s="7">
        <v>532162700</v>
      </c>
      <c r="I834" s="37">
        <v>16770380615.696699</v>
      </c>
      <c r="J834" s="37">
        <v>224127705767.20901</v>
      </c>
    </row>
    <row r="835" spans="1:10" x14ac:dyDescent="0.2">
      <c r="A835" s="36">
        <v>44522</v>
      </c>
      <c r="B835" s="37">
        <v>31.956</v>
      </c>
      <c r="C835" s="38">
        <v>-1.0289999999999999</v>
      </c>
      <c r="D835" s="39">
        <v>-3.1195998180991402E-2</v>
      </c>
      <c r="E835" s="37">
        <v>33.517000000000003</v>
      </c>
      <c r="F835" s="37">
        <v>31.9</v>
      </c>
      <c r="G835" s="37">
        <v>34.646999999999998</v>
      </c>
      <c r="H835" s="7">
        <v>754335240</v>
      </c>
      <c r="I835" s="37">
        <v>25037319827.612999</v>
      </c>
      <c r="J835" s="37">
        <v>240898086382.90601</v>
      </c>
    </row>
    <row r="836" spans="1:10" x14ac:dyDescent="0.2">
      <c r="A836" s="36">
        <v>44519</v>
      </c>
      <c r="B836" s="37">
        <v>32.984999999999999</v>
      </c>
      <c r="C836" s="38">
        <v>1.31</v>
      </c>
      <c r="D836" s="39">
        <v>4.13575374901341E-2</v>
      </c>
      <c r="E836" s="37">
        <v>32.243000000000002</v>
      </c>
      <c r="F836" s="37">
        <v>31.905000000000001</v>
      </c>
      <c r="G836" s="37">
        <v>33.088000000000001</v>
      </c>
      <c r="H836" s="7">
        <v>533866650</v>
      </c>
      <c r="I836" s="37">
        <v>17452994989.430599</v>
      </c>
      <c r="J836" s="37">
        <v>265935406210.51901</v>
      </c>
    </row>
    <row r="837" spans="1:10" x14ac:dyDescent="0.2">
      <c r="A837" s="36">
        <v>44518</v>
      </c>
      <c r="B837" s="37">
        <v>31.675000000000001</v>
      </c>
      <c r="C837" s="38">
        <v>2.4140000000000001</v>
      </c>
      <c r="D837" s="39">
        <v>8.2498889306585596E-2</v>
      </c>
      <c r="E837" s="37">
        <v>32.366999999999997</v>
      </c>
      <c r="F837" s="37">
        <v>31.321000000000002</v>
      </c>
      <c r="G837" s="37">
        <v>32.76</v>
      </c>
      <c r="H837" s="7">
        <v>781710750</v>
      </c>
      <c r="I837" s="37">
        <v>25013120610.326599</v>
      </c>
      <c r="J837" s="37">
        <v>248482411221.08801</v>
      </c>
    </row>
    <row r="838" spans="1:10" x14ac:dyDescent="0.2">
      <c r="A838" s="36">
        <v>44517</v>
      </c>
      <c r="B838" s="37">
        <v>29.260999999999999</v>
      </c>
      <c r="C838" s="38">
        <v>-0.94199999999999995</v>
      </c>
      <c r="D838" s="39">
        <v>-3.11889547395954E-2</v>
      </c>
      <c r="E838" s="37">
        <v>30.417999999999999</v>
      </c>
      <c r="F838" s="37">
        <v>28.8</v>
      </c>
      <c r="G838" s="37">
        <v>30.509</v>
      </c>
      <c r="H838" s="7">
        <v>428507990</v>
      </c>
      <c r="I838" s="37">
        <v>12707673880.194201</v>
      </c>
      <c r="J838" s="37">
        <v>223469290610.76199</v>
      </c>
    </row>
    <row r="839" spans="1:10" x14ac:dyDescent="0.2">
      <c r="A839" s="36">
        <v>44516</v>
      </c>
      <c r="B839" s="37">
        <v>30.202999999999999</v>
      </c>
      <c r="C839" s="38">
        <v>0.17800000000000099</v>
      </c>
      <c r="D839" s="39">
        <v>5.9283930058284997E-3</v>
      </c>
      <c r="E839" s="37">
        <v>29.759</v>
      </c>
      <c r="F839" s="37">
        <v>29.705870000000001</v>
      </c>
      <c r="G839" s="37">
        <v>30.39</v>
      </c>
      <c r="H839" s="7">
        <v>264483670</v>
      </c>
      <c r="I839" s="37">
        <v>7951089294.9005499</v>
      </c>
      <c r="J839" s="37">
        <v>236176964490.95599</v>
      </c>
    </row>
    <row r="840" spans="1:10" x14ac:dyDescent="0.2">
      <c r="A840" s="36">
        <v>44515</v>
      </c>
      <c r="B840" s="37">
        <v>30.024999999999999</v>
      </c>
      <c r="C840" s="38">
        <v>-0.36500000000000199</v>
      </c>
      <c r="D840" s="39">
        <v>-1.20105297795328E-2</v>
      </c>
      <c r="E840" s="37">
        <v>30.552</v>
      </c>
      <c r="F840" s="37">
        <v>29.247</v>
      </c>
      <c r="G840" s="37">
        <v>30.643999999999998</v>
      </c>
      <c r="H840" s="7">
        <v>384909000</v>
      </c>
      <c r="I840" s="37">
        <v>11495979125.2355</v>
      </c>
      <c r="J840" s="37">
        <v>228225875196.056</v>
      </c>
    </row>
    <row r="841" spans="1:10" x14ac:dyDescent="0.2">
      <c r="A841" s="36">
        <v>44512</v>
      </c>
      <c r="B841" s="37">
        <v>30.39</v>
      </c>
      <c r="C841" s="38">
        <v>0</v>
      </c>
      <c r="D841" s="39">
        <v>0</v>
      </c>
      <c r="E841" s="37">
        <v>30.01</v>
      </c>
      <c r="F841" s="37">
        <v>29.63</v>
      </c>
      <c r="G841" s="37">
        <v>30.68</v>
      </c>
      <c r="H841" s="7">
        <v>413054280</v>
      </c>
      <c r="I841" s="37">
        <v>12490630042.2117</v>
      </c>
      <c r="J841" s="37">
        <v>239721854321.29099</v>
      </c>
    </row>
    <row r="842" spans="1:10" x14ac:dyDescent="0.2">
      <c r="A842" s="36">
        <v>44511</v>
      </c>
      <c r="B842" s="37">
        <v>30.39</v>
      </c>
      <c r="C842" s="38">
        <v>0.93100000000000105</v>
      </c>
      <c r="D842" s="39">
        <v>3.1603245188227699E-2</v>
      </c>
      <c r="E842" s="37">
        <v>30.468</v>
      </c>
      <c r="F842" s="37">
        <v>29.777010000000001</v>
      </c>
      <c r="G842" s="37">
        <v>30.59</v>
      </c>
      <c r="H842" s="7">
        <v>332172110</v>
      </c>
      <c r="I842" s="37">
        <v>10037850453.976299</v>
      </c>
      <c r="J842" s="37">
        <v>227231224279.07901</v>
      </c>
    </row>
    <row r="843" spans="1:10" x14ac:dyDescent="0.2">
      <c r="A843" s="36">
        <v>44510</v>
      </c>
      <c r="B843" s="37">
        <v>29.459</v>
      </c>
      <c r="C843" s="38">
        <v>-1.198</v>
      </c>
      <c r="D843" s="39">
        <v>-3.9077535310043397E-2</v>
      </c>
      <c r="E843" s="37">
        <v>29.356000000000002</v>
      </c>
      <c r="F843" s="37">
        <v>28.777999999999999</v>
      </c>
      <c r="G843" s="37">
        <v>30.85</v>
      </c>
      <c r="H843" s="7">
        <v>636205720</v>
      </c>
      <c r="I843" s="37">
        <v>18948600969.420399</v>
      </c>
      <c r="J843" s="37">
        <v>217193373825.103</v>
      </c>
    </row>
    <row r="844" spans="1:10" x14ac:dyDescent="0.2">
      <c r="A844" s="36">
        <v>44509</v>
      </c>
      <c r="B844" s="37">
        <v>30.657</v>
      </c>
      <c r="C844" s="38">
        <v>-0.14699999999999799</v>
      </c>
      <c r="D844" s="39">
        <v>-4.7721075185040403E-3</v>
      </c>
      <c r="E844" s="37">
        <v>32.281999999999996</v>
      </c>
      <c r="F844" s="37">
        <v>29.963999999999999</v>
      </c>
      <c r="G844" s="37">
        <v>32.31</v>
      </c>
      <c r="H844" s="7">
        <v>646746210</v>
      </c>
      <c r="I844" s="37">
        <v>20095400528.398701</v>
      </c>
      <c r="J844" s="37">
        <v>236141974794.52301</v>
      </c>
    </row>
    <row r="845" spans="1:10" x14ac:dyDescent="0.2">
      <c r="A845" s="36">
        <v>44508</v>
      </c>
      <c r="B845" s="37">
        <v>30.803999999999998</v>
      </c>
      <c r="C845" s="38">
        <v>1.052</v>
      </c>
      <c r="D845" s="39">
        <v>3.5358967464372101E-2</v>
      </c>
      <c r="E845" s="37">
        <v>30.149000000000001</v>
      </c>
      <c r="F845" s="37">
        <v>29.907</v>
      </c>
      <c r="G845" s="37">
        <v>31.1</v>
      </c>
      <c r="H845" s="7">
        <v>503100930</v>
      </c>
      <c r="I845" s="37">
        <v>15417597547.894699</v>
      </c>
      <c r="J845" s="37">
        <v>256237375322.922</v>
      </c>
    </row>
    <row r="846" spans="1:10" x14ac:dyDescent="0.2">
      <c r="A846" s="36">
        <v>44505</v>
      </c>
      <c r="B846" s="37">
        <v>29.751999999999999</v>
      </c>
      <c r="C846" s="38">
        <v>-4.8999999999999502E-2</v>
      </c>
      <c r="D846" s="39">
        <v>-1.64424012617025E-3</v>
      </c>
      <c r="E846" s="37">
        <v>30.187000000000001</v>
      </c>
      <c r="F846" s="37">
        <v>29.41</v>
      </c>
      <c r="G846" s="37">
        <v>31.4</v>
      </c>
      <c r="H846" s="7">
        <v>851260150</v>
      </c>
      <c r="I846" s="37">
        <v>25927127833.521</v>
      </c>
      <c r="J846" s="37">
        <v>240819777775.02701</v>
      </c>
    </row>
    <row r="847" spans="1:10" x14ac:dyDescent="0.2">
      <c r="A847" s="36">
        <v>44504</v>
      </c>
      <c r="B847" s="37">
        <v>29.800999999999998</v>
      </c>
      <c r="C847" s="38">
        <v>3.2029999999999998</v>
      </c>
      <c r="D847" s="39">
        <v>0.120422588164524</v>
      </c>
      <c r="E847" s="37">
        <v>27.228999999999999</v>
      </c>
      <c r="F847" s="37">
        <v>27.117999999999999</v>
      </c>
      <c r="G847" s="37">
        <v>31.364999999999998</v>
      </c>
      <c r="H847" s="7">
        <v>1153631150</v>
      </c>
      <c r="I847" s="37">
        <v>34019075762.956299</v>
      </c>
      <c r="J847" s="37">
        <v>266746905608.548</v>
      </c>
    </row>
    <row r="848" spans="1:10" x14ac:dyDescent="0.2">
      <c r="A848" s="36">
        <v>44503</v>
      </c>
      <c r="B848" s="37">
        <v>26.597999999999999</v>
      </c>
      <c r="C848" s="38">
        <v>0.19699999999999901</v>
      </c>
      <c r="D848" s="39">
        <v>7.4618385667209299E-3</v>
      </c>
      <c r="E848" s="37">
        <v>26.67</v>
      </c>
      <c r="F848" s="37">
        <v>26.234999999999999</v>
      </c>
      <c r="G848" s="37">
        <v>26.783999999999999</v>
      </c>
      <c r="H848" s="7">
        <v>239910330</v>
      </c>
      <c r="I848" s="37">
        <v>6350644075.4654598</v>
      </c>
      <c r="J848" s="37">
        <v>232727829845.59201</v>
      </c>
    </row>
    <row r="849" spans="1:10" x14ac:dyDescent="0.2">
      <c r="A849" s="36">
        <v>44502</v>
      </c>
      <c r="B849" s="37">
        <v>26.401</v>
      </c>
      <c r="C849" s="38">
        <v>0.57399999999999796</v>
      </c>
      <c r="D849" s="39">
        <v>2.22248035002129E-2</v>
      </c>
      <c r="E849" s="37">
        <v>25.821999999999999</v>
      </c>
      <c r="F849" s="37">
        <v>25.8</v>
      </c>
      <c r="G849" s="37">
        <v>26.678000000000001</v>
      </c>
      <c r="H849" s="7">
        <v>294112390</v>
      </c>
      <c r="I849" s="37">
        <v>7735393619.9004402</v>
      </c>
      <c r="J849" s="37">
        <v>226377185770.12701</v>
      </c>
    </row>
    <row r="850" spans="1:10" x14ac:dyDescent="0.2">
      <c r="A850" s="36">
        <v>44501</v>
      </c>
      <c r="B850" s="37">
        <v>25.827000000000002</v>
      </c>
      <c r="C850" s="38">
        <v>0.26000000000000201</v>
      </c>
      <c r="D850" s="39">
        <v>1.0169358939257699E-2</v>
      </c>
      <c r="E850" s="37">
        <v>25.649000000000001</v>
      </c>
      <c r="F850" s="37">
        <v>25.227</v>
      </c>
      <c r="G850" s="37">
        <v>25.893999999999998</v>
      </c>
      <c r="H850" s="7">
        <v>265739760</v>
      </c>
      <c r="I850" s="37">
        <v>6821861490.0974102</v>
      </c>
      <c r="J850" s="37">
        <v>218641792150.22601</v>
      </c>
    </row>
    <row r="851" spans="1:10" x14ac:dyDescent="0.2">
      <c r="A851" s="36">
        <v>44498</v>
      </c>
      <c r="B851" s="37">
        <v>25.567</v>
      </c>
      <c r="C851" s="38">
        <v>0.626000000000001</v>
      </c>
      <c r="D851" s="39">
        <v>2.5099234192694799E-2</v>
      </c>
      <c r="E851" s="37">
        <v>25.000499999999999</v>
      </c>
      <c r="F851" s="37">
        <v>25</v>
      </c>
      <c r="G851" s="37">
        <v>25.709</v>
      </c>
      <c r="H851" s="7">
        <v>292502840</v>
      </c>
      <c r="I851" s="37">
        <v>7445465165.9960299</v>
      </c>
      <c r="J851" s="37">
        <v>211819930660.129</v>
      </c>
    </row>
    <row r="852" spans="1:10" x14ac:dyDescent="0.2">
      <c r="A852" s="36">
        <v>44497</v>
      </c>
      <c r="B852" s="37">
        <v>24.940999999999999</v>
      </c>
      <c r="C852" s="38">
        <v>0.48999999999999799</v>
      </c>
      <c r="D852" s="39">
        <v>2.0040080160320599E-2</v>
      </c>
      <c r="E852" s="37">
        <v>24.878</v>
      </c>
      <c r="F852" s="37">
        <v>24.523</v>
      </c>
      <c r="G852" s="37">
        <v>24.95</v>
      </c>
      <c r="H852" s="7">
        <v>234204310</v>
      </c>
      <c r="I852" s="37">
        <v>5799116600.4535704</v>
      </c>
      <c r="J852" s="37">
        <v>204374465494.133</v>
      </c>
    </row>
    <row r="853" spans="1:10" x14ac:dyDescent="0.2">
      <c r="A853" s="36">
        <v>44496</v>
      </c>
      <c r="B853" s="37">
        <v>24.451000000000001</v>
      </c>
      <c r="C853" s="38">
        <v>-0.26599999999999802</v>
      </c>
      <c r="D853" s="39">
        <v>-1.07618238459359E-2</v>
      </c>
      <c r="E853" s="37">
        <v>24.474</v>
      </c>
      <c r="F853" s="37">
        <v>24.28201</v>
      </c>
      <c r="G853" s="37">
        <v>25.09</v>
      </c>
      <c r="H853" s="7">
        <v>245989890</v>
      </c>
      <c r="I853" s="37">
        <v>6076774825.2275</v>
      </c>
      <c r="J853" s="37">
        <v>198575348893.67899</v>
      </c>
    </row>
    <row r="854" spans="1:10" x14ac:dyDescent="0.2">
      <c r="A854" s="36">
        <v>44495</v>
      </c>
      <c r="B854" s="37">
        <v>24.716999999999999</v>
      </c>
      <c r="C854" s="38">
        <v>1.5509999999999999</v>
      </c>
      <c r="D854" s="39">
        <v>6.6951566951566899E-2</v>
      </c>
      <c r="E854" s="37">
        <v>23.989000000000001</v>
      </c>
      <c r="F854" s="37">
        <v>23.923999999999999</v>
      </c>
      <c r="G854" s="37">
        <v>25.259</v>
      </c>
      <c r="H854" s="7">
        <v>485898300</v>
      </c>
      <c r="I854" s="37">
        <v>12011562444.608101</v>
      </c>
      <c r="J854" s="37">
        <v>204652123718.90701</v>
      </c>
    </row>
    <row r="855" spans="1:10" x14ac:dyDescent="0.2">
      <c r="A855" s="36">
        <v>44494</v>
      </c>
      <c r="B855" s="37">
        <v>23.166</v>
      </c>
      <c r="C855" s="38">
        <v>0.440000000000001</v>
      </c>
      <c r="D855" s="39">
        <v>1.9361084220716401E-2</v>
      </c>
      <c r="E855" s="37">
        <v>22.972999999999999</v>
      </c>
      <c r="F855" s="37">
        <v>22.77</v>
      </c>
      <c r="G855" s="37">
        <v>23.354990000000001</v>
      </c>
      <c r="H855" s="7">
        <v>230234830</v>
      </c>
      <c r="I855" s="37">
        <v>5315669758.8824701</v>
      </c>
      <c r="J855" s="37">
        <v>192640561274.29901</v>
      </c>
    </row>
    <row r="856" spans="1:10" x14ac:dyDescent="0.2">
      <c r="A856" s="36">
        <v>44491</v>
      </c>
      <c r="B856" s="37">
        <v>22.725999999999999</v>
      </c>
      <c r="C856" s="38">
        <v>3.3999999999998899E-2</v>
      </c>
      <c r="D856" s="39">
        <v>1.4983254010223399E-3</v>
      </c>
      <c r="E856" s="37">
        <v>22.823</v>
      </c>
      <c r="F856" s="37">
        <v>22.561</v>
      </c>
      <c r="G856" s="37">
        <v>23.13</v>
      </c>
      <c r="H856" s="7">
        <v>249383790</v>
      </c>
      <c r="I856" s="37">
        <v>5692010295.8007002</v>
      </c>
      <c r="J856" s="37">
        <v>187324891515.41599</v>
      </c>
    </row>
    <row r="857" spans="1:10" x14ac:dyDescent="0.2">
      <c r="A857" s="36">
        <v>44490</v>
      </c>
      <c r="B857" s="37">
        <v>22.692</v>
      </c>
      <c r="C857" s="38">
        <v>0.58899999999999897</v>
      </c>
      <c r="D857" s="39">
        <v>2.6647966339410901E-2</v>
      </c>
      <c r="E857" s="37">
        <v>22.097000000000001</v>
      </c>
      <c r="F857" s="37">
        <v>22.082999999999998</v>
      </c>
      <c r="G857" s="37">
        <v>22.710999999999999</v>
      </c>
      <c r="H857" s="7">
        <v>187590320</v>
      </c>
      <c r="I857" s="37">
        <v>4221853899.0928202</v>
      </c>
      <c r="J857" s="37">
        <v>181632881219.61499</v>
      </c>
    </row>
    <row r="858" spans="1:10" x14ac:dyDescent="0.2">
      <c r="A858" s="36">
        <v>44489</v>
      </c>
      <c r="B858" s="37">
        <v>22.103000000000002</v>
      </c>
      <c r="C858" s="38">
        <v>-0.186999999999998</v>
      </c>
      <c r="D858" s="39">
        <v>-8.3894122925077409E-3</v>
      </c>
      <c r="E858" s="37">
        <v>22.304500000000001</v>
      </c>
      <c r="F858" s="37">
        <v>21.981999999999999</v>
      </c>
      <c r="G858" s="37">
        <v>22.433</v>
      </c>
      <c r="H858" s="7">
        <v>146275940</v>
      </c>
      <c r="I858" s="37">
        <v>3245614548.7465401</v>
      </c>
      <c r="J858" s="37">
        <v>177411027320.52301</v>
      </c>
    </row>
    <row r="859" spans="1:10" x14ac:dyDescent="0.2">
      <c r="A859" s="36">
        <v>44488</v>
      </c>
      <c r="B859" s="37">
        <v>22.29</v>
      </c>
      <c r="C859" s="38">
        <v>6.7999999999997798E-2</v>
      </c>
      <c r="D859" s="39">
        <v>3.0600306003059101E-3</v>
      </c>
      <c r="E859" s="37">
        <v>22.276</v>
      </c>
      <c r="F859" s="37">
        <v>22.036999999999999</v>
      </c>
      <c r="G859" s="37">
        <v>22.379000000000001</v>
      </c>
      <c r="H859" s="7">
        <v>161473290</v>
      </c>
      <c r="I859" s="37">
        <v>3591625481.7477298</v>
      </c>
      <c r="J859" s="37">
        <v>180656641869.26901</v>
      </c>
    </row>
    <row r="860" spans="1:10" x14ac:dyDescent="0.2">
      <c r="A860" s="36">
        <v>44487</v>
      </c>
      <c r="B860" s="37">
        <v>22.222000000000001</v>
      </c>
      <c r="C860" s="38">
        <v>0.36000000000000298</v>
      </c>
      <c r="D860" s="39">
        <v>1.6466928917757001E-2</v>
      </c>
      <c r="E860" s="37">
        <v>21.748999999999999</v>
      </c>
      <c r="F860" s="37">
        <v>21.643999999999998</v>
      </c>
      <c r="G860" s="37">
        <v>22.291</v>
      </c>
      <c r="H860" s="7">
        <v>189493560</v>
      </c>
      <c r="I860" s="37">
        <v>4191194621.9686799</v>
      </c>
      <c r="J860" s="37">
        <v>177065016387.521</v>
      </c>
    </row>
    <row r="861" spans="1:10" x14ac:dyDescent="0.2">
      <c r="A861" s="36">
        <v>44484</v>
      </c>
      <c r="B861" s="37">
        <v>21.861999999999998</v>
      </c>
      <c r="C861" s="38">
        <v>0.11600000000000001</v>
      </c>
      <c r="D861" s="39">
        <v>5.3343143566632802E-3</v>
      </c>
      <c r="E861" s="37">
        <v>21.81</v>
      </c>
      <c r="F861" s="37">
        <v>21.661999999999999</v>
      </c>
      <c r="G861" s="37">
        <v>21.931000000000001</v>
      </c>
      <c r="H861" s="7">
        <v>226994010</v>
      </c>
      <c r="I861" s="37">
        <v>4953544974.1321096</v>
      </c>
      <c r="J861" s="37">
        <v>172873821765.55301</v>
      </c>
    </row>
    <row r="862" spans="1:10" x14ac:dyDescent="0.2">
      <c r="A862" s="36">
        <v>44483</v>
      </c>
      <c r="B862" s="37">
        <v>21.745999999999999</v>
      </c>
      <c r="C862" s="38">
        <v>0.80699999999999905</v>
      </c>
      <c r="D862" s="39">
        <v>3.8540522470031903E-2</v>
      </c>
      <c r="E862" s="37">
        <v>21.288</v>
      </c>
      <c r="F862" s="37">
        <v>21.12201</v>
      </c>
      <c r="G862" s="37">
        <v>21.754999999999999</v>
      </c>
      <c r="H862" s="7">
        <v>243588810</v>
      </c>
      <c r="I862" s="37">
        <v>5245944802.1006403</v>
      </c>
      <c r="J862" s="37">
        <v>167920276791.42099</v>
      </c>
    </row>
    <row r="863" spans="1:10" x14ac:dyDescent="0.2">
      <c r="A863" s="36">
        <v>44482</v>
      </c>
      <c r="B863" s="37">
        <v>20.939</v>
      </c>
      <c r="C863" s="38">
        <v>0.26800000000000102</v>
      </c>
      <c r="D863" s="39">
        <v>1.29650234628223E-2</v>
      </c>
      <c r="E863" s="37">
        <v>20.917999999999999</v>
      </c>
      <c r="F863" s="37">
        <v>20.713000000000001</v>
      </c>
      <c r="G863" s="37">
        <v>20.99</v>
      </c>
      <c r="H863" s="7">
        <v>180651880</v>
      </c>
      <c r="I863" s="37">
        <v>3770272305.30196</v>
      </c>
      <c r="J863" s="37">
        <v>162674331989.32001</v>
      </c>
    </row>
    <row r="864" spans="1:10" x14ac:dyDescent="0.2">
      <c r="A864" s="36">
        <v>44481</v>
      </c>
      <c r="B864" s="37">
        <v>20.670999999999999</v>
      </c>
      <c r="C864" s="38">
        <v>-2.4000000000000899E-2</v>
      </c>
      <c r="D864" s="39">
        <v>-1.15970041072727E-3</v>
      </c>
      <c r="E864" s="37">
        <v>20.827500000000001</v>
      </c>
      <c r="F864" s="37">
        <v>20.527999999999999</v>
      </c>
      <c r="G864" s="37">
        <v>21.056999999999999</v>
      </c>
      <c r="H864" s="7">
        <v>162133540</v>
      </c>
      <c r="I864" s="37">
        <v>3363907013.4300699</v>
      </c>
      <c r="J864" s="37">
        <v>158904059684.01801</v>
      </c>
    </row>
    <row r="865" spans="1:10" x14ac:dyDescent="0.2">
      <c r="A865" s="36">
        <v>44480</v>
      </c>
      <c r="B865" s="37">
        <v>20.695</v>
      </c>
      <c r="C865" s="38">
        <v>-0.13599999999999901</v>
      </c>
      <c r="D865" s="39">
        <v>-6.5287312178963696E-3</v>
      </c>
      <c r="E865" s="37">
        <v>20.574999999999999</v>
      </c>
      <c r="F865" s="37">
        <v>20.510999999999999</v>
      </c>
      <c r="G865" s="37">
        <v>21.062999999999999</v>
      </c>
      <c r="H865" s="7">
        <v>163387540</v>
      </c>
      <c r="I865" s="37">
        <v>3408206463.5629101</v>
      </c>
      <c r="J865" s="37">
        <v>162267966697.448</v>
      </c>
    </row>
    <row r="866" spans="1:10" x14ac:dyDescent="0.2">
      <c r="A866" s="36">
        <v>44477</v>
      </c>
      <c r="B866" s="37">
        <v>20.831</v>
      </c>
      <c r="C866" s="38">
        <v>-0.24399999999999999</v>
      </c>
      <c r="D866" s="39">
        <v>-1.1577698695136401E-2</v>
      </c>
      <c r="E866" s="37">
        <v>21.100999999999999</v>
      </c>
      <c r="F866" s="37">
        <v>20.774999999999999</v>
      </c>
      <c r="G866" s="37">
        <v>21.206</v>
      </c>
      <c r="H866" s="7">
        <v>151257910</v>
      </c>
      <c r="I866" s="37">
        <v>3169500637.0398102</v>
      </c>
      <c r="J866" s="37">
        <v>165676173161.01099</v>
      </c>
    </row>
    <row r="867" spans="1:10" x14ac:dyDescent="0.2">
      <c r="A867" s="36">
        <v>44476</v>
      </c>
      <c r="B867" s="37">
        <v>21.074999999999999</v>
      </c>
      <c r="C867" s="38">
        <v>0.375</v>
      </c>
      <c r="D867" s="39">
        <v>1.8115942028985501E-2</v>
      </c>
      <c r="E867" s="37">
        <v>21.091999999999999</v>
      </c>
      <c r="F867" s="37">
        <v>20.972000000000001</v>
      </c>
      <c r="G867" s="37">
        <v>21.321999999999999</v>
      </c>
      <c r="H867" s="7">
        <v>256918930</v>
      </c>
      <c r="I867" s="37">
        <v>5434045738.3340797</v>
      </c>
      <c r="J867" s="37">
        <v>168845673798.05099</v>
      </c>
    </row>
    <row r="868" spans="1:10" x14ac:dyDescent="0.2">
      <c r="A868" s="36">
        <v>44475</v>
      </c>
      <c r="B868" s="37">
        <v>20.7</v>
      </c>
      <c r="C868" s="38">
        <v>0.248999999999999</v>
      </c>
      <c r="D868" s="39">
        <v>1.21754437435822E-2</v>
      </c>
      <c r="E868" s="37">
        <v>20.12</v>
      </c>
      <c r="F868" s="37">
        <v>20.079999999999998</v>
      </c>
      <c r="G868" s="37">
        <v>20.72</v>
      </c>
      <c r="H868" s="7">
        <v>297201750</v>
      </c>
      <c r="I868" s="37">
        <v>6099386046.8266001</v>
      </c>
      <c r="J868" s="37">
        <v>163411628059.71701</v>
      </c>
    </row>
    <row r="869" spans="1:10" x14ac:dyDescent="0.2">
      <c r="A869" s="36">
        <v>44474</v>
      </c>
      <c r="B869" s="37">
        <v>20.451000000000001</v>
      </c>
      <c r="C869" s="38">
        <v>0.71900000000000097</v>
      </c>
      <c r="D869" s="39">
        <v>3.6438272856274101E-2</v>
      </c>
      <c r="E869" s="37">
        <v>19.95</v>
      </c>
      <c r="F869" s="37">
        <v>19.853999999999999</v>
      </c>
      <c r="G869" s="37">
        <v>20.648</v>
      </c>
      <c r="H869" s="7">
        <v>279281650</v>
      </c>
      <c r="I869" s="37">
        <v>5691399917.3636599</v>
      </c>
      <c r="J869" s="37">
        <v>157312242012.89001</v>
      </c>
    </row>
    <row r="870" spans="1:10" x14ac:dyDescent="0.2">
      <c r="A870" s="36">
        <v>44473</v>
      </c>
      <c r="B870" s="37">
        <v>19.731999999999999</v>
      </c>
      <c r="C870" s="38">
        <v>-1.01</v>
      </c>
      <c r="D870" s="39">
        <v>-4.8693472182046199E-2</v>
      </c>
      <c r="E870" s="37">
        <v>20.504000000000001</v>
      </c>
      <c r="F870" s="37">
        <v>19.555</v>
      </c>
      <c r="G870" s="37">
        <v>20.541789999999999</v>
      </c>
      <c r="H870" s="7">
        <v>345634970</v>
      </c>
      <c r="I870" s="37">
        <v>6850540135.9639301</v>
      </c>
      <c r="J870" s="37">
        <v>151620842095.526</v>
      </c>
    </row>
    <row r="871" spans="1:10" x14ac:dyDescent="0.2">
      <c r="A871" s="36">
        <v>44470</v>
      </c>
      <c r="B871" s="37">
        <v>20.742000000000001</v>
      </c>
      <c r="C871" s="38">
        <v>2.5999999999999801E-2</v>
      </c>
      <c r="D871" s="39">
        <v>1.25506854605135E-3</v>
      </c>
      <c r="E871" s="37">
        <v>20.75</v>
      </c>
      <c r="F871" s="37">
        <v>20.202999999999999</v>
      </c>
      <c r="G871" s="37">
        <v>20.859000000000002</v>
      </c>
      <c r="H871" s="7">
        <v>240977960</v>
      </c>
      <c r="I871" s="37">
        <v>4946450510.2440901</v>
      </c>
      <c r="J871" s="37">
        <v>158471382231.48999</v>
      </c>
    </row>
    <row r="872" spans="1:10" x14ac:dyDescent="0.2">
      <c r="A872" s="36">
        <v>44469</v>
      </c>
      <c r="B872" s="37">
        <v>20.716000000000001</v>
      </c>
      <c r="C872" s="38">
        <v>0.19900000000000201</v>
      </c>
      <c r="D872" s="39">
        <v>9.6992737729688396E-3</v>
      </c>
      <c r="E872" s="37">
        <v>20.7684</v>
      </c>
      <c r="F872" s="37">
        <v>20.687999999999999</v>
      </c>
      <c r="G872" s="37">
        <v>21.065999999999999</v>
      </c>
      <c r="H872" s="7">
        <v>221009120</v>
      </c>
      <c r="I872" s="37">
        <v>4606150566.4479504</v>
      </c>
      <c r="J872" s="37">
        <v>153524931721.246</v>
      </c>
    </row>
    <row r="873" spans="1:10" x14ac:dyDescent="0.2">
      <c r="A873" s="36">
        <v>44468</v>
      </c>
      <c r="B873" s="37">
        <v>20.516999999999999</v>
      </c>
      <c r="C873" s="38">
        <v>-0.18200000000000199</v>
      </c>
      <c r="D873" s="39">
        <v>-8.7926952992899206E-3</v>
      </c>
      <c r="E873" s="37">
        <v>20.939499999999999</v>
      </c>
      <c r="F873" s="37">
        <v>20.466999999999999</v>
      </c>
      <c r="G873" s="37">
        <v>21.016999999999999</v>
      </c>
      <c r="H873" s="7">
        <v>218393630</v>
      </c>
      <c r="I873" s="37">
        <v>4521639742.1231899</v>
      </c>
      <c r="J873" s="37">
        <v>148918781154.798</v>
      </c>
    </row>
    <row r="874" spans="1:10" x14ac:dyDescent="0.2">
      <c r="A874" s="36">
        <v>44467</v>
      </c>
      <c r="B874" s="37">
        <v>20.699000000000002</v>
      </c>
      <c r="C874" s="38">
        <v>-0.96099999999999897</v>
      </c>
      <c r="D874" s="39">
        <v>-4.4367497691597299E-2</v>
      </c>
      <c r="E874" s="37">
        <v>21.2135</v>
      </c>
      <c r="F874" s="37">
        <v>20.651</v>
      </c>
      <c r="G874" s="37">
        <v>21.419</v>
      </c>
      <c r="H874" s="7">
        <v>343068950</v>
      </c>
      <c r="I874" s="37">
        <v>7155397754.12603</v>
      </c>
      <c r="J874" s="37">
        <v>153440420896.922</v>
      </c>
    </row>
    <row r="875" spans="1:10" x14ac:dyDescent="0.2">
      <c r="A875" s="36">
        <v>44466</v>
      </c>
      <c r="B875" s="37">
        <v>21.66</v>
      </c>
      <c r="C875" s="38">
        <v>-0.42099999999999899</v>
      </c>
      <c r="D875" s="39">
        <v>-1.90661654816358E-2</v>
      </c>
      <c r="E875" s="37">
        <v>21.710349999999998</v>
      </c>
      <c r="F875" s="37">
        <v>21.324999999999999</v>
      </c>
      <c r="G875" s="37">
        <v>21.798999999999999</v>
      </c>
      <c r="H875" s="7">
        <v>245215140</v>
      </c>
      <c r="I875" s="37">
        <v>5294240544.3278599</v>
      </c>
      <c r="J875" s="37">
        <v>160595818651.048</v>
      </c>
    </row>
    <row r="876" spans="1:10" x14ac:dyDescent="0.2">
      <c r="A876" s="36">
        <v>44463</v>
      </c>
      <c r="B876" s="37">
        <v>22.081</v>
      </c>
      <c r="C876" s="38">
        <v>-0.40100000000000002</v>
      </c>
      <c r="D876" s="39">
        <v>-1.78364914153545E-2</v>
      </c>
      <c r="E876" s="37">
        <v>22.07</v>
      </c>
      <c r="F876" s="37">
        <v>21.861000000000001</v>
      </c>
      <c r="G876" s="37">
        <v>22.149000000000001</v>
      </c>
      <c r="H876" s="7">
        <v>217655450</v>
      </c>
      <c r="I876" s="37">
        <v>4792831228.8854399</v>
      </c>
      <c r="J876" s="37">
        <v>165890059195.375</v>
      </c>
    </row>
    <row r="877" spans="1:10" x14ac:dyDescent="0.2">
      <c r="A877" s="36">
        <v>44462</v>
      </c>
      <c r="B877" s="37">
        <v>22.481999999999999</v>
      </c>
      <c r="C877" s="38">
        <v>0.54100000000000004</v>
      </c>
      <c r="D877" s="39">
        <v>2.46570347750786E-2</v>
      </c>
      <c r="E877" s="37">
        <v>22.14</v>
      </c>
      <c r="F877" s="37">
        <v>21.89</v>
      </c>
      <c r="G877" s="37">
        <v>22.534500000000001</v>
      </c>
      <c r="H877" s="7">
        <v>248554910</v>
      </c>
      <c r="I877" s="37">
        <v>5552277863.7276402</v>
      </c>
      <c r="J877" s="37">
        <v>170682890424.26099</v>
      </c>
    </row>
    <row r="878" spans="1:10" x14ac:dyDescent="0.2">
      <c r="A878" s="36">
        <v>44461</v>
      </c>
      <c r="B878" s="37">
        <v>21.940999999999999</v>
      </c>
      <c r="C878" s="38">
        <v>0.69499999999999995</v>
      </c>
      <c r="D878" s="39">
        <v>3.2712039913395503E-2</v>
      </c>
      <c r="E878" s="37">
        <v>21.365500000000001</v>
      </c>
      <c r="F878" s="37">
        <v>21.196000000000002</v>
      </c>
      <c r="G878" s="37">
        <v>21.96</v>
      </c>
      <c r="H878" s="7">
        <v>268725560</v>
      </c>
      <c r="I878" s="37">
        <v>5834034713.1994495</v>
      </c>
      <c r="J878" s="37">
        <v>165130612560.53299</v>
      </c>
    </row>
    <row r="879" spans="1:10" x14ac:dyDescent="0.2">
      <c r="A879" s="36">
        <v>44460</v>
      </c>
      <c r="B879" s="37">
        <v>21.245999999999999</v>
      </c>
      <c r="C879" s="38">
        <v>0.13299999999999901</v>
      </c>
      <c r="D879" s="39">
        <v>6.2994363662198204E-3</v>
      </c>
      <c r="E879" s="37">
        <v>21.416499999999999</v>
      </c>
      <c r="F879" s="37">
        <v>20.95</v>
      </c>
      <c r="G879" s="37">
        <v>21.425000000000001</v>
      </c>
      <c r="H879" s="7">
        <v>204688100</v>
      </c>
      <c r="I879" s="37">
        <v>4347892531.7837296</v>
      </c>
      <c r="J879" s="37">
        <v>159296577847.33401</v>
      </c>
    </row>
    <row r="880" spans="1:10" x14ac:dyDescent="0.2">
      <c r="A880" s="36">
        <v>44459</v>
      </c>
      <c r="B880" s="37">
        <v>21.113</v>
      </c>
      <c r="C880" s="38">
        <v>-0.78699999999999903</v>
      </c>
      <c r="D880" s="39">
        <v>-3.5936073059360703E-2</v>
      </c>
      <c r="E880" s="37">
        <v>21.146000000000001</v>
      </c>
      <c r="F880" s="37">
        <v>20.661999999999999</v>
      </c>
      <c r="G880" s="37">
        <v>21.433</v>
      </c>
      <c r="H880" s="7">
        <v>349440450</v>
      </c>
      <c r="I880" s="37">
        <v>7347747080.2031698</v>
      </c>
      <c r="J880" s="37">
        <v>154948685315.54999</v>
      </c>
    </row>
    <row r="881" spans="1:10" x14ac:dyDescent="0.2">
      <c r="A881" s="36">
        <v>44456</v>
      </c>
      <c r="B881" s="37">
        <v>21.9</v>
      </c>
      <c r="C881" s="38">
        <v>-0.34200000000000202</v>
      </c>
      <c r="D881" s="39">
        <v>-1.53763150795793E-2</v>
      </c>
      <c r="E881" s="37">
        <v>22.3</v>
      </c>
      <c r="F881" s="37">
        <v>21.83</v>
      </c>
      <c r="G881" s="37">
        <v>22.321000000000002</v>
      </c>
      <c r="H881" s="7">
        <v>294502840</v>
      </c>
      <c r="I881" s="37">
        <v>6486709450.85044</v>
      </c>
      <c r="J881" s="37">
        <v>162296432395.75299</v>
      </c>
    </row>
    <row r="882" spans="1:10" x14ac:dyDescent="0.2">
      <c r="A882" s="36">
        <v>44455</v>
      </c>
      <c r="B882" s="37">
        <v>22.242000000000001</v>
      </c>
      <c r="C882" s="38">
        <v>-9.9000000000000199E-2</v>
      </c>
      <c r="D882" s="39">
        <v>-4.4313146233382703E-3</v>
      </c>
      <c r="E882" s="37">
        <v>22.183450000000001</v>
      </c>
      <c r="F882" s="37">
        <v>21.927</v>
      </c>
      <c r="G882" s="37">
        <v>22.277000000000001</v>
      </c>
      <c r="H882" s="7">
        <v>156033440</v>
      </c>
      <c r="I882" s="37">
        <v>3449949747.4490299</v>
      </c>
      <c r="J882" s="37">
        <v>168783141846.604</v>
      </c>
    </row>
    <row r="883" spans="1:10" x14ac:dyDescent="0.2">
      <c r="A883" s="36">
        <v>44454</v>
      </c>
      <c r="B883" s="37">
        <v>22.341000000000001</v>
      </c>
      <c r="C883" s="38">
        <v>9.9000000000000199E-2</v>
      </c>
      <c r="D883" s="39">
        <v>4.4510385756676603E-3</v>
      </c>
      <c r="E883" s="37">
        <v>22.309000000000001</v>
      </c>
      <c r="F883" s="37">
        <v>21.966000000000001</v>
      </c>
      <c r="G883" s="37">
        <v>22.366990000000001</v>
      </c>
      <c r="H883" s="7">
        <v>166538010</v>
      </c>
      <c r="I883" s="37">
        <v>3691848946.6490402</v>
      </c>
      <c r="J883" s="37">
        <v>172233091594.05301</v>
      </c>
    </row>
    <row r="884" spans="1:10" x14ac:dyDescent="0.2">
      <c r="A884" s="36">
        <v>44453</v>
      </c>
      <c r="B884" s="37">
        <v>22.242000000000001</v>
      </c>
      <c r="C884" s="38">
        <v>8.99999999999999E-2</v>
      </c>
      <c r="D884" s="39">
        <v>4.0628385698808197E-3</v>
      </c>
      <c r="E884" s="37">
        <v>22.274999999999999</v>
      </c>
      <c r="F884" s="37">
        <v>22.085999999999999</v>
      </c>
      <c r="G884" s="37">
        <v>22.41</v>
      </c>
      <c r="H884" s="7">
        <v>199754600</v>
      </c>
      <c r="I884" s="37">
        <v>4446523039.20856</v>
      </c>
      <c r="J884" s="37">
        <v>168541242647.40399</v>
      </c>
    </row>
    <row r="885" spans="1:10" x14ac:dyDescent="0.2">
      <c r="A885" s="36">
        <v>44452</v>
      </c>
      <c r="B885" s="37">
        <v>22.152000000000001</v>
      </c>
      <c r="C885" s="38">
        <v>-0.32600000000000101</v>
      </c>
      <c r="D885" s="39">
        <v>-1.4503069668120001E-2</v>
      </c>
      <c r="E885" s="37">
        <v>22.684000000000001</v>
      </c>
      <c r="F885" s="37">
        <v>21.858000000000001</v>
      </c>
      <c r="G885" s="37">
        <v>22.963999999999999</v>
      </c>
      <c r="H885" s="7">
        <v>297499900</v>
      </c>
      <c r="I885" s="37">
        <v>6577869539.8850002</v>
      </c>
      <c r="J885" s="37">
        <v>164094719608.19501</v>
      </c>
    </row>
    <row r="886" spans="1:10" x14ac:dyDescent="0.2">
      <c r="A886" s="36">
        <v>44449</v>
      </c>
      <c r="B886" s="37">
        <v>22.478000000000002</v>
      </c>
      <c r="C886" s="38">
        <v>0.30100000000000199</v>
      </c>
      <c r="D886" s="39">
        <v>1.3572620282274499E-2</v>
      </c>
      <c r="E886" s="37">
        <v>22.348310000000001</v>
      </c>
      <c r="F886" s="37">
        <v>22.27</v>
      </c>
      <c r="G886" s="37">
        <v>22.626000000000001</v>
      </c>
      <c r="H886" s="7">
        <v>248375740</v>
      </c>
      <c r="I886" s="37">
        <v>5581932080.4603701</v>
      </c>
      <c r="J886" s="37">
        <v>170672589148.07999</v>
      </c>
    </row>
    <row r="887" spans="1:10" x14ac:dyDescent="0.2">
      <c r="A887" s="36">
        <v>44448</v>
      </c>
      <c r="B887" s="37">
        <v>22.177</v>
      </c>
      <c r="C887" s="38">
        <v>-0.16199999999999901</v>
      </c>
      <c r="D887" s="39">
        <v>-7.2518913111598096E-3</v>
      </c>
      <c r="E887" s="37">
        <v>22.312000000000001</v>
      </c>
      <c r="F887" s="37">
        <v>22.131</v>
      </c>
      <c r="G887" s="37">
        <v>22.538</v>
      </c>
      <c r="H887" s="7">
        <v>196856010</v>
      </c>
      <c r="I887" s="37">
        <v>4391513761.9073</v>
      </c>
      <c r="J887" s="37">
        <v>165090657067.62</v>
      </c>
    </row>
    <row r="888" spans="1:10" x14ac:dyDescent="0.2">
      <c r="A888" s="36">
        <v>44447</v>
      </c>
      <c r="B888" s="37">
        <v>22.338999999999999</v>
      </c>
      <c r="C888" s="38">
        <v>-0.32300000000000001</v>
      </c>
      <c r="D888" s="39">
        <v>-1.4252934427676301E-2</v>
      </c>
      <c r="E888" s="37">
        <v>22.513000000000002</v>
      </c>
      <c r="F888" s="37">
        <v>21.977</v>
      </c>
      <c r="G888" s="37">
        <v>22.61</v>
      </c>
      <c r="H888" s="7">
        <v>254434210</v>
      </c>
      <c r="I888" s="37">
        <v>5662953623.3150997</v>
      </c>
      <c r="J888" s="37">
        <v>169482170829.52701</v>
      </c>
    </row>
    <row r="889" spans="1:10" x14ac:dyDescent="0.2">
      <c r="A889" s="36">
        <v>44446</v>
      </c>
      <c r="B889" s="37">
        <v>22.661999999999999</v>
      </c>
      <c r="C889" s="38">
        <v>-0.18100000000000099</v>
      </c>
      <c r="D889" s="39">
        <v>-7.9236527601453804E-3</v>
      </c>
      <c r="E889" s="37">
        <v>22.832999999999998</v>
      </c>
      <c r="F889" s="37">
        <v>22.522400000000001</v>
      </c>
      <c r="G889" s="37">
        <v>22.899000000000001</v>
      </c>
      <c r="H889" s="7">
        <v>198107160</v>
      </c>
      <c r="I889" s="37">
        <v>4490905832.8027401</v>
      </c>
      <c r="J889" s="37">
        <v>175145124452.84201</v>
      </c>
    </row>
    <row r="890" spans="1:10" x14ac:dyDescent="0.2">
      <c r="A890" s="36">
        <v>44442</v>
      </c>
      <c r="B890" s="37">
        <v>22.843</v>
      </c>
      <c r="C890" s="38">
        <v>0.44699999999999901</v>
      </c>
      <c r="D890" s="39">
        <v>1.9958921235935002E-2</v>
      </c>
      <c r="E890" s="37">
        <v>22.324999999999999</v>
      </c>
      <c r="F890" s="37">
        <v>22.2</v>
      </c>
      <c r="G890" s="37">
        <v>22.986000000000001</v>
      </c>
      <c r="H890" s="7">
        <v>280831980</v>
      </c>
      <c r="I890" s="37">
        <v>6394270156.2185402</v>
      </c>
      <c r="J890" s="37">
        <v>179636030285.64499</v>
      </c>
    </row>
    <row r="891" spans="1:10" x14ac:dyDescent="0.2">
      <c r="A891" s="36">
        <v>44441</v>
      </c>
      <c r="B891" s="37">
        <v>22.396000000000001</v>
      </c>
      <c r="C891" s="38">
        <v>-4.4999999999998201E-2</v>
      </c>
      <c r="D891" s="39">
        <v>-2.005258232699E-3</v>
      </c>
      <c r="E891" s="37">
        <v>22.518000000000001</v>
      </c>
      <c r="F891" s="37">
        <v>22.294499999999999</v>
      </c>
      <c r="G891" s="37">
        <v>22.59299</v>
      </c>
      <c r="H891" s="7">
        <v>188109570</v>
      </c>
      <c r="I891" s="37">
        <v>4220108566.49751</v>
      </c>
      <c r="J891" s="37">
        <v>173241760129.42599</v>
      </c>
    </row>
    <row r="892" spans="1:10" x14ac:dyDescent="0.2">
      <c r="A892" s="36">
        <v>44440</v>
      </c>
      <c r="B892" s="37">
        <v>22.440999999999999</v>
      </c>
      <c r="C892" s="38">
        <v>5.5999999999997399E-2</v>
      </c>
      <c r="D892" s="39">
        <v>2.5016752289478399E-3</v>
      </c>
      <c r="E892" s="37">
        <v>22.484999999999999</v>
      </c>
      <c r="F892" s="37">
        <v>22.3565</v>
      </c>
      <c r="G892" s="37">
        <v>22.696999999999999</v>
      </c>
      <c r="H892" s="7">
        <v>201766950</v>
      </c>
      <c r="I892" s="37">
        <v>4541873964.7304697</v>
      </c>
      <c r="J892" s="37">
        <v>177461868695.92401</v>
      </c>
    </row>
    <row r="893" spans="1:10" x14ac:dyDescent="0.2">
      <c r="A893" s="36">
        <v>44439</v>
      </c>
      <c r="B893" s="37">
        <v>22.385000000000002</v>
      </c>
      <c r="C893" s="38">
        <v>-0.30299999999999699</v>
      </c>
      <c r="D893" s="39">
        <v>-1.3355077574047801E-2</v>
      </c>
      <c r="E893" s="37">
        <v>22.695</v>
      </c>
      <c r="F893" s="37">
        <v>22.12</v>
      </c>
      <c r="G893" s="37">
        <v>22.695</v>
      </c>
      <c r="H893" s="7">
        <v>259849680</v>
      </c>
      <c r="I893" s="37">
        <v>5816072217.3604403</v>
      </c>
      <c r="J893" s="37">
        <v>172919994731.19299</v>
      </c>
    </row>
    <row r="894" spans="1:10" x14ac:dyDescent="0.2">
      <c r="A894" s="36">
        <v>44438</v>
      </c>
      <c r="B894" s="37">
        <v>22.687999999999999</v>
      </c>
      <c r="C894" s="38">
        <v>5.1999999999999602E-2</v>
      </c>
      <c r="D894" s="39">
        <v>2.2972256582434901E-3</v>
      </c>
      <c r="E894" s="37">
        <v>22.829969999999999</v>
      </c>
      <c r="F894" s="37">
        <v>22.550999999999998</v>
      </c>
      <c r="G894" s="37">
        <v>23.042999999999999</v>
      </c>
      <c r="H894" s="7">
        <v>262579900</v>
      </c>
      <c r="I894" s="37">
        <v>5974241090.6797104</v>
      </c>
      <c r="J894" s="37">
        <v>178736066948.55399</v>
      </c>
    </row>
    <row r="895" spans="1:10" x14ac:dyDescent="0.2">
      <c r="A895" s="36">
        <v>44435</v>
      </c>
      <c r="B895" s="37">
        <v>22.635999999999999</v>
      </c>
      <c r="C895" s="38">
        <v>0.56799999999999795</v>
      </c>
      <c r="D895" s="39">
        <v>2.5738626064890201E-2</v>
      </c>
      <c r="E895" s="37">
        <v>22.184000000000001</v>
      </c>
      <c r="F895" s="37">
        <v>22.167000000000002</v>
      </c>
      <c r="G895" s="37">
        <v>22.722000000000001</v>
      </c>
      <c r="H895" s="7">
        <v>304722190</v>
      </c>
      <c r="I895" s="37">
        <v>6856265399.5998602</v>
      </c>
      <c r="J895" s="37">
        <v>172761825857.87399</v>
      </c>
    </row>
    <row r="896" spans="1:10" x14ac:dyDescent="0.2">
      <c r="A896" s="36">
        <v>44434</v>
      </c>
      <c r="B896" s="37">
        <v>22.068000000000001</v>
      </c>
      <c r="C896" s="38">
        <v>-0.14499999999999999</v>
      </c>
      <c r="D896" s="39">
        <v>-6.5277089992346604E-3</v>
      </c>
      <c r="E896" s="37">
        <v>22.2</v>
      </c>
      <c r="F896" s="37">
        <v>21.79</v>
      </c>
      <c r="G896" s="37">
        <v>22.34</v>
      </c>
      <c r="H896" s="7">
        <v>237940420</v>
      </c>
      <c r="I896" s="37">
        <v>5254692282.5453396</v>
      </c>
      <c r="J896" s="37">
        <v>165905560458.27399</v>
      </c>
    </row>
    <row r="897" spans="1:10" x14ac:dyDescent="0.2">
      <c r="A897" s="36">
        <v>44433</v>
      </c>
      <c r="B897" s="37">
        <v>22.213000000000001</v>
      </c>
      <c r="C897" s="38">
        <v>0.42000000000000198</v>
      </c>
      <c r="D897" s="39">
        <v>1.92722433809022E-2</v>
      </c>
      <c r="E897" s="37">
        <v>21.736999999999998</v>
      </c>
      <c r="F897" s="37">
        <v>21.722000000000001</v>
      </c>
      <c r="G897" s="37">
        <v>22.47</v>
      </c>
      <c r="H897" s="7">
        <v>347701040</v>
      </c>
      <c r="I897" s="37">
        <v>7746407991.52211</v>
      </c>
      <c r="J897" s="37">
        <v>171160252740.82001</v>
      </c>
    </row>
    <row r="898" spans="1:10" x14ac:dyDescent="0.2">
      <c r="A898" s="36">
        <v>44432</v>
      </c>
      <c r="B898" s="37">
        <v>21.792999999999999</v>
      </c>
      <c r="C898" s="38">
        <v>-0.16499999999999901</v>
      </c>
      <c r="D898" s="39">
        <v>-7.5143455688131498E-3</v>
      </c>
      <c r="E898" s="37">
        <v>21.753</v>
      </c>
      <c r="F898" s="37">
        <v>21.535</v>
      </c>
      <c r="G898" s="37">
        <v>21.959</v>
      </c>
      <c r="H898" s="7">
        <v>297298920</v>
      </c>
      <c r="I898" s="37">
        <v>6476170251.9944496</v>
      </c>
      <c r="J898" s="37">
        <v>163413844749.297</v>
      </c>
    </row>
    <row r="899" spans="1:10" x14ac:dyDescent="0.2">
      <c r="A899" s="36">
        <v>44431</v>
      </c>
      <c r="B899" s="37">
        <v>21.957999999999998</v>
      </c>
      <c r="C899" s="38">
        <v>1.1419999999999999</v>
      </c>
      <c r="D899" s="39">
        <v>5.4861644888547299E-2</v>
      </c>
      <c r="E899" s="37">
        <v>20.971</v>
      </c>
      <c r="F899" s="37">
        <v>20.95</v>
      </c>
      <c r="G899" s="37">
        <v>21.997</v>
      </c>
      <c r="H899" s="7">
        <v>575806580</v>
      </c>
      <c r="I899" s="37">
        <v>12486311608.162901</v>
      </c>
      <c r="J899" s="37">
        <v>169890015001.29199</v>
      </c>
    </row>
    <row r="900" spans="1:10" x14ac:dyDescent="0.2">
      <c r="A900" s="36">
        <v>44428</v>
      </c>
      <c r="B900" s="37">
        <v>20.815999999999999</v>
      </c>
      <c r="C900" s="38">
        <v>1.018</v>
      </c>
      <c r="D900" s="39">
        <v>5.1419335286392601E-2</v>
      </c>
      <c r="E900" s="37">
        <v>19.991</v>
      </c>
      <c r="F900" s="37">
        <v>19.933</v>
      </c>
      <c r="G900" s="37">
        <v>20.86506</v>
      </c>
      <c r="H900" s="7">
        <v>675741310</v>
      </c>
      <c r="I900" s="37">
        <v>13864770887.2188</v>
      </c>
      <c r="J900" s="37">
        <v>157403703393.129</v>
      </c>
    </row>
    <row r="901" spans="1:10" x14ac:dyDescent="0.2">
      <c r="A901" s="36">
        <v>44427</v>
      </c>
      <c r="B901" s="37">
        <v>19.797999999999998</v>
      </c>
      <c r="C901" s="38">
        <v>0.75799999999999901</v>
      </c>
      <c r="D901" s="39">
        <v>3.9810924369747903E-2</v>
      </c>
      <c r="E901" s="37">
        <v>19.494</v>
      </c>
      <c r="F901" s="37">
        <v>18.762</v>
      </c>
      <c r="G901" s="37">
        <v>20.495000000000001</v>
      </c>
      <c r="H901" s="7">
        <v>766554770</v>
      </c>
      <c r="I901" s="37">
        <v>15167455849.606501</v>
      </c>
      <c r="J901" s="37">
        <v>143538932505.91</v>
      </c>
    </row>
    <row r="902" spans="1:10" x14ac:dyDescent="0.2">
      <c r="A902" s="36">
        <v>44426</v>
      </c>
      <c r="B902" s="37">
        <v>19.04</v>
      </c>
      <c r="C902" s="38">
        <v>-0.41799999999999898</v>
      </c>
      <c r="D902" s="39">
        <v>-2.1482166718059401E-2</v>
      </c>
      <c r="E902" s="37">
        <v>19.5</v>
      </c>
      <c r="F902" s="37">
        <v>19</v>
      </c>
      <c r="G902" s="37">
        <v>19.633649999999999</v>
      </c>
      <c r="H902" s="7">
        <v>285913480</v>
      </c>
      <c r="I902" s="37">
        <v>5522269516.5975199</v>
      </c>
      <c r="J902" s="37">
        <v>128371476656.304</v>
      </c>
    </row>
    <row r="903" spans="1:10" x14ac:dyDescent="0.2">
      <c r="A903" s="36">
        <v>44425</v>
      </c>
      <c r="B903" s="37">
        <v>19.457999999999998</v>
      </c>
      <c r="C903" s="38">
        <v>-0.49200000000000099</v>
      </c>
      <c r="D903" s="39">
        <v>-2.4661654135338398E-2</v>
      </c>
      <c r="E903" s="37">
        <v>19.684999999999999</v>
      </c>
      <c r="F903" s="37">
        <v>19.266999999999999</v>
      </c>
      <c r="G903" s="37">
        <v>19.77</v>
      </c>
      <c r="H903" s="7">
        <v>204584850</v>
      </c>
      <c r="I903" s="37">
        <v>3983313800.1827698</v>
      </c>
      <c r="J903" s="37">
        <v>133893746172.901</v>
      </c>
    </row>
    <row r="904" spans="1:10" x14ac:dyDescent="0.2">
      <c r="A904" s="36">
        <v>44424</v>
      </c>
      <c r="B904" s="37">
        <v>19.95</v>
      </c>
      <c r="C904" s="38">
        <v>-0.23799999999999999</v>
      </c>
      <c r="D904" s="39">
        <v>-1.17891816920943E-2</v>
      </c>
      <c r="E904" s="37">
        <v>20.135000000000002</v>
      </c>
      <c r="F904" s="37">
        <v>19.452999999999999</v>
      </c>
      <c r="G904" s="37">
        <v>20.286999999999999</v>
      </c>
      <c r="H904" s="7">
        <v>211152800</v>
      </c>
      <c r="I904" s="37">
        <v>4182940678.57689</v>
      </c>
      <c r="J904" s="37">
        <v>137877059973.08401</v>
      </c>
    </row>
    <row r="905" spans="1:10" x14ac:dyDescent="0.2">
      <c r="A905" s="36">
        <v>44421</v>
      </c>
      <c r="B905" s="37">
        <v>20.187999999999999</v>
      </c>
      <c r="C905" s="38">
        <v>0.28299999999999798</v>
      </c>
      <c r="D905" s="39">
        <v>1.4217533283094601E-2</v>
      </c>
      <c r="E905" s="37">
        <v>19.905000000000001</v>
      </c>
      <c r="F905" s="37">
        <v>19.850999999999999</v>
      </c>
      <c r="G905" s="37">
        <v>20.213809999999999</v>
      </c>
      <c r="H905" s="7">
        <v>183062860</v>
      </c>
      <c r="I905" s="37">
        <v>3674113246.4762902</v>
      </c>
      <c r="J905" s="37">
        <v>142060000651.66101</v>
      </c>
    </row>
    <row r="906" spans="1:10" x14ac:dyDescent="0.2">
      <c r="A906" s="36">
        <v>44420</v>
      </c>
      <c r="B906" s="37">
        <v>19.905000000000001</v>
      </c>
      <c r="C906" s="38">
        <v>0.20599999999999999</v>
      </c>
      <c r="D906" s="39">
        <v>1.0457383623534201E-2</v>
      </c>
      <c r="E906" s="37">
        <v>19.87</v>
      </c>
      <c r="F906" s="37">
        <v>19.62</v>
      </c>
      <c r="G906" s="37">
        <v>20.02899</v>
      </c>
      <c r="H906" s="7">
        <v>151861550</v>
      </c>
      <c r="I906" s="37">
        <v>3018075091.7748299</v>
      </c>
      <c r="J906" s="37">
        <v>138385887405.185</v>
      </c>
    </row>
    <row r="907" spans="1:10" x14ac:dyDescent="0.2">
      <c r="A907" s="36">
        <v>44419</v>
      </c>
      <c r="B907" s="37">
        <v>19.699000000000002</v>
      </c>
      <c r="C907" s="38">
        <v>-0.23699999999999799</v>
      </c>
      <c r="D907" s="39">
        <v>-1.18880417335473E-2</v>
      </c>
      <c r="E907" s="37">
        <v>20.042999999999999</v>
      </c>
      <c r="F907" s="37">
        <v>19.43</v>
      </c>
      <c r="G907" s="37">
        <v>20.048999999999999</v>
      </c>
      <c r="H907" s="7">
        <v>185924840</v>
      </c>
      <c r="I907" s="37">
        <v>3661422568.7290001</v>
      </c>
      <c r="J907" s="37">
        <v>135367812313.41</v>
      </c>
    </row>
    <row r="908" spans="1:10" x14ac:dyDescent="0.2">
      <c r="A908" s="36">
        <v>44418</v>
      </c>
      <c r="B908" s="37">
        <v>19.936</v>
      </c>
      <c r="C908" s="38">
        <v>-0.35900000000000198</v>
      </c>
      <c r="D908" s="39">
        <v>-1.7689085981769E-2</v>
      </c>
      <c r="E908" s="37">
        <v>20.321999999999999</v>
      </c>
      <c r="F908" s="37">
        <v>19.834540000000001</v>
      </c>
      <c r="G908" s="37">
        <v>20.43</v>
      </c>
      <c r="H908" s="7">
        <v>179237780</v>
      </c>
      <c r="I908" s="37">
        <v>3595798366.9016199</v>
      </c>
      <c r="J908" s="37">
        <v>139029234882.13901</v>
      </c>
    </row>
    <row r="909" spans="1:10" x14ac:dyDescent="0.2">
      <c r="A909" s="36">
        <v>44417</v>
      </c>
      <c r="B909" s="37">
        <v>20.295000000000002</v>
      </c>
      <c r="C909" s="38">
        <v>-7.0999999999997995E-2</v>
      </c>
      <c r="D909" s="39">
        <v>-3.4862024943532301E-3</v>
      </c>
      <c r="E909" s="37">
        <v>20.446000000000002</v>
      </c>
      <c r="F909" s="37">
        <v>20.143000000000001</v>
      </c>
      <c r="G909" s="37">
        <v>20.507989999999999</v>
      </c>
      <c r="H909" s="7">
        <v>146443100</v>
      </c>
      <c r="I909" s="37">
        <v>2978138395.4633698</v>
      </c>
      <c r="J909" s="37">
        <v>142625033249.04001</v>
      </c>
    </row>
    <row r="910" spans="1:10" x14ac:dyDescent="0.2">
      <c r="A910" s="36">
        <v>44414</v>
      </c>
      <c r="B910" s="37">
        <v>20.366</v>
      </c>
      <c r="C910" s="38">
        <v>-0.27100000000000102</v>
      </c>
      <c r="D910" s="39">
        <v>-1.31317536463634E-2</v>
      </c>
      <c r="E910" s="37">
        <v>20.524000000000001</v>
      </c>
      <c r="F910" s="37">
        <v>20.21</v>
      </c>
      <c r="G910" s="37">
        <v>20.57</v>
      </c>
      <c r="H910" s="7">
        <v>178496610</v>
      </c>
      <c r="I910" s="37">
        <v>3644497511.6683602</v>
      </c>
      <c r="J910" s="37">
        <v>145603171644.504</v>
      </c>
    </row>
    <row r="911" spans="1:10" x14ac:dyDescent="0.2">
      <c r="A911" s="36">
        <v>44413</v>
      </c>
      <c r="B911" s="37">
        <v>20.637</v>
      </c>
      <c r="C911" s="38">
        <v>0.36299999999999999</v>
      </c>
      <c r="D911" s="39">
        <v>1.7904705534181699E-2</v>
      </c>
      <c r="E911" s="37">
        <v>20.5</v>
      </c>
      <c r="F911" s="37">
        <v>20.341999999999999</v>
      </c>
      <c r="G911" s="37">
        <v>20.733000000000001</v>
      </c>
      <c r="H911" s="7">
        <v>211435370</v>
      </c>
      <c r="I911" s="37">
        <v>4349253385.3548899</v>
      </c>
      <c r="J911" s="37">
        <v>149247669156.172</v>
      </c>
    </row>
    <row r="912" spans="1:10" x14ac:dyDescent="0.2">
      <c r="A912" s="36">
        <v>44412</v>
      </c>
      <c r="B912" s="37">
        <v>20.274000000000001</v>
      </c>
      <c r="C912" s="38">
        <v>0.45900000000000002</v>
      </c>
      <c r="D912" s="39">
        <v>2.31642694928085E-2</v>
      </c>
      <c r="E912" s="37">
        <v>19.989999999999998</v>
      </c>
      <c r="F912" s="37">
        <v>19.827999999999999</v>
      </c>
      <c r="G912" s="37">
        <v>20.318000000000001</v>
      </c>
      <c r="H912" s="7">
        <v>231309400</v>
      </c>
      <c r="I912" s="37">
        <v>4656899661.4955702</v>
      </c>
      <c r="J912" s="37">
        <v>144898415770.81699</v>
      </c>
    </row>
    <row r="913" spans="1:10" x14ac:dyDescent="0.2">
      <c r="A913" s="36">
        <v>44411</v>
      </c>
      <c r="B913" s="37">
        <v>19.815000000000001</v>
      </c>
      <c r="C913" s="38">
        <v>6.5000000000001307E-2</v>
      </c>
      <c r="D913" s="39">
        <v>3.2911392405063902E-3</v>
      </c>
      <c r="E913" s="37">
        <v>19.739999999999998</v>
      </c>
      <c r="F913" s="37">
        <v>19.22</v>
      </c>
      <c r="G913" s="37">
        <v>20.222000000000001</v>
      </c>
      <c r="H913" s="7">
        <v>301810740</v>
      </c>
      <c r="I913" s="37">
        <v>5960238608.25175</v>
      </c>
      <c r="J913" s="37">
        <v>140241516109.32199</v>
      </c>
    </row>
    <row r="914" spans="1:10" x14ac:dyDescent="0.2">
      <c r="A914" s="36">
        <v>44410</v>
      </c>
      <c r="B914" s="37">
        <v>19.75</v>
      </c>
      <c r="C914" s="38">
        <v>0.251000000000001</v>
      </c>
      <c r="D914" s="39">
        <v>1.28724549976923E-2</v>
      </c>
      <c r="E914" s="37">
        <v>19.7</v>
      </c>
      <c r="F914" s="37">
        <v>19.361000000000001</v>
      </c>
      <c r="G914" s="37">
        <v>19.960999999999999</v>
      </c>
      <c r="H914" s="7">
        <v>217443970</v>
      </c>
      <c r="I914" s="37">
        <v>4291976307.3771601</v>
      </c>
      <c r="J914" s="37">
        <v>134281277501.07001</v>
      </c>
    </row>
    <row r="915" spans="1:10" x14ac:dyDescent="0.2">
      <c r="A915" s="36">
        <v>44407</v>
      </c>
      <c r="B915" s="37">
        <v>19.498999999999999</v>
      </c>
      <c r="C915" s="38">
        <v>-0.16300000000000001</v>
      </c>
      <c r="D915" s="39">
        <v>-8.2901027362425102E-3</v>
      </c>
      <c r="E915" s="37">
        <v>19.417999999999999</v>
      </c>
      <c r="F915" s="37">
        <v>19.263000000000002</v>
      </c>
      <c r="G915" s="37">
        <v>19.63</v>
      </c>
      <c r="H915" s="7">
        <v>183497460</v>
      </c>
      <c r="I915" s="37">
        <v>3570229303.5094099</v>
      </c>
      <c r="J915" s="37">
        <v>129989301193.69299</v>
      </c>
    </row>
    <row r="916" spans="1:10" x14ac:dyDescent="0.2">
      <c r="A916" s="36">
        <v>44406</v>
      </c>
      <c r="B916" s="37">
        <v>19.661999999999999</v>
      </c>
      <c r="C916" s="38">
        <v>0.158999999999999</v>
      </c>
      <c r="D916" s="39">
        <v>8.1525919089370305E-3</v>
      </c>
      <c r="E916" s="37">
        <v>19.518999999999998</v>
      </c>
      <c r="F916" s="37">
        <v>19.328029999999998</v>
      </c>
      <c r="G916" s="37">
        <v>19.853000000000002</v>
      </c>
      <c r="H916" s="7">
        <v>190780880</v>
      </c>
      <c r="I916" s="37">
        <v>3758450459.4412999</v>
      </c>
      <c r="J916" s="37">
        <v>133559530497.202</v>
      </c>
    </row>
    <row r="917" spans="1:10" x14ac:dyDescent="0.2">
      <c r="A917" s="36">
        <v>44405</v>
      </c>
      <c r="B917" s="37">
        <v>19.503</v>
      </c>
      <c r="C917" s="38">
        <v>0.29500000000000198</v>
      </c>
      <c r="D917" s="39">
        <v>1.53581840899626E-2</v>
      </c>
      <c r="E917" s="37">
        <v>19.319199999999999</v>
      </c>
      <c r="F917" s="37">
        <v>18.995000000000001</v>
      </c>
      <c r="G917" s="37">
        <v>19.646000000000001</v>
      </c>
      <c r="H917" s="7">
        <v>202191150</v>
      </c>
      <c r="I917" s="37">
        <v>3930326255.1981502</v>
      </c>
      <c r="J917" s="37">
        <v>129801080037.761</v>
      </c>
    </row>
    <row r="918" spans="1:10" x14ac:dyDescent="0.2">
      <c r="A918" s="36">
        <v>44404</v>
      </c>
      <c r="B918" s="37">
        <v>19.207999999999998</v>
      </c>
      <c r="C918" s="38">
        <v>-8.6000000000002103E-2</v>
      </c>
      <c r="D918" s="39">
        <v>-4.4573442520992098E-3</v>
      </c>
      <c r="E918" s="37">
        <v>19.265000000000001</v>
      </c>
      <c r="F918" s="37">
        <v>18.741</v>
      </c>
      <c r="G918" s="37">
        <v>19.622</v>
      </c>
      <c r="H918" s="7">
        <v>248862580</v>
      </c>
      <c r="I918" s="37">
        <v>4753058780.7674999</v>
      </c>
      <c r="J918" s="37">
        <v>125870753782.563</v>
      </c>
    </row>
    <row r="919" spans="1:10" x14ac:dyDescent="0.2">
      <c r="A919" s="36">
        <v>44403</v>
      </c>
      <c r="B919" s="37">
        <v>19.294</v>
      </c>
      <c r="C919" s="38">
        <v>-0.26399999999999901</v>
      </c>
      <c r="D919" s="39">
        <v>-1.3498312710911099E-2</v>
      </c>
      <c r="E919" s="37">
        <v>19.311</v>
      </c>
      <c r="F919" s="37">
        <v>18.914000000000001</v>
      </c>
      <c r="G919" s="37">
        <v>19.442</v>
      </c>
      <c r="H919" s="7">
        <v>203943160</v>
      </c>
      <c r="I919" s="37">
        <v>3923344588.28368</v>
      </c>
      <c r="J919" s="37">
        <v>130623812563.33</v>
      </c>
    </row>
    <row r="920" spans="1:10" x14ac:dyDescent="0.2">
      <c r="A920" s="36">
        <v>44400</v>
      </c>
      <c r="B920" s="37">
        <v>19.558</v>
      </c>
      <c r="C920" s="38">
        <v>-3.6000000000001399E-2</v>
      </c>
      <c r="D920" s="39">
        <v>-1.8372971317751001E-3</v>
      </c>
      <c r="E920" s="37">
        <v>19.65635</v>
      </c>
      <c r="F920" s="37">
        <v>19.25</v>
      </c>
      <c r="G920" s="37">
        <v>19.7</v>
      </c>
      <c r="H920" s="7">
        <v>195671980</v>
      </c>
      <c r="I920" s="37">
        <v>3808120174.65734</v>
      </c>
      <c r="J920" s="37">
        <v>134547157151.614</v>
      </c>
    </row>
    <row r="921" spans="1:10" x14ac:dyDescent="0.2">
      <c r="A921" s="36">
        <v>44399</v>
      </c>
      <c r="B921" s="37">
        <v>19.594000000000001</v>
      </c>
      <c r="C921" s="38">
        <v>0.184000000000001</v>
      </c>
      <c r="D921" s="39">
        <v>9.4796496651211298E-3</v>
      </c>
      <c r="E921" s="37">
        <v>19.641999999999999</v>
      </c>
      <c r="F921" s="37">
        <v>19.276</v>
      </c>
      <c r="G921" s="37">
        <v>19.887</v>
      </c>
      <c r="H921" s="7">
        <v>323825950</v>
      </c>
      <c r="I921" s="37">
        <v>6323799351.1544199</v>
      </c>
      <c r="J921" s="37">
        <v>138355277326.271</v>
      </c>
    </row>
    <row r="922" spans="1:10" x14ac:dyDescent="0.2">
      <c r="A922" s="36">
        <v>44398</v>
      </c>
      <c r="B922" s="37">
        <v>19.41</v>
      </c>
      <c r="C922" s="38">
        <v>0.79800000000000204</v>
      </c>
      <c r="D922" s="39">
        <v>4.2875564152159998E-2</v>
      </c>
      <c r="E922" s="37">
        <v>18.882000000000001</v>
      </c>
      <c r="F922" s="37">
        <v>18.742000000000001</v>
      </c>
      <c r="G922" s="37">
        <v>19.527000000000001</v>
      </c>
      <c r="H922" s="7">
        <v>371017360</v>
      </c>
      <c r="I922" s="37">
        <v>7141766836.4570799</v>
      </c>
      <c r="J922" s="37">
        <v>132031477975.117</v>
      </c>
    </row>
    <row r="923" spans="1:10" x14ac:dyDescent="0.2">
      <c r="A923" s="36">
        <v>44397</v>
      </c>
      <c r="B923" s="37">
        <v>18.611999999999998</v>
      </c>
      <c r="C923" s="38">
        <v>-0.16775000000000201</v>
      </c>
      <c r="D923" s="39">
        <v>-8.9324937765413101E-3</v>
      </c>
      <c r="E923" s="37">
        <v>18.73</v>
      </c>
      <c r="F923" s="37">
        <v>18.164000000000001</v>
      </c>
      <c r="G923" s="37">
        <v>18.838000000000001</v>
      </c>
      <c r="H923" s="7">
        <v>434686540</v>
      </c>
      <c r="I923" s="37">
        <v>8043284087.5708799</v>
      </c>
      <c r="J923" s="37">
        <v>124889711138.66</v>
      </c>
    </row>
    <row r="924" spans="1:10" x14ac:dyDescent="0.2">
      <c r="A924" s="36">
        <v>44396</v>
      </c>
      <c r="B924" s="37">
        <v>18.77975</v>
      </c>
      <c r="C924" s="38">
        <v>0.61874999999999902</v>
      </c>
      <c r="D924" s="39">
        <v>3.4070260448213097E-2</v>
      </c>
      <c r="E924" s="37">
        <v>17.91525</v>
      </c>
      <c r="F924" s="37">
        <v>17.865500000000001</v>
      </c>
      <c r="G924" s="37">
        <v>19.042000000000002</v>
      </c>
      <c r="H924" s="7">
        <v>749058760</v>
      </c>
      <c r="I924" s="37">
        <v>13962416139.834101</v>
      </c>
      <c r="J924" s="37">
        <v>132932995226.231</v>
      </c>
    </row>
    <row r="925" spans="1:10" x14ac:dyDescent="0.2">
      <c r="A925" s="36">
        <v>44393</v>
      </c>
      <c r="B925" s="37">
        <v>18.161000000000001</v>
      </c>
      <c r="C925" s="38">
        <v>-0.80524999999999702</v>
      </c>
      <c r="D925" s="39">
        <v>-4.2456995979700603E-2</v>
      </c>
      <c r="E925" s="37">
        <v>19.0305</v>
      </c>
      <c r="F925" s="37">
        <v>18.073</v>
      </c>
      <c r="G925" s="37">
        <v>19.157109999999999</v>
      </c>
      <c r="H925" s="7">
        <v>688222640</v>
      </c>
      <c r="I925" s="37">
        <v>12724395442.621901</v>
      </c>
      <c r="J925" s="37">
        <v>118970579086.396</v>
      </c>
    </row>
    <row r="926" spans="1:10" x14ac:dyDescent="0.2">
      <c r="A926" s="36">
        <v>44392</v>
      </c>
      <c r="B926" s="37">
        <v>18.966249999999999</v>
      </c>
      <c r="C926" s="38">
        <v>-0.87525000000000097</v>
      </c>
      <c r="D926" s="39">
        <v>-4.4112088299775802E-2</v>
      </c>
      <c r="E926" s="37">
        <v>19.81175</v>
      </c>
      <c r="F926" s="37">
        <v>18.858502999999999</v>
      </c>
      <c r="G926" s="37">
        <v>19.847000000000001</v>
      </c>
      <c r="H926" s="7">
        <v>550564520</v>
      </c>
      <c r="I926" s="37">
        <v>10569586195.8477</v>
      </c>
      <c r="J926" s="37">
        <v>131694974529.01801</v>
      </c>
    </row>
    <row r="927" spans="1:10" x14ac:dyDescent="0.2">
      <c r="A927" s="36">
        <v>44391</v>
      </c>
      <c r="B927" s="37">
        <v>19.8415</v>
      </c>
      <c r="C927" s="38">
        <v>-0.40849999999999997</v>
      </c>
      <c r="D927" s="39">
        <v>-2.01728395061728E-2</v>
      </c>
      <c r="E927" s="37">
        <v>20.357749999999999</v>
      </c>
      <c r="F927" s="37">
        <v>19.752749999999999</v>
      </c>
      <c r="G927" s="37">
        <v>20.417750000000002</v>
      </c>
      <c r="H927" s="7">
        <v>380099200</v>
      </c>
      <c r="I927" s="37">
        <v>7599298525.2636204</v>
      </c>
      <c r="J927" s="37">
        <v>142264560724.866</v>
      </c>
    </row>
    <row r="928" spans="1:10" x14ac:dyDescent="0.2">
      <c r="A928" s="36">
        <v>44390</v>
      </c>
      <c r="B928" s="37">
        <v>20.25</v>
      </c>
      <c r="C928" s="38">
        <v>-0.26249999999999901</v>
      </c>
      <c r="D928" s="39">
        <v>-1.2797074954296101E-2</v>
      </c>
      <c r="E928" s="37">
        <v>20.400500000000001</v>
      </c>
      <c r="F928" s="37">
        <v>20.114003</v>
      </c>
      <c r="G928" s="37">
        <v>20.46125</v>
      </c>
      <c r="H928" s="7">
        <v>290706320</v>
      </c>
      <c r="I928" s="37">
        <v>5903957650.3295002</v>
      </c>
      <c r="J928" s="37">
        <v>149863859250.13</v>
      </c>
    </row>
    <row r="929" spans="1:10" x14ac:dyDescent="0.2">
      <c r="A929" s="36">
        <v>44389</v>
      </c>
      <c r="B929" s="37">
        <v>20.512499999999999</v>
      </c>
      <c r="C929" s="38">
        <v>0.46225000000000099</v>
      </c>
      <c r="D929" s="39">
        <v>2.3054575379359399E-2</v>
      </c>
      <c r="E929" s="37">
        <v>20.239999999999998</v>
      </c>
      <c r="F929" s="37">
        <v>20.187750000000001</v>
      </c>
      <c r="G929" s="37">
        <v>20.53275</v>
      </c>
      <c r="H929" s="7">
        <v>321984760</v>
      </c>
      <c r="I929" s="37">
        <v>6562498175.85005</v>
      </c>
      <c r="J929" s="37">
        <v>155767816900.45901</v>
      </c>
    </row>
    <row r="930" spans="1:10" x14ac:dyDescent="0.2">
      <c r="A930" s="36">
        <v>44386</v>
      </c>
      <c r="B930" s="37">
        <v>20.050249999999998</v>
      </c>
      <c r="C930" s="38">
        <v>0.14749999999999699</v>
      </c>
      <c r="D930" s="39">
        <v>7.4110361633441301E-3</v>
      </c>
      <c r="E930" s="37">
        <v>19.962499999999999</v>
      </c>
      <c r="F930" s="37">
        <v>19.754249999999999</v>
      </c>
      <c r="G930" s="37">
        <v>20.080124999999999</v>
      </c>
      <c r="H930" s="7">
        <v>296622680</v>
      </c>
      <c r="I930" s="37">
        <v>5912449930.5417995</v>
      </c>
      <c r="J930" s="37">
        <v>149205318724.60901</v>
      </c>
    </row>
    <row r="931" spans="1:10" x14ac:dyDescent="0.2">
      <c r="A931" s="36">
        <v>44385</v>
      </c>
      <c r="B931" s="37">
        <v>19.902750000000001</v>
      </c>
      <c r="C931" s="38">
        <v>-0.46899999999999797</v>
      </c>
      <c r="D931" s="39">
        <v>-2.3022077141139002E-2</v>
      </c>
      <c r="E931" s="37">
        <v>19.8565</v>
      </c>
      <c r="F931" s="37">
        <v>19.700749999999999</v>
      </c>
      <c r="G931" s="37">
        <v>20.132999999999999</v>
      </c>
      <c r="H931" s="7">
        <v>503299680</v>
      </c>
      <c r="I931" s="37">
        <v>10020719386.052099</v>
      </c>
      <c r="J931" s="37">
        <v>143292868794.06699</v>
      </c>
    </row>
    <row r="932" spans="1:10" x14ac:dyDescent="0.2">
      <c r="A932" s="36">
        <v>44384</v>
      </c>
      <c r="B932" s="37">
        <v>20.371749999999999</v>
      </c>
      <c r="C932" s="38">
        <v>-0.32675000000000098</v>
      </c>
      <c r="D932" s="39">
        <v>-1.5786168079812601E-2</v>
      </c>
      <c r="E932" s="37">
        <v>20.8535</v>
      </c>
      <c r="F932" s="37">
        <v>20.332049999999999</v>
      </c>
      <c r="G932" s="37">
        <v>20.875</v>
      </c>
      <c r="H932" s="7">
        <v>418427280</v>
      </c>
      <c r="I932" s="37">
        <v>8576691878.5483999</v>
      </c>
      <c r="J932" s="37">
        <v>153313588180.11899</v>
      </c>
    </row>
    <row r="933" spans="1:10" x14ac:dyDescent="0.2">
      <c r="A933" s="36">
        <v>44383</v>
      </c>
      <c r="B933" s="37">
        <v>20.698499999999999</v>
      </c>
      <c r="C933" s="38">
        <v>0.21150000000000099</v>
      </c>
      <c r="D933" s="39">
        <v>1.0323619856494401E-2</v>
      </c>
      <c r="E933" s="37">
        <v>20.737500000000001</v>
      </c>
      <c r="F933" s="37">
        <v>20.350249999999999</v>
      </c>
      <c r="G933" s="37">
        <v>20.841999999999999</v>
      </c>
      <c r="H933" s="7">
        <v>446707480</v>
      </c>
      <c r="I933" s="37">
        <v>9229676697.5806999</v>
      </c>
      <c r="J933" s="37">
        <v>161890280058.668</v>
      </c>
    </row>
    <row r="934" spans="1:10" x14ac:dyDescent="0.2">
      <c r="A934" s="36">
        <v>44379</v>
      </c>
      <c r="B934" s="37">
        <v>20.486999999999998</v>
      </c>
      <c r="C934" s="38">
        <v>0.27499999999999902</v>
      </c>
      <c r="D934" s="39">
        <v>1.36057787452998E-2</v>
      </c>
      <c r="E934" s="37">
        <v>20.440124999999998</v>
      </c>
      <c r="F934" s="37">
        <v>20.287749999999999</v>
      </c>
      <c r="G934" s="37">
        <v>20.50525</v>
      </c>
      <c r="H934" s="7">
        <v>343396680</v>
      </c>
      <c r="I934" s="37">
        <v>7006867073.2850504</v>
      </c>
      <c r="J934" s="37">
        <v>152660603361.08701</v>
      </c>
    </row>
    <row r="935" spans="1:10" x14ac:dyDescent="0.2">
      <c r="A935" s="36">
        <v>44378</v>
      </c>
      <c r="B935" s="37">
        <v>20.212</v>
      </c>
      <c r="C935" s="38">
        <v>0.20949999999999799</v>
      </c>
      <c r="D935" s="39">
        <v>1.04736907886513E-2</v>
      </c>
      <c r="E935" s="37">
        <v>20.125</v>
      </c>
      <c r="F935" s="37">
        <v>20.018999999999998</v>
      </c>
      <c r="G935" s="37">
        <v>20.456</v>
      </c>
      <c r="H935" s="7">
        <v>480134960</v>
      </c>
      <c r="I935" s="37">
        <v>9713082614.0664101</v>
      </c>
      <c r="J935" s="37">
        <v>145653736287.802</v>
      </c>
    </row>
    <row r="936" spans="1:10" x14ac:dyDescent="0.2">
      <c r="A936" s="36">
        <v>44377</v>
      </c>
      <c r="B936" s="37">
        <v>20.002500000000001</v>
      </c>
      <c r="C936" s="38">
        <v>-2.4249999999998599E-2</v>
      </c>
      <c r="D936" s="39">
        <v>-1.21088044740153E-3</v>
      </c>
      <c r="E936" s="37">
        <v>19.999124999999999</v>
      </c>
      <c r="F936" s="37">
        <v>19.86375</v>
      </c>
      <c r="G936" s="37">
        <v>20.162500000000001</v>
      </c>
      <c r="H936" s="7">
        <v>326566160</v>
      </c>
      <c r="I936" s="37">
        <v>6531830214.5780001</v>
      </c>
      <c r="J936" s="37">
        <v>135940653673.73599</v>
      </c>
    </row>
    <row r="937" spans="1:10" x14ac:dyDescent="0.2">
      <c r="A937" s="36">
        <v>44376</v>
      </c>
      <c r="B937" s="37">
        <v>20.02675</v>
      </c>
      <c r="C937" s="38">
        <v>4.1750000000000398E-2</v>
      </c>
      <c r="D937" s="39">
        <v>2.0890668001001E-3</v>
      </c>
      <c r="E937" s="37">
        <v>19.8825</v>
      </c>
      <c r="F937" s="37">
        <v>19.656874999999999</v>
      </c>
      <c r="G937" s="37">
        <v>20.098749999999999</v>
      </c>
      <c r="H937" s="7">
        <v>367633840</v>
      </c>
      <c r="I937" s="37">
        <v>7309610900.7026997</v>
      </c>
      <c r="J937" s="37">
        <v>142472483888.314</v>
      </c>
    </row>
    <row r="938" spans="1:10" x14ac:dyDescent="0.2">
      <c r="A938" s="36">
        <v>44375</v>
      </c>
      <c r="B938" s="37">
        <v>19.984999999999999</v>
      </c>
      <c r="C938" s="38">
        <v>0.95400000000000096</v>
      </c>
      <c r="D938" s="39">
        <v>5.0128737323314597E-2</v>
      </c>
      <c r="E938" s="37">
        <v>19.361249999999998</v>
      </c>
      <c r="F938" s="37">
        <v>19.318999999999999</v>
      </c>
      <c r="G938" s="37">
        <v>20.078749999999999</v>
      </c>
      <c r="H938" s="7">
        <v>495436560</v>
      </c>
      <c r="I938" s="37">
        <v>9846887498.6720104</v>
      </c>
      <c r="J938" s="37">
        <v>135162872987.61099</v>
      </c>
    </row>
    <row r="939" spans="1:10" x14ac:dyDescent="0.2">
      <c r="A939" s="36">
        <v>44372</v>
      </c>
      <c r="B939" s="37">
        <v>19.030999999999999</v>
      </c>
      <c r="C939" s="38">
        <v>-0.17450000000000199</v>
      </c>
      <c r="D939" s="39">
        <v>-9.0859389237458992E-3</v>
      </c>
      <c r="E939" s="37">
        <v>19.2805</v>
      </c>
      <c r="F939" s="37">
        <v>18.894375</v>
      </c>
      <c r="G939" s="37">
        <v>19.345500000000001</v>
      </c>
      <c r="H939" s="7">
        <v>278365920</v>
      </c>
      <c r="I939" s="37">
        <v>5302094879.4662304</v>
      </c>
      <c r="J939" s="37">
        <v>125315985488.939</v>
      </c>
    </row>
    <row r="940" spans="1:10" x14ac:dyDescent="0.2">
      <c r="A940" s="36">
        <v>44371</v>
      </c>
      <c r="B940" s="37">
        <v>19.205500000000001</v>
      </c>
      <c r="C940" s="38">
        <v>0.14825000000000099</v>
      </c>
      <c r="D940" s="39">
        <v>7.7791916462239203E-3</v>
      </c>
      <c r="E940" s="37">
        <v>19.22775</v>
      </c>
      <c r="F940" s="37">
        <v>19.088249999999999</v>
      </c>
      <c r="G940" s="37">
        <v>19.420000000000002</v>
      </c>
      <c r="H940" s="7">
        <v>320922400</v>
      </c>
      <c r="I940" s="37">
        <v>6181241470.8727999</v>
      </c>
      <c r="J940" s="37">
        <v>130618080368.405</v>
      </c>
    </row>
    <row r="941" spans="1:10" x14ac:dyDescent="0.2">
      <c r="A941" s="36">
        <v>44370</v>
      </c>
      <c r="B941" s="37">
        <v>19.05725</v>
      </c>
      <c r="C941" s="38">
        <v>0.17050000000000101</v>
      </c>
      <c r="D941" s="39">
        <v>9.0274928190398306E-3</v>
      </c>
      <c r="E941" s="37">
        <v>19.007750000000001</v>
      </c>
      <c r="F941" s="37">
        <v>18.90775</v>
      </c>
      <c r="G941" s="37">
        <v>19.152750000000001</v>
      </c>
      <c r="H941" s="7">
        <v>332357040</v>
      </c>
      <c r="I941" s="37">
        <v>6333550973.9650698</v>
      </c>
      <c r="J941" s="37">
        <v>124436838897.532</v>
      </c>
    </row>
    <row r="942" spans="1:10" x14ac:dyDescent="0.2">
      <c r="A942" s="36">
        <v>44369</v>
      </c>
      <c r="B942" s="37">
        <v>18.886749999999999</v>
      </c>
      <c r="C942" s="38">
        <v>0.45949999999999802</v>
      </c>
      <c r="D942" s="39">
        <v>2.4935896566226599E-2</v>
      </c>
      <c r="E942" s="37">
        <v>18.471499999999999</v>
      </c>
      <c r="F942" s="37">
        <v>18.385874999999999</v>
      </c>
      <c r="G942" s="37">
        <v>18.963750000000001</v>
      </c>
      <c r="H942" s="7">
        <v>580145560</v>
      </c>
      <c r="I942" s="37">
        <v>10880438482.278299</v>
      </c>
      <c r="J942" s="37">
        <v>118103287923.567</v>
      </c>
    </row>
    <row r="943" spans="1:10" x14ac:dyDescent="0.2">
      <c r="A943" s="36">
        <v>44368</v>
      </c>
      <c r="B943" s="37">
        <v>18.427250000000001</v>
      </c>
      <c r="C943" s="38">
        <v>-0.21150000000000099</v>
      </c>
      <c r="D943" s="39">
        <v>-1.13473274763598E-2</v>
      </c>
      <c r="E943" s="37">
        <v>18.43525</v>
      </c>
      <c r="F943" s="37">
        <v>17.822649999999999</v>
      </c>
      <c r="G943" s="37">
        <v>18.5365</v>
      </c>
      <c r="H943" s="7">
        <v>672382160</v>
      </c>
      <c r="I943" s="37">
        <v>12216775700.0665</v>
      </c>
      <c r="J943" s="37">
        <v>107222849441.289</v>
      </c>
    </row>
    <row r="944" spans="1:10" x14ac:dyDescent="0.2">
      <c r="A944" s="36">
        <v>44365</v>
      </c>
      <c r="B944" s="37">
        <v>18.638750000000002</v>
      </c>
      <c r="C944" s="38">
        <v>-1.8499999999999499E-2</v>
      </c>
      <c r="D944" s="39">
        <v>-9.9157164105104006E-4</v>
      </c>
      <c r="E944" s="37">
        <v>18.783999999999999</v>
      </c>
      <c r="F944" s="37">
        <v>18.584</v>
      </c>
      <c r="G944" s="37">
        <v>19.375</v>
      </c>
      <c r="H944" s="7">
        <v>968854280</v>
      </c>
      <c r="I944" s="37">
        <v>18391177322.562901</v>
      </c>
      <c r="J944" s="37">
        <v>119439625141.356</v>
      </c>
    </row>
    <row r="945" spans="1:10" x14ac:dyDescent="0.2">
      <c r="A945" s="36">
        <v>44364</v>
      </c>
      <c r="B945" s="37">
        <v>18.657250000000001</v>
      </c>
      <c r="C945" s="38">
        <v>0.84700000000000097</v>
      </c>
      <c r="D945" s="39">
        <v>4.7556884378377698E-2</v>
      </c>
      <c r="E945" s="37">
        <v>17.774567999999999</v>
      </c>
      <c r="F945" s="37">
        <v>17.756253000000001</v>
      </c>
      <c r="G945" s="37">
        <v>18.835000000000001</v>
      </c>
      <c r="H945" s="7">
        <v>809654880</v>
      </c>
      <c r="I945" s="37">
        <v>15027632565.196301</v>
      </c>
      <c r="J945" s="37">
        <v>137830802463.918</v>
      </c>
    </row>
    <row r="946" spans="1:10" x14ac:dyDescent="0.2">
      <c r="A946" s="36">
        <v>44363</v>
      </c>
      <c r="B946" s="37">
        <v>17.81025</v>
      </c>
      <c r="C946" s="38">
        <v>2.17500000000008E-2</v>
      </c>
      <c r="D946" s="39">
        <v>1.22270005902695E-3</v>
      </c>
      <c r="E946" s="37">
        <v>17.790749999999999</v>
      </c>
      <c r="F946" s="37">
        <v>17.584425</v>
      </c>
      <c r="G946" s="37">
        <v>17.954678000000001</v>
      </c>
      <c r="H946" s="7">
        <v>307122600</v>
      </c>
      <c r="I946" s="37">
        <v>5468600263.8857002</v>
      </c>
      <c r="J946" s="37">
        <v>122803169898.722</v>
      </c>
    </row>
    <row r="947" spans="1:10" x14ac:dyDescent="0.2">
      <c r="A947" s="36">
        <v>44362</v>
      </c>
      <c r="B947" s="37">
        <v>17.788499999999999</v>
      </c>
      <c r="C947" s="38">
        <v>-0.23025000000000201</v>
      </c>
      <c r="D947" s="39">
        <v>-1.27783558792925E-2</v>
      </c>
      <c r="E947" s="37">
        <v>17.914999999999999</v>
      </c>
      <c r="F947" s="37">
        <v>17.72795</v>
      </c>
      <c r="G947" s="37">
        <v>18.016249999999999</v>
      </c>
      <c r="H947" s="7">
        <v>243030440</v>
      </c>
      <c r="I947" s="37">
        <v>4342406861.4854803</v>
      </c>
      <c r="J947" s="37">
        <v>117334569634.836</v>
      </c>
    </row>
    <row r="948" spans="1:10" x14ac:dyDescent="0.2">
      <c r="A948" s="36">
        <v>44361</v>
      </c>
      <c r="B948" s="37">
        <v>18.018750000000001</v>
      </c>
      <c r="C948" s="38">
        <v>0.19350000000000001</v>
      </c>
      <c r="D948" s="39">
        <v>1.08553877224723E-2</v>
      </c>
      <c r="E948" s="37">
        <v>17.905999999999999</v>
      </c>
      <c r="F948" s="37">
        <v>17.662752999999999</v>
      </c>
      <c r="G948" s="37">
        <v>18.0395</v>
      </c>
      <c r="H948" s="7">
        <v>321374280</v>
      </c>
      <c r="I948" s="37">
        <v>5751186237.2528696</v>
      </c>
      <c r="J948" s="37">
        <v>121676976496.32201</v>
      </c>
    </row>
    <row r="949" spans="1:10" x14ac:dyDescent="0.2">
      <c r="A949" s="36">
        <v>44358</v>
      </c>
      <c r="B949" s="37">
        <v>17.82525</v>
      </c>
      <c r="C949" s="38">
        <v>0.40024999999999999</v>
      </c>
      <c r="D949" s="39">
        <v>2.29698708751793E-2</v>
      </c>
      <c r="E949" s="37">
        <v>17.479500000000002</v>
      </c>
      <c r="F949" s="37">
        <v>17.443750000000001</v>
      </c>
      <c r="G949" s="37">
        <v>17.939225</v>
      </c>
      <c r="H949" s="7">
        <v>416307640</v>
      </c>
      <c r="I949" s="37">
        <v>7395364850.7832098</v>
      </c>
      <c r="J949" s="37">
        <v>115925790259.069</v>
      </c>
    </row>
    <row r="950" spans="1:10" x14ac:dyDescent="0.2">
      <c r="A950" s="36">
        <v>44357</v>
      </c>
      <c r="B950" s="37">
        <v>17.425000000000001</v>
      </c>
      <c r="C950" s="38">
        <v>6.6749999999999005E-2</v>
      </c>
      <c r="D950" s="39">
        <v>3.8454337274782301E-3</v>
      </c>
      <c r="E950" s="37">
        <v>17.350000000000001</v>
      </c>
      <c r="F950" s="37">
        <v>17.176003000000001</v>
      </c>
      <c r="G950" s="37">
        <v>17.492000000000001</v>
      </c>
      <c r="H950" s="7">
        <v>287770440</v>
      </c>
      <c r="I950" s="37">
        <v>5002305508.2217798</v>
      </c>
      <c r="J950" s="37">
        <v>108530425408.286</v>
      </c>
    </row>
    <row r="951" spans="1:10" x14ac:dyDescent="0.2">
      <c r="A951" s="36">
        <v>44356</v>
      </c>
      <c r="B951" s="37">
        <v>17.358250000000002</v>
      </c>
      <c r="C951" s="38">
        <v>-9.8749999999999005E-2</v>
      </c>
      <c r="D951" s="39">
        <v>-5.65675660193613E-3</v>
      </c>
      <c r="E951" s="37">
        <v>17.515750000000001</v>
      </c>
      <c r="F951" s="37">
        <v>17.255749999999999</v>
      </c>
      <c r="G951" s="37">
        <v>17.574999999999999</v>
      </c>
      <c r="H951" s="7">
        <v>381657480</v>
      </c>
      <c r="I951" s="37">
        <v>6644879496.5722399</v>
      </c>
      <c r="J951" s="37">
        <v>103528119900.064</v>
      </c>
    </row>
    <row r="952" spans="1:10" x14ac:dyDescent="0.2">
      <c r="A952" s="36">
        <v>44355</v>
      </c>
      <c r="B952" s="37">
        <v>17.457000000000001</v>
      </c>
      <c r="C952" s="38">
        <v>-0.16199999999999901</v>
      </c>
      <c r="D952" s="39">
        <v>-9.1946194449173593E-3</v>
      </c>
      <c r="E952" s="37">
        <v>17.527249999999999</v>
      </c>
      <c r="F952" s="37">
        <v>17.251000000000001</v>
      </c>
      <c r="G952" s="37">
        <v>17.621587999999999</v>
      </c>
      <c r="H952" s="7">
        <v>323846760</v>
      </c>
      <c r="I952" s="37">
        <v>5642254793.1500101</v>
      </c>
      <c r="J952" s="37">
        <v>110172999396.636</v>
      </c>
    </row>
    <row r="953" spans="1:10" x14ac:dyDescent="0.2">
      <c r="A953" s="36">
        <v>44354</v>
      </c>
      <c r="B953" s="37">
        <v>17.619</v>
      </c>
      <c r="C953" s="38">
        <v>4.0749999999999197E-2</v>
      </c>
      <c r="D953" s="39">
        <v>2.3182057372036001E-3</v>
      </c>
      <c r="E953" s="37">
        <v>17.57114</v>
      </c>
      <c r="F953" s="37">
        <v>17.19275</v>
      </c>
      <c r="G953" s="37">
        <v>17.8125</v>
      </c>
      <c r="H953" s="7">
        <v>575754920</v>
      </c>
      <c r="I953" s="37">
        <v>10079489297.7159</v>
      </c>
      <c r="J953" s="37">
        <v>115815254189.786</v>
      </c>
    </row>
    <row r="954" spans="1:10" x14ac:dyDescent="0.2">
      <c r="A954" s="36">
        <v>44351</v>
      </c>
      <c r="B954" s="37">
        <v>17.578250000000001</v>
      </c>
      <c r="C954" s="38">
        <v>0.60849999999999904</v>
      </c>
      <c r="D954" s="39">
        <v>3.5857923658274199E-2</v>
      </c>
      <c r="E954" s="37">
        <v>17.112500000000001</v>
      </c>
      <c r="F954" s="37">
        <v>17.095500000000001</v>
      </c>
      <c r="G954" s="37">
        <v>17.661000000000001</v>
      </c>
      <c r="H954" s="7">
        <v>617120280</v>
      </c>
      <c r="I954" s="37">
        <v>10806497290.732901</v>
      </c>
      <c r="J954" s="37">
        <v>105735764892.07001</v>
      </c>
    </row>
    <row r="955" spans="1:10" x14ac:dyDescent="0.2">
      <c r="A955" s="36">
        <v>44350</v>
      </c>
      <c r="B955" s="37">
        <v>16.969750000000001</v>
      </c>
      <c r="C955" s="38">
        <v>0.191500000000001</v>
      </c>
      <c r="D955" s="39">
        <v>1.14135860414526E-2</v>
      </c>
      <c r="E955" s="37">
        <v>16.700749999999999</v>
      </c>
      <c r="F955" s="37">
        <v>16.582999999999998</v>
      </c>
      <c r="G955" s="37">
        <v>17.259</v>
      </c>
      <c r="H955" s="7">
        <v>580006800</v>
      </c>
      <c r="I955" s="37">
        <v>9847552049.7029305</v>
      </c>
      <c r="J955" s="37">
        <v>94929267601.337601</v>
      </c>
    </row>
    <row r="956" spans="1:10" x14ac:dyDescent="0.2">
      <c r="A956" s="36">
        <v>44349</v>
      </c>
      <c r="B956" s="37">
        <v>16.77825</v>
      </c>
      <c r="C956" s="38">
        <v>0.51374999999999804</v>
      </c>
      <c r="D956" s="39">
        <v>3.1587199114636103E-2</v>
      </c>
      <c r="E956" s="37">
        <v>16.25225</v>
      </c>
      <c r="F956" s="37">
        <v>16.235499999999998</v>
      </c>
      <c r="G956" s="37">
        <v>16.918868</v>
      </c>
      <c r="H956" s="7">
        <v>594167560</v>
      </c>
      <c r="I956" s="37">
        <v>9914933079.77001</v>
      </c>
      <c r="J956" s="37">
        <v>85081715551.634598</v>
      </c>
    </row>
    <row r="957" spans="1:10" x14ac:dyDescent="0.2">
      <c r="A957" s="36">
        <v>44348</v>
      </c>
      <c r="B957" s="37">
        <v>16.264500000000002</v>
      </c>
      <c r="C957" s="38">
        <v>2.0000000000003099E-2</v>
      </c>
      <c r="D957" s="39">
        <v>1.23118593985676E-3</v>
      </c>
      <c r="E957" s="37">
        <v>16.27</v>
      </c>
      <c r="F957" s="37">
        <v>15.90325</v>
      </c>
      <c r="G957" s="37">
        <v>16.388124999999999</v>
      </c>
      <c r="H957" s="7">
        <v>472803000</v>
      </c>
      <c r="I957" s="37">
        <v>7640147884.4888</v>
      </c>
      <c r="J957" s="37">
        <v>75166782471.864594</v>
      </c>
    </row>
    <row r="958" spans="1:10" x14ac:dyDescent="0.2">
      <c r="A958" s="36">
        <v>44344</v>
      </c>
      <c r="B958" s="37">
        <v>16.244499999999999</v>
      </c>
      <c r="C958" s="38">
        <v>0.75649999999999895</v>
      </c>
      <c r="D958" s="39">
        <v>4.8844266528925602E-2</v>
      </c>
      <c r="E958" s="37">
        <v>15.500999999999999</v>
      </c>
      <c r="F958" s="37">
        <v>15.500999999999999</v>
      </c>
      <c r="G958" s="37">
        <v>16.277474999999999</v>
      </c>
      <c r="H958" s="7">
        <v>644535600</v>
      </c>
      <c r="I958" s="37">
        <v>10363912286.203199</v>
      </c>
      <c r="J958" s="37">
        <v>67526634587.375801</v>
      </c>
    </row>
    <row r="959" spans="1:10" x14ac:dyDescent="0.2">
      <c r="A959" s="36">
        <v>44343</v>
      </c>
      <c r="B959" s="37">
        <v>15.488</v>
      </c>
      <c r="C959" s="38">
        <v>-0.21199999999999999</v>
      </c>
      <c r="D959" s="39">
        <v>-1.3503184713375801E-2</v>
      </c>
      <c r="E959" s="37">
        <v>15.69975</v>
      </c>
      <c r="F959" s="37">
        <v>15.46</v>
      </c>
      <c r="G959" s="37">
        <v>15.75</v>
      </c>
      <c r="H959" s="7">
        <v>581475200</v>
      </c>
      <c r="I959" s="37">
        <v>9053969775.5692806</v>
      </c>
      <c r="J959" s="37">
        <v>57162722301.172699</v>
      </c>
    </row>
    <row r="960" spans="1:10" x14ac:dyDescent="0.2">
      <c r="A960" s="36">
        <v>44342</v>
      </c>
      <c r="B960" s="37">
        <v>15.7</v>
      </c>
      <c r="C960" s="38">
        <v>5.2249999999998999E-2</v>
      </c>
      <c r="D960" s="39">
        <v>3.3391382147592501E-3</v>
      </c>
      <c r="E960" s="37">
        <v>15.734249999999999</v>
      </c>
      <c r="F960" s="37">
        <v>15.58625</v>
      </c>
      <c r="G960" s="37">
        <v>15.793749999999999</v>
      </c>
      <c r="H960" s="7">
        <v>370438640</v>
      </c>
      <c r="I960" s="37">
        <v>5802950251.6639605</v>
      </c>
      <c r="J960" s="37">
        <v>66216692076.741898</v>
      </c>
    </row>
    <row r="961" spans="1:10" x14ac:dyDescent="0.2">
      <c r="A961" s="36">
        <v>44341</v>
      </c>
      <c r="B961" s="37">
        <v>15.64775</v>
      </c>
      <c r="C961" s="38">
        <v>3.5750000000000198E-2</v>
      </c>
      <c r="D961" s="39">
        <v>2.2899052011273501E-3</v>
      </c>
      <c r="E961" s="37">
        <v>15.766</v>
      </c>
      <c r="F961" s="37">
        <v>15.4825</v>
      </c>
      <c r="G961" s="37">
        <v>15.818498</v>
      </c>
      <c r="H961" s="7">
        <v>435406880</v>
      </c>
      <c r="I961" s="37">
        <v>6802159365.4674301</v>
      </c>
      <c r="J961" s="37">
        <v>60413741825.078003</v>
      </c>
    </row>
    <row r="962" spans="1:10" x14ac:dyDescent="0.2">
      <c r="A962" s="36">
        <v>44340</v>
      </c>
      <c r="B962" s="37">
        <v>15.612</v>
      </c>
      <c r="C962" s="38">
        <v>0.62024999999999997</v>
      </c>
      <c r="D962" s="39">
        <v>4.1372755015258403E-2</v>
      </c>
      <c r="E962" s="37">
        <v>15.2125</v>
      </c>
      <c r="F962" s="37">
        <v>15.176</v>
      </c>
      <c r="G962" s="37">
        <v>15.744999999999999</v>
      </c>
      <c r="H962" s="7">
        <v>554816200</v>
      </c>
      <c r="I962" s="37">
        <v>8629325559.3941708</v>
      </c>
      <c r="J962" s="37">
        <v>53611582459.610603</v>
      </c>
    </row>
    <row r="963" spans="1:10" x14ac:dyDescent="0.2">
      <c r="A963" s="36">
        <v>44337</v>
      </c>
      <c r="B963" s="37">
        <v>14.99175</v>
      </c>
      <c r="C963" s="38">
        <v>0.37924999999999898</v>
      </c>
      <c r="D963" s="39">
        <v>2.59538066723695E-2</v>
      </c>
      <c r="E963" s="37">
        <v>15.16375</v>
      </c>
      <c r="F963" s="37">
        <v>14.869389999999999</v>
      </c>
      <c r="G963" s="37">
        <v>15.222</v>
      </c>
      <c r="H963" s="7">
        <v>672992000</v>
      </c>
      <c r="I963" s="37">
        <v>10120053432.760401</v>
      </c>
      <c r="J963" s="37">
        <v>44982256900.2164</v>
      </c>
    </row>
    <row r="964" spans="1:10" x14ac:dyDescent="0.2">
      <c r="A964" s="36">
        <v>44336</v>
      </c>
      <c r="B964" s="37">
        <v>14.612500000000001</v>
      </c>
      <c r="C964" s="38">
        <v>0.54675000000000096</v>
      </c>
      <c r="D964" s="39">
        <v>3.8871016476192302E-2</v>
      </c>
      <c r="E964" s="37">
        <v>14.3025</v>
      </c>
      <c r="F964" s="37">
        <v>14.2705</v>
      </c>
      <c r="G964" s="37">
        <v>14.683785</v>
      </c>
      <c r="H964" s="7">
        <v>321591920</v>
      </c>
      <c r="I964" s="37">
        <v>4676518041.3569403</v>
      </c>
      <c r="J964" s="37">
        <v>34862203467.456001</v>
      </c>
    </row>
    <row r="965" spans="1:10" x14ac:dyDescent="0.2">
      <c r="A965" s="36">
        <v>44335</v>
      </c>
      <c r="B965" s="37">
        <v>14.06575</v>
      </c>
      <c r="C965" s="38">
        <v>4.9999999999998899E-2</v>
      </c>
      <c r="D965" s="39">
        <v>3.56741522929554E-3</v>
      </c>
      <c r="E965" s="37">
        <v>13.5665</v>
      </c>
      <c r="F965" s="37">
        <v>13.54325</v>
      </c>
      <c r="G965" s="37">
        <v>14.079499999999999</v>
      </c>
      <c r="H965" s="7">
        <v>343999360</v>
      </c>
      <c r="I965" s="37">
        <v>4766213042.6505003</v>
      </c>
      <c r="J965" s="37">
        <v>30185685426.098999</v>
      </c>
    </row>
    <row r="966" spans="1:10" x14ac:dyDescent="0.2">
      <c r="A966" s="36">
        <v>44334</v>
      </c>
      <c r="B966" s="37">
        <v>14.015750000000001</v>
      </c>
      <c r="C966" s="38">
        <v>-0.149749999999999</v>
      </c>
      <c r="D966" s="39">
        <v>-1.05714588260209E-2</v>
      </c>
      <c r="E966" s="37">
        <v>14.266999999999999</v>
      </c>
      <c r="F966" s="37">
        <v>14.004</v>
      </c>
      <c r="G966" s="37">
        <v>14.404249999999999</v>
      </c>
      <c r="H966" s="7">
        <v>186254240</v>
      </c>
      <c r="I966" s="37">
        <v>2644143890.6751399</v>
      </c>
      <c r="J966" s="37">
        <v>25419472383.448502</v>
      </c>
    </row>
    <row r="967" spans="1:10" x14ac:dyDescent="0.2">
      <c r="A967" s="36">
        <v>44333</v>
      </c>
      <c r="B967" s="37">
        <v>14.1655</v>
      </c>
      <c r="C967" s="38">
        <v>-7.7500000000000596E-2</v>
      </c>
      <c r="D967" s="39">
        <v>-5.44126939549256E-3</v>
      </c>
      <c r="E967" s="37">
        <v>14.157</v>
      </c>
      <c r="F967" s="37">
        <v>13.8535</v>
      </c>
      <c r="G967" s="37">
        <v>14.16925</v>
      </c>
      <c r="H967" s="7">
        <v>216980840</v>
      </c>
      <c r="I967" s="37">
        <v>3044981405.67309</v>
      </c>
      <c r="J967" s="37">
        <v>28063616274.123699</v>
      </c>
    </row>
    <row r="968" spans="1:10" x14ac:dyDescent="0.2">
      <c r="A968" s="36">
        <v>44330</v>
      </c>
      <c r="B968" s="37">
        <v>14.243</v>
      </c>
      <c r="C968" s="38">
        <v>0.57774999999999999</v>
      </c>
      <c r="D968" s="39">
        <v>4.2278772799619502E-2</v>
      </c>
      <c r="E968" s="37">
        <v>13.89</v>
      </c>
      <c r="F968" s="37">
        <v>13.7485</v>
      </c>
      <c r="G968" s="37">
        <v>14.328105000000001</v>
      </c>
      <c r="H968" s="7">
        <v>258615000</v>
      </c>
      <c r="I968" s="37">
        <v>3655311443.3427</v>
      </c>
      <c r="J968" s="37">
        <v>31108597679.7967</v>
      </c>
    </row>
    <row r="969" spans="1:10" x14ac:dyDescent="0.2">
      <c r="A969" s="36">
        <v>44329</v>
      </c>
      <c r="B969" s="37">
        <v>13.66525</v>
      </c>
      <c r="C969" s="38">
        <v>-9.3249999999999403E-2</v>
      </c>
      <c r="D969" s="39">
        <v>-6.7776283751861998E-3</v>
      </c>
      <c r="E969" s="37">
        <v>14.03375</v>
      </c>
      <c r="F969" s="37">
        <v>13.459</v>
      </c>
      <c r="G969" s="37">
        <v>14.08075</v>
      </c>
      <c r="H969" s="7">
        <v>285727480</v>
      </c>
      <c r="I969" s="37">
        <v>3929396416.5669498</v>
      </c>
      <c r="J969" s="37">
        <v>27453286236.453999</v>
      </c>
    </row>
    <row r="970" spans="1:10" x14ac:dyDescent="0.2">
      <c r="A970" s="36">
        <v>44328</v>
      </c>
      <c r="B970" s="37">
        <v>13.7585</v>
      </c>
      <c r="C970" s="38">
        <v>-0.54775000000000096</v>
      </c>
      <c r="D970" s="39">
        <v>-3.82874617737003E-2</v>
      </c>
      <c r="E970" s="37">
        <v>14.009499999999999</v>
      </c>
      <c r="F970" s="37">
        <v>13.709250000000001</v>
      </c>
      <c r="G970" s="37">
        <v>14.260249999999999</v>
      </c>
      <c r="H970" s="7">
        <v>303409320</v>
      </c>
      <c r="I970" s="37">
        <v>4211889450.8392</v>
      </c>
      <c r="J970" s="37">
        <v>31382682653.021</v>
      </c>
    </row>
    <row r="971" spans="1:10" x14ac:dyDescent="0.2">
      <c r="A971" s="36">
        <v>44327</v>
      </c>
      <c r="B971" s="37">
        <v>14.30625</v>
      </c>
      <c r="C971" s="38">
        <v>4.04999999999998E-2</v>
      </c>
      <c r="D971" s="39">
        <v>2.83896745702117E-3</v>
      </c>
      <c r="E971" s="37">
        <v>13.824999999999999</v>
      </c>
      <c r="F971" s="37">
        <v>13.75</v>
      </c>
      <c r="G971" s="37">
        <v>14.354749999999999</v>
      </c>
      <c r="H971" s="7">
        <v>285585360</v>
      </c>
      <c r="I971" s="37">
        <v>4031952960.9221101</v>
      </c>
      <c r="J971" s="37">
        <v>35594572103.860199</v>
      </c>
    </row>
    <row r="972" spans="1:10" x14ac:dyDescent="0.2">
      <c r="A972" s="36">
        <v>44326</v>
      </c>
      <c r="B972" s="37">
        <v>14.265750000000001</v>
      </c>
      <c r="C972" s="38">
        <v>-0.54649999999999999</v>
      </c>
      <c r="D972" s="39">
        <v>-3.6895137470674598E-2</v>
      </c>
      <c r="E972" s="37">
        <v>14.78725</v>
      </c>
      <c r="F972" s="37">
        <v>14.25</v>
      </c>
      <c r="G972" s="37">
        <v>14.805999999999999</v>
      </c>
      <c r="H972" s="7">
        <v>268903800</v>
      </c>
      <c r="I972" s="37">
        <v>3867098720.5900002</v>
      </c>
      <c r="J972" s="37">
        <v>31562619142.938099</v>
      </c>
    </row>
    <row r="973" spans="1:10" x14ac:dyDescent="0.2">
      <c r="A973" s="36">
        <v>44323</v>
      </c>
      <c r="B973" s="37">
        <v>14.812250000000001</v>
      </c>
      <c r="C973" s="38">
        <v>0.28925000000000101</v>
      </c>
      <c r="D973" s="39">
        <v>1.9916683880740998E-2</v>
      </c>
      <c r="E973" s="37">
        <v>14.808249999999999</v>
      </c>
      <c r="F973" s="37">
        <v>14.671708000000001</v>
      </c>
      <c r="G973" s="37">
        <v>14.970750000000001</v>
      </c>
      <c r="H973" s="7">
        <v>229327320</v>
      </c>
      <c r="I973" s="37">
        <v>3400474231.2620001</v>
      </c>
      <c r="J973" s="37">
        <v>35429717863.528099</v>
      </c>
    </row>
    <row r="974" spans="1:10" x14ac:dyDescent="0.2">
      <c r="A974" s="36">
        <v>44322</v>
      </c>
      <c r="B974" s="37">
        <v>14.523</v>
      </c>
      <c r="C974" s="38">
        <v>6.4499999999998905E-2</v>
      </c>
      <c r="D974" s="39">
        <v>4.4610436767298697E-3</v>
      </c>
      <c r="E974" s="37">
        <v>14.49525</v>
      </c>
      <c r="F974" s="37">
        <v>14.21809</v>
      </c>
      <c r="G974" s="37">
        <v>14.571249999999999</v>
      </c>
      <c r="H974" s="7">
        <v>193380920</v>
      </c>
      <c r="I974" s="37">
        <v>2787079982.8050699</v>
      </c>
      <c r="J974" s="37">
        <v>32029243632.266102</v>
      </c>
    </row>
    <row r="975" spans="1:10" x14ac:dyDescent="0.2">
      <c r="A975" s="36">
        <v>44321</v>
      </c>
      <c r="B975" s="37">
        <v>14.458500000000001</v>
      </c>
      <c r="C975" s="38">
        <v>0.107250000000001</v>
      </c>
      <c r="D975" s="39">
        <v>7.4732166187614704E-3</v>
      </c>
      <c r="E975" s="37">
        <v>14.709</v>
      </c>
      <c r="F975" s="37">
        <v>14.387499999999999</v>
      </c>
      <c r="G975" s="37">
        <v>14.813499999999999</v>
      </c>
      <c r="H975" s="7">
        <v>292023040</v>
      </c>
      <c r="I975" s="37">
        <v>4266427443.323</v>
      </c>
      <c r="J975" s="37">
        <v>29242163649.460999</v>
      </c>
    </row>
    <row r="976" spans="1:10" x14ac:dyDescent="0.2">
      <c r="A976" s="36">
        <v>44320</v>
      </c>
      <c r="B976" s="37">
        <v>14.35125</v>
      </c>
      <c r="C976" s="38">
        <v>-0.48549999999999999</v>
      </c>
      <c r="D976" s="39">
        <v>-3.2722799804539397E-2</v>
      </c>
      <c r="E976" s="37">
        <v>14.63725</v>
      </c>
      <c r="F976" s="37">
        <v>14.010253000000001</v>
      </c>
      <c r="G976" s="37">
        <v>14.637499999999999</v>
      </c>
      <c r="H976" s="7">
        <v>405324800</v>
      </c>
      <c r="I976" s="37">
        <v>5776968049.5266399</v>
      </c>
      <c r="J976" s="37">
        <v>24975736206.138</v>
      </c>
    </row>
    <row r="977" spans="1:10" x14ac:dyDescent="0.2">
      <c r="A977" s="36">
        <v>44319</v>
      </c>
      <c r="B977" s="37">
        <v>14.83675</v>
      </c>
      <c r="C977" s="38">
        <v>-0.17274999999999899</v>
      </c>
      <c r="D977" s="39">
        <v>-1.15093773943169E-2</v>
      </c>
      <c r="E977" s="37">
        <v>15.125</v>
      </c>
      <c r="F977" s="37">
        <v>14.7875</v>
      </c>
      <c r="G977" s="37">
        <v>15.24675</v>
      </c>
      <c r="H977" s="7">
        <v>203911840</v>
      </c>
      <c r="I977" s="37">
        <v>3044318739.1448202</v>
      </c>
      <c r="J977" s="37">
        <v>30752704255.6646</v>
      </c>
    </row>
    <row r="978" spans="1:10" x14ac:dyDescent="0.2">
      <c r="A978" s="36">
        <v>44316</v>
      </c>
      <c r="B978" s="37">
        <v>15.009499999999999</v>
      </c>
      <c r="C978" s="38">
        <v>-0.31525000000000097</v>
      </c>
      <c r="D978" s="39">
        <v>-2.057129806359E-2</v>
      </c>
      <c r="E978" s="37">
        <v>15.1745</v>
      </c>
      <c r="F978" s="37">
        <v>14.997</v>
      </c>
      <c r="G978" s="37">
        <v>15.364998</v>
      </c>
      <c r="H978" s="7">
        <v>201910080</v>
      </c>
      <c r="I978" s="37">
        <v>3051837594.8501501</v>
      </c>
      <c r="J978" s="37">
        <v>33797022994.809502</v>
      </c>
    </row>
    <row r="979" spans="1:10" x14ac:dyDescent="0.2">
      <c r="A979" s="36">
        <v>44315</v>
      </c>
      <c r="B979" s="37">
        <v>15.32475</v>
      </c>
      <c r="C979" s="38">
        <v>4.8000000000000001E-2</v>
      </c>
      <c r="D979" s="39">
        <v>3.1420295547154998E-3</v>
      </c>
      <c r="E979" s="37">
        <v>15.4</v>
      </c>
      <c r="F979" s="37">
        <v>15.0715</v>
      </c>
      <c r="G979" s="37">
        <v>15.436500000000001</v>
      </c>
      <c r="H979" s="7">
        <v>173196480</v>
      </c>
      <c r="I979" s="37">
        <v>2641670329.3353701</v>
      </c>
      <c r="J979" s="37">
        <v>36848860589.659599</v>
      </c>
    </row>
    <row r="980" spans="1:10" x14ac:dyDescent="0.2">
      <c r="A980" s="36">
        <v>44314</v>
      </c>
      <c r="B980" s="37">
        <v>15.27675</v>
      </c>
      <c r="C980" s="38">
        <v>-0.105</v>
      </c>
      <c r="D980" s="39">
        <v>-6.8262713930469796E-3</v>
      </c>
      <c r="E980" s="37">
        <v>15.3645</v>
      </c>
      <c r="F980" s="37">
        <v>15.215517999999999</v>
      </c>
      <c r="G980" s="37">
        <v>15.532249999999999</v>
      </c>
      <c r="H980" s="7">
        <v>209416200</v>
      </c>
      <c r="I980" s="37">
        <v>3211776719.7941999</v>
      </c>
      <c r="J980" s="37">
        <v>34207190260.3242</v>
      </c>
    </row>
    <row r="981" spans="1:10" x14ac:dyDescent="0.2">
      <c r="A981" s="36">
        <v>44313</v>
      </c>
      <c r="B981" s="37">
        <v>15.38175</v>
      </c>
      <c r="C981" s="38">
        <v>-9.6249999999999503E-2</v>
      </c>
      <c r="D981" s="39">
        <v>-6.2185036826463E-3</v>
      </c>
      <c r="E981" s="37">
        <v>15.5785</v>
      </c>
      <c r="F981" s="37">
        <v>15.3545</v>
      </c>
      <c r="G981" s="37">
        <v>15.670500000000001</v>
      </c>
      <c r="H981" s="7">
        <v>164573000</v>
      </c>
      <c r="I981" s="37">
        <v>2541297390.8284602</v>
      </c>
      <c r="J981" s="37">
        <v>37418966980.1185</v>
      </c>
    </row>
    <row r="982" spans="1:10" x14ac:dyDescent="0.2">
      <c r="A982" s="36">
        <v>44312</v>
      </c>
      <c r="B982" s="37">
        <v>15.478</v>
      </c>
      <c r="C982" s="38">
        <v>0.21274999999999999</v>
      </c>
      <c r="D982" s="39">
        <v>1.39368827893418E-2</v>
      </c>
      <c r="E982" s="37">
        <v>15.185045000000001</v>
      </c>
      <c r="F982" s="37">
        <v>15.125</v>
      </c>
      <c r="G982" s="37">
        <v>15.478999999999999</v>
      </c>
      <c r="H982" s="7">
        <v>197797080</v>
      </c>
      <c r="I982" s="37">
        <v>3035228275.91043</v>
      </c>
      <c r="J982" s="37">
        <v>39960264370.946899</v>
      </c>
    </row>
    <row r="983" spans="1:10" x14ac:dyDescent="0.2">
      <c r="A983" s="36">
        <v>44309</v>
      </c>
      <c r="B983" s="37">
        <v>15.26525</v>
      </c>
      <c r="C983" s="38">
        <v>0.41499999999999898</v>
      </c>
      <c r="D983" s="39">
        <v>2.79456574805137E-2</v>
      </c>
      <c r="E983" s="37">
        <v>14.934362999999999</v>
      </c>
      <c r="F983" s="37">
        <v>14.90025</v>
      </c>
      <c r="G983" s="37">
        <v>15.334875</v>
      </c>
      <c r="H983" s="7">
        <v>227772200</v>
      </c>
      <c r="I983" s="37">
        <v>3457976689.2088399</v>
      </c>
      <c r="J983" s="37">
        <v>36925036095.036499</v>
      </c>
    </row>
    <row r="984" spans="1:10" x14ac:dyDescent="0.2">
      <c r="A984" s="36">
        <v>44308</v>
      </c>
      <c r="B984" s="37">
        <v>14.850250000000001</v>
      </c>
      <c r="C984" s="38">
        <v>-0.51024999999999898</v>
      </c>
      <c r="D984" s="39">
        <v>-3.3218319716155E-2</v>
      </c>
      <c r="E984" s="37">
        <v>15.375</v>
      </c>
      <c r="F984" s="37">
        <v>14.7835</v>
      </c>
      <c r="G984" s="37">
        <v>15.438568</v>
      </c>
      <c r="H984" s="7">
        <v>277786280</v>
      </c>
      <c r="I984" s="37">
        <v>4176753739.7295599</v>
      </c>
      <c r="J984" s="37">
        <v>33467059405.827599</v>
      </c>
    </row>
    <row r="985" spans="1:10" x14ac:dyDescent="0.2">
      <c r="A985" s="36">
        <v>44307</v>
      </c>
      <c r="B985" s="37">
        <v>15.3605</v>
      </c>
      <c r="C985" s="38">
        <v>0.189249999999999</v>
      </c>
      <c r="D985" s="39">
        <v>1.2474252286396899E-2</v>
      </c>
      <c r="E985" s="37">
        <v>15.11875</v>
      </c>
      <c r="F985" s="37">
        <v>15.10225</v>
      </c>
      <c r="G985" s="37">
        <v>15.362500000000001</v>
      </c>
      <c r="H985" s="7">
        <v>216777040</v>
      </c>
      <c r="I985" s="37">
        <v>3309078007.42559</v>
      </c>
      <c r="J985" s="37">
        <v>37643813145.557198</v>
      </c>
    </row>
    <row r="986" spans="1:10" x14ac:dyDescent="0.2">
      <c r="A986" s="36">
        <v>44306</v>
      </c>
      <c r="B986" s="37">
        <v>15.171250000000001</v>
      </c>
      <c r="C986" s="38">
        <v>-0.1905</v>
      </c>
      <c r="D986" s="39">
        <v>-1.2400930883525599E-2</v>
      </c>
      <c r="E986" s="37">
        <v>15.32325</v>
      </c>
      <c r="F986" s="37">
        <v>14.962999999999999</v>
      </c>
      <c r="G986" s="37">
        <v>15.497</v>
      </c>
      <c r="H986" s="7">
        <v>334133040</v>
      </c>
      <c r="I986" s="37">
        <v>5069191173.9723101</v>
      </c>
      <c r="J986" s="37">
        <v>34334735138.131599</v>
      </c>
    </row>
    <row r="987" spans="1:10" x14ac:dyDescent="0.2">
      <c r="A987" s="36">
        <v>44305</v>
      </c>
      <c r="B987" s="37">
        <v>15.361750000000001</v>
      </c>
      <c r="C987" s="38">
        <v>-0.55074999999999896</v>
      </c>
      <c r="D987" s="39">
        <v>-3.4611154752552997E-2</v>
      </c>
      <c r="E987" s="37">
        <v>15.53654</v>
      </c>
      <c r="F987" s="37">
        <v>15.233003</v>
      </c>
      <c r="G987" s="37">
        <v>15.807499999999999</v>
      </c>
      <c r="H987" s="7">
        <v>404418080</v>
      </c>
      <c r="I987" s="37">
        <v>6255062839.8729296</v>
      </c>
      <c r="J987" s="37">
        <v>39403926312.103897</v>
      </c>
    </row>
    <row r="988" spans="1:10" x14ac:dyDescent="0.2">
      <c r="A988" s="36">
        <v>44302</v>
      </c>
      <c r="B988" s="37">
        <v>15.9125</v>
      </c>
      <c r="C988" s="38">
        <v>-0.224750000000002</v>
      </c>
      <c r="D988" s="39">
        <v>-1.39274039876684E-2</v>
      </c>
      <c r="E988" s="37">
        <v>16.053087999999999</v>
      </c>
      <c r="F988" s="37">
        <v>15.86525</v>
      </c>
      <c r="G988" s="37">
        <v>16.165749999999999</v>
      </c>
      <c r="H988" s="7">
        <v>335207560</v>
      </c>
      <c r="I988" s="37">
        <v>5353860438.4891396</v>
      </c>
      <c r="J988" s="37">
        <v>45658989151.976898</v>
      </c>
    </row>
    <row r="989" spans="1:10" x14ac:dyDescent="0.2">
      <c r="A989" s="36">
        <v>44301</v>
      </c>
      <c r="B989" s="37">
        <v>16.137250000000002</v>
      </c>
      <c r="C989" s="38">
        <v>0.86025000000000196</v>
      </c>
      <c r="D989" s="39">
        <v>5.6310139425280001E-2</v>
      </c>
      <c r="E989" s="37">
        <v>15.6625</v>
      </c>
      <c r="F989" s="37">
        <v>15.631500000000001</v>
      </c>
      <c r="G989" s="37">
        <v>16.21415</v>
      </c>
      <c r="H989" s="7">
        <v>598480680</v>
      </c>
      <c r="I989" s="37">
        <v>9591854049.5374603</v>
      </c>
      <c r="J989" s="37">
        <v>51012849590.466003</v>
      </c>
    </row>
    <row r="990" spans="1:10" x14ac:dyDescent="0.2">
      <c r="A990" s="36">
        <v>44300</v>
      </c>
      <c r="B990" s="37">
        <v>15.276999999999999</v>
      </c>
      <c r="C990" s="38">
        <v>-0.40250000000000202</v>
      </c>
      <c r="D990" s="39">
        <v>-2.5670461430530402E-2</v>
      </c>
      <c r="E990" s="37">
        <v>15.625</v>
      </c>
      <c r="F990" s="37">
        <v>15.227499999999999</v>
      </c>
      <c r="G990" s="37">
        <v>15.720459999999999</v>
      </c>
      <c r="H990" s="7">
        <v>385501920</v>
      </c>
      <c r="I990" s="37">
        <v>5958869041.1435003</v>
      </c>
      <c r="J990" s="37">
        <v>41420995540.928497</v>
      </c>
    </row>
    <row r="991" spans="1:10" x14ac:dyDescent="0.2">
      <c r="A991" s="36">
        <v>44299</v>
      </c>
      <c r="B991" s="37">
        <v>15.679500000000001</v>
      </c>
      <c r="C991" s="38">
        <v>0.47050000000000097</v>
      </c>
      <c r="D991" s="39">
        <v>3.0935630218949399E-2</v>
      </c>
      <c r="E991" s="37">
        <v>15.2315</v>
      </c>
      <c r="F991" s="37">
        <v>15.12575</v>
      </c>
      <c r="G991" s="37">
        <v>15.7</v>
      </c>
      <c r="H991" s="7">
        <v>676211880</v>
      </c>
      <c r="I991" s="37">
        <v>10487307336.032801</v>
      </c>
      <c r="J991" s="37">
        <v>47379864582.071999</v>
      </c>
    </row>
    <row r="992" spans="1:10" x14ac:dyDescent="0.2">
      <c r="A992" s="36">
        <v>44298</v>
      </c>
      <c r="B992" s="37">
        <v>15.209</v>
      </c>
      <c r="C992" s="38">
        <v>0.80899999999999905</v>
      </c>
      <c r="D992" s="39">
        <v>5.6180555555555498E-2</v>
      </c>
      <c r="E992" s="37">
        <v>14.28975</v>
      </c>
      <c r="F992" s="37">
        <v>14.139250000000001</v>
      </c>
      <c r="G992" s="37">
        <v>15.352499999999999</v>
      </c>
      <c r="H992" s="7">
        <v>869322000</v>
      </c>
      <c r="I992" s="37">
        <v>12987519989.5784</v>
      </c>
      <c r="J992" s="37">
        <v>36892557246.0392</v>
      </c>
    </row>
    <row r="993" spans="1:10" x14ac:dyDescent="0.2">
      <c r="A993" s="36">
        <v>44295</v>
      </c>
      <c r="B993" s="37">
        <v>14.4</v>
      </c>
      <c r="C993" s="38">
        <v>8.3000000000000199E-2</v>
      </c>
      <c r="D993" s="39">
        <v>5.79730390444927E-3</v>
      </c>
      <c r="E993" s="37">
        <v>14.214</v>
      </c>
      <c r="F993" s="37">
        <v>14.175000000000001</v>
      </c>
      <c r="G993" s="37">
        <v>14.407999999999999</v>
      </c>
      <c r="H993" s="7">
        <v>195170880</v>
      </c>
      <c r="I993" s="37">
        <v>2796285573.4787402</v>
      </c>
      <c r="J993" s="37">
        <v>23905037256.4608</v>
      </c>
    </row>
    <row r="994" spans="1:10" x14ac:dyDescent="0.2">
      <c r="A994" s="36">
        <v>44294</v>
      </c>
      <c r="B994" s="37">
        <v>14.317</v>
      </c>
      <c r="C994" s="38">
        <v>0.17350000000000099</v>
      </c>
      <c r="D994" s="39">
        <v>1.22671191713508E-2</v>
      </c>
      <c r="E994" s="37">
        <v>14.252750000000001</v>
      </c>
      <c r="F994" s="37">
        <v>14.248943000000001</v>
      </c>
      <c r="G994" s="37">
        <v>14.471500000000001</v>
      </c>
      <c r="H994" s="7">
        <v>244414920</v>
      </c>
      <c r="I994" s="37">
        <v>3506093858.6177502</v>
      </c>
      <c r="J994" s="37">
        <v>21108751682.982101</v>
      </c>
    </row>
    <row r="995" spans="1:10" x14ac:dyDescent="0.2">
      <c r="A995" s="36">
        <v>44293</v>
      </c>
      <c r="B995" s="37">
        <v>14.1435</v>
      </c>
      <c r="C995" s="38">
        <v>0.28199999999999997</v>
      </c>
      <c r="D995" s="39">
        <v>2.0344118601882899E-2</v>
      </c>
      <c r="E995" s="37">
        <v>13.880750000000001</v>
      </c>
      <c r="F995" s="37">
        <v>13.711499999999999</v>
      </c>
      <c r="G995" s="37">
        <v>14.243498000000001</v>
      </c>
      <c r="H995" s="7">
        <v>251284360</v>
      </c>
      <c r="I995" s="37">
        <v>3535384250.9048901</v>
      </c>
      <c r="J995" s="37">
        <v>17602657824.3643</v>
      </c>
    </row>
    <row r="996" spans="1:10" x14ac:dyDescent="0.2">
      <c r="A996" s="36">
        <v>44292</v>
      </c>
      <c r="B996" s="37">
        <v>13.861499999999999</v>
      </c>
      <c r="C996" s="38">
        <v>-0.126000000000001</v>
      </c>
      <c r="D996" s="39">
        <v>-9.0080428954424502E-3</v>
      </c>
      <c r="E996" s="37">
        <v>13.999677999999999</v>
      </c>
      <c r="F996" s="37">
        <v>13.773623000000001</v>
      </c>
      <c r="G996" s="37">
        <v>14.054125000000001</v>
      </c>
      <c r="H996" s="7">
        <v>191745960</v>
      </c>
      <c r="I996" s="37">
        <v>2668939036.1195002</v>
      </c>
      <c r="J996" s="37">
        <v>14067273573.459499</v>
      </c>
    </row>
    <row r="997" spans="1:10" x14ac:dyDescent="0.2">
      <c r="A997" s="36">
        <v>44291</v>
      </c>
      <c r="B997" s="37">
        <v>13.987500000000001</v>
      </c>
      <c r="C997" s="38">
        <v>0.17575000000000099</v>
      </c>
      <c r="D997" s="39">
        <v>1.27246728329141E-2</v>
      </c>
      <c r="E997" s="37">
        <v>13.8675</v>
      </c>
      <c r="F997" s="37">
        <v>13.733000000000001</v>
      </c>
      <c r="G997" s="37">
        <v>14.013963</v>
      </c>
      <c r="H997" s="7">
        <v>255671400</v>
      </c>
      <c r="I997" s="37">
        <v>3556502950.2290001</v>
      </c>
      <c r="J997" s="37">
        <v>16736212609.579</v>
      </c>
    </row>
    <row r="998" spans="1:10" x14ac:dyDescent="0.2">
      <c r="A998" s="36">
        <v>44287</v>
      </c>
      <c r="B998" s="37">
        <v>13.81175</v>
      </c>
      <c r="C998" s="38">
        <v>0.46350000000000002</v>
      </c>
      <c r="D998" s="39">
        <v>3.4723652913303198E-2</v>
      </c>
      <c r="E998" s="37">
        <v>13.57225</v>
      </c>
      <c r="F998" s="37">
        <v>13.51125</v>
      </c>
      <c r="G998" s="37">
        <v>13.87</v>
      </c>
      <c r="H998" s="7">
        <v>308274600</v>
      </c>
      <c r="I998" s="37">
        <v>4233564689.9516101</v>
      </c>
      <c r="J998" s="37">
        <v>13179709659.35</v>
      </c>
    </row>
    <row r="999" spans="1:10" x14ac:dyDescent="0.2">
      <c r="A999" s="36">
        <v>44286</v>
      </c>
      <c r="B999" s="37">
        <v>13.34825</v>
      </c>
      <c r="C999" s="38">
        <v>0.47649999999999998</v>
      </c>
      <c r="D999" s="39">
        <v>3.7019053353273601E-2</v>
      </c>
      <c r="E999" s="37">
        <v>13.015499999999999</v>
      </c>
      <c r="F999" s="37">
        <v>12.9825</v>
      </c>
      <c r="G999" s="37">
        <v>13.470499999999999</v>
      </c>
      <c r="H999" s="7">
        <v>314777520</v>
      </c>
      <c r="I999" s="37">
        <v>4194394616.0331001</v>
      </c>
      <c r="J999" s="37">
        <v>8946144969.3983498</v>
      </c>
    </row>
    <row r="1000" spans="1:10" x14ac:dyDescent="0.2">
      <c r="A1000" s="36">
        <v>44285</v>
      </c>
      <c r="B1000" s="37">
        <v>12.87175</v>
      </c>
      <c r="C1000" s="38">
        <v>-7.6499999999999305E-2</v>
      </c>
      <c r="D1000" s="39">
        <v>-5.9081343038634099E-3</v>
      </c>
      <c r="E1000" s="37">
        <v>12.841950000000001</v>
      </c>
      <c r="F1000" s="37">
        <v>12.705</v>
      </c>
      <c r="G1000" s="37">
        <v>12.975250000000001</v>
      </c>
      <c r="H1000" s="7">
        <v>200202480</v>
      </c>
      <c r="I1000" s="37">
        <v>2573125629.8682499</v>
      </c>
      <c r="J1000" s="37">
        <v>4751750353.3652496</v>
      </c>
    </row>
    <row r="1001" spans="1:10" x14ac:dyDescent="0.2">
      <c r="A1001" s="36">
        <v>44284</v>
      </c>
      <c r="B1001" s="37">
        <v>12.94825</v>
      </c>
      <c r="C1001" s="38">
        <v>0.109</v>
      </c>
      <c r="D1001" s="39">
        <v>8.4895924606188007E-3</v>
      </c>
      <c r="E1001" s="37">
        <v>12.82025</v>
      </c>
      <c r="F1001" s="37">
        <v>12.7</v>
      </c>
      <c r="G1001" s="37">
        <v>13.0625</v>
      </c>
      <c r="H1001" s="7">
        <v>273519880</v>
      </c>
      <c r="I1001" s="37">
        <v>3527098280.4805999</v>
      </c>
      <c r="J1001" s="37">
        <v>7324875983.2334995</v>
      </c>
    </row>
    <row r="1002" spans="1:10" x14ac:dyDescent="0.2">
      <c r="A1002" s="36">
        <v>44281</v>
      </c>
      <c r="B1002" s="37">
        <v>12.83925</v>
      </c>
      <c r="C1002" s="38">
        <v>0.30399999999999999</v>
      </c>
      <c r="D1002" s="39">
        <v>2.4251610458507E-2</v>
      </c>
      <c r="E1002" s="37">
        <v>12.554500000000001</v>
      </c>
      <c r="F1002" s="37">
        <v>12.3735</v>
      </c>
      <c r="G1002" s="37">
        <v>12.856249999999999</v>
      </c>
      <c r="H1002" s="7">
        <v>363968960</v>
      </c>
      <c r="I1002" s="37">
        <v>4590763340.7883301</v>
      </c>
      <c r="J1002" s="37">
        <v>3797777702.7528901</v>
      </c>
    </row>
    <row r="1003" spans="1:10" x14ac:dyDescent="0.2">
      <c r="A1003" s="36">
        <v>44280</v>
      </c>
      <c r="B1003" s="37">
        <v>12.53525</v>
      </c>
      <c r="C1003" s="38">
        <v>-0.107750000000001</v>
      </c>
      <c r="D1003" s="39">
        <v>-8.5225025705925102E-3</v>
      </c>
      <c r="E1003" s="37">
        <v>12.499499999999999</v>
      </c>
      <c r="F1003" s="37">
        <v>12.272</v>
      </c>
      <c r="G1003" s="37">
        <v>12.71475</v>
      </c>
      <c r="H1003" s="7">
        <v>295144560</v>
      </c>
      <c r="I1003" s="37">
        <v>3685405051.5421901</v>
      </c>
      <c r="J1003" s="37">
        <v>-792985638.03543901</v>
      </c>
    </row>
    <row r="1004" spans="1:10" x14ac:dyDescent="0.2">
      <c r="A1004" s="36">
        <v>44279</v>
      </c>
      <c r="B1004" s="37">
        <v>12.643000000000001</v>
      </c>
      <c r="C1004" s="38">
        <v>-0.42775000000000002</v>
      </c>
      <c r="D1004" s="39">
        <v>-3.2725742593194697E-2</v>
      </c>
      <c r="E1004" s="37">
        <v>13.151249999999999</v>
      </c>
      <c r="F1004" s="37">
        <v>12.636749999999999</v>
      </c>
      <c r="G1004" s="37">
        <v>13.159125</v>
      </c>
      <c r="H1004" s="7">
        <v>245838520</v>
      </c>
      <c r="I1004" s="37">
        <v>3162851266.66922</v>
      </c>
      <c r="J1004" s="37">
        <v>2892419413.5067501</v>
      </c>
    </row>
    <row r="1005" spans="1:10" x14ac:dyDescent="0.2">
      <c r="A1005" s="36">
        <v>44278</v>
      </c>
      <c r="B1005" s="37">
        <v>13.07075</v>
      </c>
      <c r="C1005" s="38">
        <v>-0.11549999999999901</v>
      </c>
      <c r="D1005" s="39">
        <v>-8.7591240875911705E-3</v>
      </c>
      <c r="E1005" s="37">
        <v>13.254250000000001</v>
      </c>
      <c r="F1005" s="37">
        <v>13.02125</v>
      </c>
      <c r="G1005" s="37">
        <v>13.3445</v>
      </c>
      <c r="H1005" s="7">
        <v>222046080</v>
      </c>
      <c r="I1005" s="37">
        <v>2928268296.42307</v>
      </c>
      <c r="J1005" s="37">
        <v>6055270680.1759701</v>
      </c>
    </row>
    <row r="1006" spans="1:10" x14ac:dyDescent="0.2">
      <c r="A1006" s="36">
        <v>44277</v>
      </c>
      <c r="B1006" s="37">
        <v>13.186249999999999</v>
      </c>
      <c r="C1006" s="38">
        <v>0.34049999999999903</v>
      </c>
      <c r="D1006" s="39">
        <v>2.6506821322227099E-2</v>
      </c>
      <c r="E1006" s="37">
        <v>12.912750000000001</v>
      </c>
      <c r="F1006" s="37">
        <v>12.906750000000001</v>
      </c>
      <c r="G1006" s="37">
        <v>13.394500000000001</v>
      </c>
      <c r="H1006" s="7">
        <v>297803080</v>
      </c>
      <c r="I1006" s="37">
        <v>3934443651.0951099</v>
      </c>
      <c r="J1006" s="37">
        <v>8983538976.5990391</v>
      </c>
    </row>
    <row r="1007" spans="1:10" x14ac:dyDescent="0.2">
      <c r="A1007" s="36">
        <v>44274</v>
      </c>
      <c r="B1007" s="37">
        <v>12.845750000000001</v>
      </c>
      <c r="C1007" s="38">
        <v>0.123250000000001</v>
      </c>
      <c r="D1007" s="39">
        <v>9.6875614069562195E-3</v>
      </c>
      <c r="E1007" s="37">
        <v>12.75</v>
      </c>
      <c r="F1007" s="37">
        <v>12.612500000000001</v>
      </c>
      <c r="G1007" s="37">
        <v>12.9215</v>
      </c>
      <c r="H1007" s="7">
        <v>299206960</v>
      </c>
      <c r="I1007" s="37">
        <v>3833377287.3714399</v>
      </c>
      <c r="J1007" s="37">
        <v>5049095325.5039301</v>
      </c>
    </row>
    <row r="1008" spans="1:10" x14ac:dyDescent="0.2">
      <c r="A1008" s="36">
        <v>44273</v>
      </c>
      <c r="B1008" s="37">
        <v>12.7225</v>
      </c>
      <c r="C1008" s="38">
        <v>-0.61875000000000002</v>
      </c>
      <c r="D1008" s="39">
        <v>-4.6378712639370399E-2</v>
      </c>
      <c r="E1008" s="37">
        <v>13.1365</v>
      </c>
      <c r="F1008" s="37">
        <v>12.717043</v>
      </c>
      <c r="G1008" s="37">
        <v>13.183999999999999</v>
      </c>
      <c r="H1008" s="7">
        <v>294188080</v>
      </c>
      <c r="I1008" s="37">
        <v>3802243117.6788998</v>
      </c>
      <c r="J1008" s="37">
        <v>1215718038.1324999</v>
      </c>
    </row>
    <row r="1009" spans="1:10" x14ac:dyDescent="0.2">
      <c r="A1009" s="36">
        <v>44272</v>
      </c>
      <c r="B1009" s="37">
        <v>13.34125</v>
      </c>
      <c r="C1009" s="38">
        <v>5.0000000000000697E-2</v>
      </c>
      <c r="D1009" s="39">
        <v>3.76187341295971E-3</v>
      </c>
      <c r="E1009" s="37">
        <v>13.03975</v>
      </c>
      <c r="F1009" s="37">
        <v>12.9895</v>
      </c>
      <c r="G1009" s="37">
        <v>13.453250000000001</v>
      </c>
      <c r="H1009" s="7">
        <v>243864200</v>
      </c>
      <c r="I1009" s="37">
        <v>3224097728.8608999</v>
      </c>
      <c r="J1009" s="37">
        <v>5017961155.8113899</v>
      </c>
    </row>
    <row r="1010" spans="1:10" x14ac:dyDescent="0.2">
      <c r="A1010" s="36">
        <v>44271</v>
      </c>
      <c r="B1010" s="37">
        <v>13.29125</v>
      </c>
      <c r="C1010" s="38">
        <v>9.9999999999999603E-2</v>
      </c>
      <c r="D1010" s="39">
        <v>7.5807827158153804E-3</v>
      </c>
      <c r="E1010" s="37">
        <v>13.3565</v>
      </c>
      <c r="F1010" s="37">
        <v>13.11675</v>
      </c>
      <c r="G1010" s="37">
        <v>13.512499999999999</v>
      </c>
      <c r="H1010" s="7">
        <v>272129600</v>
      </c>
      <c r="I1010" s="37">
        <v>3633698799.4439301</v>
      </c>
      <c r="J1010" s="37">
        <v>1793863426.95049</v>
      </c>
    </row>
    <row r="1011" spans="1:10" x14ac:dyDescent="0.2">
      <c r="A1011" s="36">
        <v>44270</v>
      </c>
      <c r="B1011" s="37">
        <v>13.19125</v>
      </c>
      <c r="C1011" s="38">
        <v>0.33524999999999999</v>
      </c>
      <c r="D1011" s="39">
        <v>2.6077317983820798E-2</v>
      </c>
      <c r="E1011" s="37">
        <v>12.864750000000001</v>
      </c>
      <c r="F1011" s="37">
        <v>12.767125</v>
      </c>
      <c r="G1011" s="37">
        <v>13.20675</v>
      </c>
      <c r="H1011" s="7">
        <v>222520440</v>
      </c>
      <c r="I1011" s="37">
        <v>2905030088.2737498</v>
      </c>
      <c r="J1011" s="37">
        <v>-1839835372.4934399</v>
      </c>
    </row>
    <row r="1012" spans="1:10" x14ac:dyDescent="0.2">
      <c r="A1012" s="36">
        <v>44267</v>
      </c>
      <c r="B1012" s="37">
        <v>12.856</v>
      </c>
      <c r="C1012" s="38">
        <v>-0.13749999999999901</v>
      </c>
      <c r="D1012" s="39">
        <v>-1.0582214184015001E-2</v>
      </c>
      <c r="E1012" s="37">
        <v>12.648250000000001</v>
      </c>
      <c r="F1012" s="37">
        <v>12.59</v>
      </c>
      <c r="G1012" s="37">
        <v>12.88875</v>
      </c>
      <c r="H1012" s="7">
        <v>243963960</v>
      </c>
      <c r="I1012" s="37">
        <v>3119383794.3515701</v>
      </c>
      <c r="J1012" s="37">
        <v>-4744865460.76719</v>
      </c>
    </row>
    <row r="1013" spans="1:10" x14ac:dyDescent="0.2">
      <c r="A1013" s="36">
        <v>44266</v>
      </c>
      <c r="B1013" s="37">
        <v>12.993499999999999</v>
      </c>
      <c r="C1013" s="38">
        <v>0.52524999999999999</v>
      </c>
      <c r="D1013" s="39">
        <v>4.21270025865699E-2</v>
      </c>
      <c r="E1013" s="37">
        <v>12.95</v>
      </c>
      <c r="F1013" s="37">
        <v>12.734500000000001</v>
      </c>
      <c r="G1013" s="37">
        <v>13.046250000000001</v>
      </c>
      <c r="H1013" s="7">
        <v>299914280</v>
      </c>
      <c r="I1013" s="37">
        <v>3881693358.8133502</v>
      </c>
      <c r="J1013" s="37">
        <v>-1625481666.4156201</v>
      </c>
    </row>
    <row r="1014" spans="1:10" x14ac:dyDescent="0.2">
      <c r="A1014" s="36">
        <v>44265</v>
      </c>
      <c r="B1014" s="37">
        <v>12.468249999999999</v>
      </c>
      <c r="C1014" s="38">
        <v>-5.2000000000001399E-2</v>
      </c>
      <c r="D1014" s="39">
        <v>-4.1532716998463597E-3</v>
      </c>
      <c r="E1014" s="37">
        <v>12.8405</v>
      </c>
      <c r="F1014" s="37">
        <v>12.4575</v>
      </c>
      <c r="G1014" s="37">
        <v>12.98</v>
      </c>
      <c r="H1014" s="7">
        <v>384376560</v>
      </c>
      <c r="I1014" s="37">
        <v>4869854025.2159996</v>
      </c>
      <c r="J1014" s="37">
        <v>-5507175025.22896</v>
      </c>
    </row>
    <row r="1015" spans="1:10" x14ac:dyDescent="0.2">
      <c r="A1015" s="36">
        <v>44264</v>
      </c>
      <c r="B1015" s="37">
        <v>12.520250000000001</v>
      </c>
      <c r="C1015" s="38">
        <v>0.92700000000000105</v>
      </c>
      <c r="D1015" s="39">
        <v>7.9960321738943005E-2</v>
      </c>
      <c r="E1015" s="37">
        <v>12.13025</v>
      </c>
      <c r="F1015" s="37">
        <v>12.05925</v>
      </c>
      <c r="G1015" s="37">
        <v>12.61675</v>
      </c>
      <c r="H1015" s="7">
        <v>521825520</v>
      </c>
      <c r="I1015" s="37">
        <v>6467892851.0016699</v>
      </c>
      <c r="J1015" s="37">
        <v>-637321000.012959</v>
      </c>
    </row>
    <row r="1016" spans="1:10" x14ac:dyDescent="0.2">
      <c r="A1016" s="36">
        <v>44263</v>
      </c>
      <c r="B1016" s="37">
        <v>11.593249999999999</v>
      </c>
      <c r="C1016" s="38">
        <v>-0.86824999999999997</v>
      </c>
      <c r="D1016" s="39">
        <v>-6.9674597761104198E-2</v>
      </c>
      <c r="E1016" s="37">
        <v>12.45</v>
      </c>
      <c r="F1016" s="37">
        <v>11.5665</v>
      </c>
      <c r="G1016" s="37">
        <v>12.47125</v>
      </c>
      <c r="H1016" s="7">
        <v>543111680</v>
      </c>
      <c r="I1016" s="37">
        <v>6468409283.0585499</v>
      </c>
      <c r="J1016" s="37">
        <v>-7105213851.0146303</v>
      </c>
    </row>
    <row r="1017" spans="1:10" x14ac:dyDescent="0.2">
      <c r="A1017" s="36">
        <v>44260</v>
      </c>
      <c r="B1017" s="37">
        <v>12.461499999999999</v>
      </c>
      <c r="C1017" s="38">
        <v>9.1249999999998693E-2</v>
      </c>
      <c r="D1017" s="39">
        <v>7.3765687839775903E-3</v>
      </c>
      <c r="E1017" s="37">
        <v>12.55</v>
      </c>
      <c r="F1017" s="37">
        <v>11.67925</v>
      </c>
      <c r="G1017" s="37">
        <v>12.55</v>
      </c>
      <c r="H1017" s="7">
        <v>542838840</v>
      </c>
      <c r="I1017" s="37">
        <v>6620832778.6192198</v>
      </c>
      <c r="J1017" s="37">
        <v>-636804567.95608699</v>
      </c>
    </row>
    <row r="1018" spans="1:10" x14ac:dyDescent="0.2">
      <c r="A1018" s="36">
        <v>44259</v>
      </c>
      <c r="B1018" s="37">
        <v>12.37025</v>
      </c>
      <c r="C1018" s="38">
        <v>-0.4345</v>
      </c>
      <c r="D1018" s="39">
        <v>-3.3932720279583703E-2</v>
      </c>
      <c r="E1018" s="37">
        <v>12.800750000000001</v>
      </c>
      <c r="F1018" s="37">
        <v>12.08375</v>
      </c>
      <c r="G1018" s="37">
        <v>12.975</v>
      </c>
      <c r="H1018" s="7">
        <v>573345160</v>
      </c>
      <c r="I1018" s="37">
        <v>7142718960.9660397</v>
      </c>
      <c r="J1018" s="37">
        <v>-7257637346.5753098</v>
      </c>
    </row>
    <row r="1019" spans="1:10" x14ac:dyDescent="0.2">
      <c r="A1019" s="36">
        <v>44258</v>
      </c>
      <c r="B1019" s="37">
        <v>12.80475</v>
      </c>
      <c r="C1019" s="38">
        <v>-0.60150000000000003</v>
      </c>
      <c r="D1019" s="39">
        <v>-4.48671328671328E-2</v>
      </c>
      <c r="E1019" s="37">
        <v>13.42625</v>
      </c>
      <c r="F1019" s="37">
        <v>12.79875</v>
      </c>
      <c r="G1019" s="37">
        <v>13.451499999999999</v>
      </c>
      <c r="H1019" s="7">
        <v>377590280</v>
      </c>
      <c r="I1019" s="37">
        <v>4908905585.3653097</v>
      </c>
      <c r="J1019" s="37">
        <v>-114918385.60927001</v>
      </c>
    </row>
    <row r="1020" spans="1:10" x14ac:dyDescent="0.2">
      <c r="A1020" s="36">
        <v>44257</v>
      </c>
      <c r="B1020" s="37">
        <v>13.40625</v>
      </c>
      <c r="C1020" s="38">
        <v>-0.435499999999999</v>
      </c>
      <c r="D1020" s="39">
        <v>-3.1462784691242002E-2</v>
      </c>
      <c r="E1020" s="37">
        <v>13.9</v>
      </c>
      <c r="F1020" s="37">
        <v>13.396000000000001</v>
      </c>
      <c r="G1020" s="37">
        <v>13.920500000000001</v>
      </c>
      <c r="H1020" s="7">
        <v>264114120</v>
      </c>
      <c r="I1020" s="37">
        <v>3596480592.2955799</v>
      </c>
      <c r="J1020" s="37">
        <v>4793987199.7560396</v>
      </c>
    </row>
    <row r="1021" spans="1:10" x14ac:dyDescent="0.2">
      <c r="A1021" s="36">
        <v>44256</v>
      </c>
      <c r="B1021" s="37">
        <v>13.841749999999999</v>
      </c>
      <c r="C1021" s="38">
        <v>0.12725</v>
      </c>
      <c r="D1021" s="39">
        <v>9.27850085675745E-3</v>
      </c>
      <c r="E1021" s="37">
        <v>13.875</v>
      </c>
      <c r="F1021" s="37">
        <v>13.553248</v>
      </c>
      <c r="G1021" s="37">
        <v>13.925000000000001</v>
      </c>
      <c r="H1021" s="7">
        <v>353183000</v>
      </c>
      <c r="I1021" s="37">
        <v>4845390428.6709995</v>
      </c>
      <c r="J1021" s="37">
        <v>8390467792.0516195</v>
      </c>
    </row>
    <row r="1022" spans="1:10" x14ac:dyDescent="0.2">
      <c r="A1022" s="36">
        <v>44253</v>
      </c>
      <c r="B1022" s="37">
        <v>13.714499999999999</v>
      </c>
      <c r="C1022" s="38">
        <v>0.40699999999999997</v>
      </c>
      <c r="D1022" s="39">
        <v>3.05842569979335E-2</v>
      </c>
      <c r="E1022" s="37">
        <v>13.7525</v>
      </c>
      <c r="F1022" s="37">
        <v>13.361000000000001</v>
      </c>
      <c r="G1022" s="37">
        <v>13.8545</v>
      </c>
      <c r="H1022" s="7">
        <v>500930400</v>
      </c>
      <c r="I1022" s="37">
        <v>6855584425.7917604</v>
      </c>
      <c r="J1022" s="37">
        <v>3545077363.38062</v>
      </c>
    </row>
    <row r="1023" spans="1:10" x14ac:dyDescent="0.2">
      <c r="A1023" s="36">
        <v>44252</v>
      </c>
      <c r="B1023" s="37">
        <v>13.307499999999999</v>
      </c>
      <c r="C1023" s="38">
        <v>-1.1915</v>
      </c>
      <c r="D1023" s="39">
        <v>-8.2178081246982601E-2</v>
      </c>
      <c r="E1023" s="37">
        <v>14.045418</v>
      </c>
      <c r="F1023" s="37">
        <v>13.21625</v>
      </c>
      <c r="G1023" s="37">
        <v>14.374750000000001</v>
      </c>
      <c r="H1023" s="7">
        <v>824436040</v>
      </c>
      <c r="I1023" s="37">
        <v>11261093254.945999</v>
      </c>
      <c r="J1023" s="37">
        <v>-3310507062.41113</v>
      </c>
    </row>
    <row r="1024" spans="1:10" x14ac:dyDescent="0.2">
      <c r="A1024" s="36">
        <v>44251</v>
      </c>
      <c r="B1024" s="37">
        <v>14.499000000000001</v>
      </c>
      <c r="C1024" s="38">
        <v>0.35700000000000098</v>
      </c>
      <c r="D1024" s="39">
        <v>2.5243954179041201E-2</v>
      </c>
      <c r="E1024" s="37">
        <v>14.12275</v>
      </c>
      <c r="F1024" s="37">
        <v>13.756</v>
      </c>
      <c r="G1024" s="37">
        <v>14.50675</v>
      </c>
      <c r="H1024" s="7">
        <v>448319080</v>
      </c>
      <c r="I1024" s="37">
        <v>6404817885.3082399</v>
      </c>
      <c r="J1024" s="37">
        <v>7950586192.5348501</v>
      </c>
    </row>
    <row r="1025" spans="1:10" x14ac:dyDescent="0.2">
      <c r="A1025" s="36">
        <v>44250</v>
      </c>
      <c r="B1025" s="37">
        <v>14.141999999999999</v>
      </c>
      <c r="C1025" s="38">
        <v>-0.21375000000000099</v>
      </c>
      <c r="D1025" s="39">
        <v>-1.4889504205632001E-2</v>
      </c>
      <c r="E1025" s="37">
        <v>14.07525</v>
      </c>
      <c r="F1025" s="37">
        <v>13.3895</v>
      </c>
      <c r="G1025" s="37">
        <v>14.23875</v>
      </c>
      <c r="H1025" s="7">
        <v>391779320</v>
      </c>
      <c r="I1025" s="37">
        <v>5437972806.5183496</v>
      </c>
      <c r="J1025" s="37">
        <v>1545768307.2265999</v>
      </c>
    </row>
    <row r="1026" spans="1:10" x14ac:dyDescent="0.2">
      <c r="A1026" s="36">
        <v>44249</v>
      </c>
      <c r="B1026" s="37">
        <v>14.35575</v>
      </c>
      <c r="C1026" s="38">
        <v>-0.57074999999999998</v>
      </c>
      <c r="D1026" s="39">
        <v>-3.8237363079087497E-2</v>
      </c>
      <c r="E1026" s="37">
        <v>14.774749999999999</v>
      </c>
      <c r="F1026" s="37">
        <v>14.324999999999999</v>
      </c>
      <c r="G1026" s="37">
        <v>15.13325</v>
      </c>
      <c r="H1026" s="7">
        <v>325885560</v>
      </c>
      <c r="I1026" s="37">
        <v>4788448183.7936897</v>
      </c>
      <c r="J1026" s="37">
        <v>6983741113.7449598</v>
      </c>
    </row>
    <row r="1027" spans="1:10" x14ac:dyDescent="0.2">
      <c r="A1027" s="36">
        <v>44246</v>
      </c>
      <c r="B1027" s="37">
        <v>14.926500000000001</v>
      </c>
      <c r="C1027" s="38">
        <v>9.75000000000001E-2</v>
      </c>
      <c r="D1027" s="39">
        <v>6.5749544810843703E-3</v>
      </c>
      <c r="E1027" s="37">
        <v>15.0245</v>
      </c>
      <c r="F1027" s="37">
        <v>14.8467</v>
      </c>
      <c r="G1027" s="37">
        <v>15.176997999999999</v>
      </c>
      <c r="H1027" s="7">
        <v>271724120</v>
      </c>
      <c r="I1027" s="37">
        <v>4072987114.2209401</v>
      </c>
      <c r="J1027" s="37">
        <v>11772189297.538601</v>
      </c>
    </row>
    <row r="1028" spans="1:10" x14ac:dyDescent="0.2">
      <c r="A1028" s="36">
        <v>44245</v>
      </c>
      <c r="B1028" s="37">
        <v>14.829000000000001</v>
      </c>
      <c r="C1028" s="38">
        <v>-7.6999999999999999E-2</v>
      </c>
      <c r="D1028" s="39">
        <v>-5.1657050852005901E-3</v>
      </c>
      <c r="E1028" s="37">
        <v>14.728999999999999</v>
      </c>
      <c r="F1028" s="37">
        <v>14.574999999999999</v>
      </c>
      <c r="G1028" s="37">
        <v>14.873250000000001</v>
      </c>
      <c r="H1028" s="7">
        <v>234080800</v>
      </c>
      <c r="I1028" s="37">
        <v>3450401240.0297799</v>
      </c>
      <c r="J1028" s="37">
        <v>7699202183.3177099</v>
      </c>
    </row>
    <row r="1029" spans="1:10" x14ac:dyDescent="0.2">
      <c r="A1029" s="36">
        <v>44244</v>
      </c>
      <c r="B1029" s="37">
        <v>14.906000000000001</v>
      </c>
      <c r="C1029" s="38">
        <v>-0.42424999999999902</v>
      </c>
      <c r="D1029" s="39">
        <v>-2.76740431499812E-2</v>
      </c>
      <c r="E1029" s="37">
        <v>15.170999999999999</v>
      </c>
      <c r="F1029" s="37">
        <v>14.78</v>
      </c>
      <c r="G1029" s="37">
        <v>15.223518</v>
      </c>
      <c r="H1029" s="7">
        <v>275698680</v>
      </c>
      <c r="I1029" s="37">
        <v>4121385667.81212</v>
      </c>
      <c r="J1029" s="37">
        <v>11149603423.3475</v>
      </c>
    </row>
    <row r="1030" spans="1:10" x14ac:dyDescent="0.2">
      <c r="A1030" s="36">
        <v>44243</v>
      </c>
      <c r="B1030" s="37">
        <v>15.330249999999999</v>
      </c>
      <c r="C1030" s="38">
        <v>0.36899999999999999</v>
      </c>
      <c r="D1030" s="39">
        <v>2.4663714596039801E-2</v>
      </c>
      <c r="E1030" s="37">
        <v>15.064249999999999</v>
      </c>
      <c r="F1030" s="37">
        <v>14.95</v>
      </c>
      <c r="G1030" s="37">
        <v>15.3725</v>
      </c>
      <c r="H1030" s="7">
        <v>321959520</v>
      </c>
      <c r="I1030" s="37">
        <v>4899715842.6012201</v>
      </c>
      <c r="J1030" s="37">
        <v>15270989091.159599</v>
      </c>
    </row>
    <row r="1031" spans="1:10" x14ac:dyDescent="0.2">
      <c r="A1031" s="36">
        <v>44239</v>
      </c>
      <c r="B1031" s="37">
        <v>14.96125</v>
      </c>
      <c r="C1031" s="38">
        <v>-0.28949999999999998</v>
      </c>
      <c r="D1031" s="39">
        <v>-1.8982672983295899E-2</v>
      </c>
      <c r="E1031" s="37">
        <v>15.05</v>
      </c>
      <c r="F1031" s="37">
        <v>14.775</v>
      </c>
      <c r="G1031" s="37">
        <v>15.291138</v>
      </c>
      <c r="H1031" s="7">
        <v>374757480</v>
      </c>
      <c r="I1031" s="37">
        <v>5637206066.3134203</v>
      </c>
      <c r="J1031" s="37">
        <v>10371273248.558399</v>
      </c>
    </row>
    <row r="1032" spans="1:10" x14ac:dyDescent="0.2">
      <c r="A1032" s="36">
        <v>44238</v>
      </c>
      <c r="B1032" s="37">
        <v>15.25075</v>
      </c>
      <c r="C1032" s="38">
        <v>0.48649999999999899</v>
      </c>
      <c r="D1032" s="39">
        <v>3.2951216621230302E-2</v>
      </c>
      <c r="E1032" s="37">
        <v>14.98025</v>
      </c>
      <c r="F1032" s="37">
        <v>14.925000000000001</v>
      </c>
      <c r="G1032" s="37">
        <v>15.27225</v>
      </c>
      <c r="H1032" s="7">
        <v>450827720</v>
      </c>
      <c r="I1032" s="37">
        <v>6828642105.8689299</v>
      </c>
      <c r="J1032" s="37">
        <v>16008479314.871799</v>
      </c>
    </row>
    <row r="1033" spans="1:10" x14ac:dyDescent="0.2">
      <c r="A1033" s="36">
        <v>44237</v>
      </c>
      <c r="B1033" s="37">
        <v>14.764250000000001</v>
      </c>
      <c r="C1033" s="38">
        <v>0.501000000000001</v>
      </c>
      <c r="D1033" s="39">
        <v>3.5125234431143099E-2</v>
      </c>
      <c r="E1033" s="37">
        <v>14.46325</v>
      </c>
      <c r="F1033" s="37">
        <v>14.341374999999999</v>
      </c>
      <c r="G1033" s="37">
        <v>14.904999999999999</v>
      </c>
      <c r="H1033" s="7">
        <v>485352320</v>
      </c>
      <c r="I1033" s="37">
        <v>7125870670.9723997</v>
      </c>
      <c r="J1033" s="37">
        <v>9179837209.0028706</v>
      </c>
    </row>
    <row r="1034" spans="1:10" x14ac:dyDescent="0.2">
      <c r="A1034" s="36">
        <v>44236</v>
      </c>
      <c r="B1034" s="37">
        <v>14.263249999999999</v>
      </c>
      <c r="C1034" s="38">
        <v>-0.17550000000000099</v>
      </c>
      <c r="D1034" s="39">
        <v>-1.21547917929185E-2</v>
      </c>
      <c r="E1034" s="37">
        <v>14.340624999999999</v>
      </c>
      <c r="F1034" s="37">
        <v>14.2225</v>
      </c>
      <c r="G1034" s="37">
        <v>14.58325</v>
      </c>
      <c r="H1034" s="7">
        <v>287560120</v>
      </c>
      <c r="I1034" s="37">
        <v>4134529330.8134398</v>
      </c>
      <c r="J1034" s="37">
        <v>2053966538.0304699</v>
      </c>
    </row>
    <row r="1035" spans="1:10" x14ac:dyDescent="0.2">
      <c r="A1035" s="36">
        <v>44235</v>
      </c>
      <c r="B1035" s="37">
        <v>14.438750000000001</v>
      </c>
      <c r="C1035" s="38">
        <v>0.847750000000001</v>
      </c>
      <c r="D1035" s="39">
        <v>6.2375836950923497E-2</v>
      </c>
      <c r="E1035" s="37">
        <v>13.727214999999999</v>
      </c>
      <c r="F1035" s="37">
        <v>13.727214999999999</v>
      </c>
      <c r="G1035" s="37">
        <v>14.473750000000001</v>
      </c>
      <c r="H1035" s="7">
        <v>434622840</v>
      </c>
      <c r="I1035" s="37">
        <v>6188495868.8439102</v>
      </c>
      <c r="J1035" s="37">
        <v>6188495868.8439102</v>
      </c>
    </row>
    <row r="1036" spans="1:10" x14ac:dyDescent="0.2">
      <c r="A1036" s="36">
        <v>44232</v>
      </c>
      <c r="B1036" s="37">
        <v>13.590999999999999</v>
      </c>
      <c r="C1036" s="38"/>
      <c r="D1036" s="39"/>
      <c r="E1036" s="37">
        <v>13.725</v>
      </c>
      <c r="F1036" s="37">
        <v>13.54575</v>
      </c>
      <c r="G1036" s="37">
        <v>13.73725</v>
      </c>
      <c r="H1036" s="7">
        <v>169153640</v>
      </c>
      <c r="I1036" s="37">
        <v>2300909024.1797199</v>
      </c>
      <c r="J1036" s="37">
        <v>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05B9-62C6-5743-A18F-C9D640F405AF}">
  <dimension ref="A1:L4705"/>
  <sheetViews>
    <sheetView topLeftCell="D1" workbookViewId="0">
      <selection activeCell="K4" sqref="K4"/>
    </sheetView>
  </sheetViews>
  <sheetFormatPr baseColWidth="10" defaultRowHeight="16" x14ac:dyDescent="0.2"/>
  <cols>
    <col min="1" max="8" width="10.83203125" style="40"/>
    <col min="10" max="16384" width="10.83203125" style="40"/>
  </cols>
  <sheetData>
    <row r="1" spans="1:12" x14ac:dyDescent="0.2">
      <c r="A1" s="40" t="s">
        <v>46</v>
      </c>
      <c r="B1" s="40" t="s">
        <v>47</v>
      </c>
    </row>
    <row r="2" spans="1:12" x14ac:dyDescent="0.2">
      <c r="A2" s="41">
        <v>38871</v>
      </c>
      <c r="B2" s="42">
        <v>71.73</v>
      </c>
      <c r="D2" s="42"/>
      <c r="E2" s="40">
        <v>1008</v>
      </c>
      <c r="F2" s="43">
        <v>99.15</v>
      </c>
      <c r="G2" s="40">
        <f>LN(F2/F3)</f>
        <v>-2.3326416494921731E-2</v>
      </c>
      <c r="H2" s="40">
        <v>124.83</v>
      </c>
      <c r="I2">
        <f>LN(H2/H3)</f>
        <v>5.0774828781187074E-2</v>
      </c>
      <c r="K2" s="40">
        <f>_xlfn.VAR.S(G2:G1008)</f>
        <v>2.7057771792838923E-3</v>
      </c>
      <c r="L2" s="40">
        <f>_xlfn.VAR.S(I2:I1005)</f>
        <v>1.1362166962645679E-3</v>
      </c>
    </row>
    <row r="3" spans="1:12" x14ac:dyDescent="0.2">
      <c r="A3" s="40" t="s">
        <v>48</v>
      </c>
      <c r="B3" s="42">
        <v>15.71</v>
      </c>
      <c r="D3" s="42"/>
      <c r="E3" s="40">
        <v>1007</v>
      </c>
      <c r="F3" s="43">
        <v>101.49</v>
      </c>
      <c r="G3" s="40">
        <f t="shared" ref="G3:G66" si="0">LN(F3/F4)</f>
        <v>4.7623242567875722E-2</v>
      </c>
      <c r="H3" s="40">
        <v>118.65</v>
      </c>
      <c r="I3">
        <f t="shared" ref="I3:I66" si="1">LN(H3/H4)</f>
        <v>1.6914261556281014E-2</v>
      </c>
      <c r="K3" s="40">
        <f>CORREL(G2:G500,I2:I500)</f>
        <v>8.9521978257740817E-2</v>
      </c>
    </row>
    <row r="4" spans="1:12" x14ac:dyDescent="0.2">
      <c r="A4" s="40" t="s">
        <v>49</v>
      </c>
      <c r="B4" s="42">
        <v>27.94</v>
      </c>
      <c r="D4" s="42"/>
      <c r="E4" s="40">
        <v>1006</v>
      </c>
      <c r="F4" s="43">
        <v>96.77</v>
      </c>
      <c r="G4" s="40">
        <f t="shared" si="0"/>
        <v>-5.3591800944852363E-3</v>
      </c>
      <c r="H4" s="40">
        <v>116.66</v>
      </c>
      <c r="I4">
        <f t="shared" si="1"/>
        <v>-2.8811184717135074E-2</v>
      </c>
    </row>
    <row r="5" spans="1:12" x14ac:dyDescent="0.2">
      <c r="A5" s="40" t="s">
        <v>50</v>
      </c>
      <c r="B5" s="42">
        <v>28.6</v>
      </c>
      <c r="D5" s="42"/>
      <c r="E5" s="40">
        <v>1005</v>
      </c>
      <c r="F5" s="43">
        <v>97.29</v>
      </c>
      <c r="G5" s="40">
        <f t="shared" si="0"/>
        <v>-3.6235482669327697E-2</v>
      </c>
      <c r="H5" s="40">
        <v>120.07</v>
      </c>
      <c r="I5">
        <f t="shared" si="1"/>
        <v>-3.743490392694037E-2</v>
      </c>
    </row>
    <row r="6" spans="1:12" x14ac:dyDescent="0.2">
      <c r="A6" s="40" t="s">
        <v>51</v>
      </c>
      <c r="B6" s="42">
        <v>37.93</v>
      </c>
      <c r="D6" s="42"/>
      <c r="E6" s="40">
        <v>1004</v>
      </c>
      <c r="F6" s="43">
        <v>100.88</v>
      </c>
      <c r="G6" s="40">
        <f t="shared" si="0"/>
        <v>-7.7507929483603119E-2</v>
      </c>
      <c r="H6" s="40">
        <v>124.65</v>
      </c>
      <c r="I6">
        <f t="shared" si="1"/>
        <v>7.6505305711246667E-3</v>
      </c>
    </row>
    <row r="7" spans="1:12" x14ac:dyDescent="0.2">
      <c r="A7" s="40" t="s">
        <v>52</v>
      </c>
      <c r="B7" s="42">
        <v>37.35</v>
      </c>
      <c r="D7" s="42"/>
      <c r="E7" s="40">
        <v>1003</v>
      </c>
      <c r="F7" s="43">
        <v>109.01</v>
      </c>
      <c r="G7" s="40">
        <f t="shared" si="0"/>
        <v>7.1380822658425103E-2</v>
      </c>
      <c r="H7" s="40">
        <v>123.7</v>
      </c>
      <c r="I7">
        <f t="shared" si="1"/>
        <v>-4.1875602578602553E-2</v>
      </c>
    </row>
    <row r="8" spans="1:12" x14ac:dyDescent="0.2">
      <c r="A8" s="41">
        <v>39025</v>
      </c>
      <c r="B8" s="42">
        <v>69.55</v>
      </c>
      <c r="D8" s="42"/>
      <c r="E8" s="40">
        <v>1002</v>
      </c>
      <c r="F8" s="43">
        <v>101.5</v>
      </c>
      <c r="G8" s="40">
        <f t="shared" si="0"/>
        <v>3.1831333224062675E-2</v>
      </c>
      <c r="H8" s="40">
        <v>128.99</v>
      </c>
      <c r="I8">
        <f t="shared" si="1"/>
        <v>8.5497254873414752E-2</v>
      </c>
    </row>
    <row r="9" spans="1:12" x14ac:dyDescent="0.2">
      <c r="A9" s="40" t="s">
        <v>53</v>
      </c>
      <c r="B9" s="42">
        <v>63.42</v>
      </c>
      <c r="D9" s="42"/>
      <c r="E9" s="40">
        <v>1001</v>
      </c>
      <c r="F9" s="43">
        <v>98.32</v>
      </c>
      <c r="G9" s="40">
        <f t="shared" si="0"/>
        <v>-3.3603161623419378E-2</v>
      </c>
      <c r="H9" s="40">
        <v>118.42</v>
      </c>
      <c r="I9">
        <f t="shared" si="1"/>
        <v>-0.18594612349652748</v>
      </c>
    </row>
    <row r="10" spans="1:12" x14ac:dyDescent="0.2">
      <c r="A10" s="40" t="s">
        <v>54</v>
      </c>
      <c r="B10" s="42">
        <v>61.33</v>
      </c>
      <c r="D10" s="42"/>
      <c r="E10" s="40">
        <v>1000</v>
      </c>
      <c r="F10" s="43">
        <v>101.68</v>
      </c>
      <c r="G10" s="40">
        <f t="shared" si="0"/>
        <v>-2.0057142042055439E-2</v>
      </c>
      <c r="H10" s="40">
        <v>142.62</v>
      </c>
      <c r="I10">
        <f t="shared" si="1"/>
        <v>-3.1744316030402252E-2</v>
      </c>
    </row>
    <row r="11" spans="1:12" x14ac:dyDescent="0.2">
      <c r="A11" s="41">
        <v>38722</v>
      </c>
      <c r="B11" s="42">
        <v>61.96</v>
      </c>
      <c r="D11" s="42"/>
      <c r="E11" s="40">
        <v>999</v>
      </c>
      <c r="F11" s="43">
        <v>103.74</v>
      </c>
      <c r="G11" s="40">
        <f t="shared" si="0"/>
        <v>-6.1406815058036225E-2</v>
      </c>
      <c r="H11" s="40">
        <v>147.22</v>
      </c>
      <c r="I11">
        <f t="shared" si="1"/>
        <v>1.0194027183375537E-3</v>
      </c>
    </row>
    <row r="12" spans="1:12" x14ac:dyDescent="0.2">
      <c r="A12" s="40" t="s">
        <v>55</v>
      </c>
      <c r="B12" s="42">
        <v>91.76</v>
      </c>
      <c r="D12" s="42"/>
      <c r="E12" s="40">
        <v>998</v>
      </c>
      <c r="F12" s="43">
        <v>110.31</v>
      </c>
      <c r="G12" s="40">
        <f t="shared" si="0"/>
        <v>9.4032780089945436E-2</v>
      </c>
      <c r="H12" s="40">
        <v>147.07</v>
      </c>
      <c r="I12">
        <f t="shared" si="1"/>
        <v>4.3355174702263348E-2</v>
      </c>
    </row>
    <row r="13" spans="1:12" x14ac:dyDescent="0.2">
      <c r="A13" s="40" t="s">
        <v>56</v>
      </c>
      <c r="B13" s="42">
        <v>88.66</v>
      </c>
      <c r="D13" s="42"/>
      <c r="E13" s="40">
        <v>997</v>
      </c>
      <c r="F13" s="43">
        <v>100.41</v>
      </c>
      <c r="G13" s="40">
        <f t="shared" si="0"/>
        <v>8.9031749004755516E-3</v>
      </c>
      <c r="H13" s="40">
        <v>140.83000000000001</v>
      </c>
      <c r="I13">
        <f t="shared" si="1"/>
        <v>2.2403464470924412E-2</v>
      </c>
    </row>
    <row r="14" spans="1:12" x14ac:dyDescent="0.2">
      <c r="A14" s="40" t="s">
        <v>57</v>
      </c>
      <c r="B14" s="42">
        <v>88.63</v>
      </c>
      <c r="D14" s="42"/>
      <c r="E14" s="40">
        <v>996</v>
      </c>
      <c r="F14" s="43">
        <v>99.52</v>
      </c>
      <c r="G14" s="40">
        <f t="shared" si="0"/>
        <v>-1.0395935291122774E-2</v>
      </c>
      <c r="H14" s="40">
        <v>137.71</v>
      </c>
      <c r="I14">
        <f t="shared" si="1"/>
        <v>3.0524339750020613E-2</v>
      </c>
    </row>
    <row r="15" spans="1:12" x14ac:dyDescent="0.2">
      <c r="A15" s="40" t="s">
        <v>58</v>
      </c>
      <c r="B15" s="42">
        <v>82.64</v>
      </c>
      <c r="D15" s="42"/>
      <c r="E15" s="40">
        <v>995</v>
      </c>
      <c r="F15" s="43">
        <v>100.56</v>
      </c>
      <c r="G15" s="40">
        <f t="shared" si="0"/>
        <v>2.3137537541489693E-2</v>
      </c>
      <c r="H15" s="40">
        <v>133.57</v>
      </c>
      <c r="I15">
        <f t="shared" si="1"/>
        <v>-1.9792351365419E-2</v>
      </c>
    </row>
    <row r="16" spans="1:12" x14ac:dyDescent="0.2">
      <c r="A16" s="40" t="s">
        <v>59</v>
      </c>
      <c r="B16" s="42">
        <v>72.5</v>
      </c>
      <c r="D16" s="42"/>
      <c r="E16" s="40">
        <v>994</v>
      </c>
      <c r="F16" s="43">
        <v>98.26</v>
      </c>
      <c r="G16" s="40">
        <f t="shared" si="0"/>
        <v>-3.352492875728779E-2</v>
      </c>
      <c r="H16" s="40">
        <v>136.24</v>
      </c>
      <c r="I16">
        <f t="shared" si="1"/>
        <v>3.3435950485048091E-2</v>
      </c>
    </row>
    <row r="17" spans="1:9" x14ac:dyDescent="0.2">
      <c r="A17" s="40" t="s">
        <v>60</v>
      </c>
      <c r="B17" s="42">
        <v>82.14</v>
      </c>
      <c r="D17" s="42"/>
      <c r="E17" s="40">
        <v>993</v>
      </c>
      <c r="F17" s="43">
        <v>101.61</v>
      </c>
      <c r="G17" s="40">
        <f t="shared" si="0"/>
        <v>1.7573050876672529E-2</v>
      </c>
      <c r="H17" s="40">
        <v>131.76</v>
      </c>
      <c r="I17">
        <f t="shared" si="1"/>
        <v>-1.1094872102735659E-2</v>
      </c>
    </row>
    <row r="18" spans="1:9" x14ac:dyDescent="0.2">
      <c r="A18" s="40" t="s">
        <v>61</v>
      </c>
      <c r="B18" s="42">
        <v>77.44</v>
      </c>
      <c r="D18" s="42"/>
      <c r="E18" s="40">
        <v>992</v>
      </c>
      <c r="F18" s="43">
        <v>99.84</v>
      </c>
      <c r="G18" s="40">
        <f t="shared" si="0"/>
        <v>2.0746582296933779E-2</v>
      </c>
      <c r="H18" s="40">
        <v>133.22999999999999</v>
      </c>
      <c r="I18">
        <f t="shared" si="1"/>
        <v>-1.9915943995135368E-2</v>
      </c>
    </row>
    <row r="19" spans="1:9" x14ac:dyDescent="0.2">
      <c r="A19" s="41">
        <v>38723</v>
      </c>
      <c r="B19" s="42">
        <v>74.08</v>
      </c>
      <c r="D19" s="42"/>
      <c r="E19" s="40">
        <v>991</v>
      </c>
      <c r="F19" s="43">
        <v>97.79</v>
      </c>
      <c r="G19" s="40">
        <f t="shared" si="0"/>
        <v>-9.8660546513071185E-2</v>
      </c>
      <c r="H19" s="40">
        <v>135.91</v>
      </c>
      <c r="I19">
        <f t="shared" si="1"/>
        <v>-3.0434926415884248E-2</v>
      </c>
    </row>
    <row r="20" spans="1:9" x14ac:dyDescent="0.2">
      <c r="A20" s="41">
        <v>38754</v>
      </c>
      <c r="B20" s="42">
        <v>70.27</v>
      </c>
      <c r="D20" s="42"/>
      <c r="E20" s="40">
        <v>990</v>
      </c>
      <c r="F20" s="43">
        <v>107.93</v>
      </c>
      <c r="G20" s="40">
        <f t="shared" si="0"/>
        <v>-2.7506645789833473E-2</v>
      </c>
      <c r="H20" s="40">
        <v>140.11000000000001</v>
      </c>
      <c r="I20">
        <f t="shared" si="1"/>
        <v>-2.140945592475461E-4</v>
      </c>
    </row>
    <row r="21" spans="1:9" x14ac:dyDescent="0.2">
      <c r="A21" s="41">
        <v>38843</v>
      </c>
      <c r="B21" s="42">
        <v>77.38</v>
      </c>
      <c r="D21" s="42"/>
      <c r="E21" s="40">
        <v>989</v>
      </c>
      <c r="F21" s="43">
        <v>110.94</v>
      </c>
      <c r="G21" s="40">
        <f t="shared" si="0"/>
        <v>-4.0194431499907576E-2</v>
      </c>
      <c r="H21" s="40">
        <v>140.13999999999999</v>
      </c>
      <c r="I21">
        <f t="shared" si="1"/>
        <v>-6.4186132810914065E-2</v>
      </c>
    </row>
    <row r="22" spans="1:9" x14ac:dyDescent="0.2">
      <c r="A22" s="41">
        <v>38874</v>
      </c>
      <c r="B22" s="42">
        <v>78.66</v>
      </c>
      <c r="D22" s="42"/>
      <c r="E22" s="40">
        <v>988</v>
      </c>
      <c r="F22" s="43">
        <v>115.49</v>
      </c>
      <c r="G22" s="40">
        <f t="shared" si="0"/>
        <v>0.10546635052666568</v>
      </c>
      <c r="H22" s="40">
        <v>149.43</v>
      </c>
      <c r="I22">
        <f t="shared" si="1"/>
        <v>3.3756182212011883E-2</v>
      </c>
    </row>
    <row r="23" spans="1:9" x14ac:dyDescent="0.2">
      <c r="A23" s="41">
        <v>38904</v>
      </c>
      <c r="B23" s="42">
        <v>73.86</v>
      </c>
      <c r="D23" s="42"/>
      <c r="E23" s="40">
        <v>987</v>
      </c>
      <c r="F23" s="43">
        <v>103.93</v>
      </c>
      <c r="G23" s="40">
        <f t="shared" si="0"/>
        <v>-2.3205986663243194E-2</v>
      </c>
      <c r="H23" s="40">
        <v>144.47</v>
      </c>
      <c r="I23">
        <f t="shared" si="1"/>
        <v>4.3574330904673421E-2</v>
      </c>
    </row>
    <row r="24" spans="1:9" x14ac:dyDescent="0.2">
      <c r="A24" s="41">
        <v>38935</v>
      </c>
      <c r="B24" s="42">
        <v>78.12</v>
      </c>
      <c r="D24" s="42"/>
      <c r="E24" s="40">
        <v>986</v>
      </c>
      <c r="F24" s="43">
        <v>106.37</v>
      </c>
      <c r="G24" s="40">
        <f t="shared" si="0"/>
        <v>0.10372188109798372</v>
      </c>
      <c r="H24" s="40">
        <v>138.31</v>
      </c>
      <c r="I24">
        <f t="shared" si="1"/>
        <v>2.9495902043532696E-2</v>
      </c>
    </row>
    <row r="25" spans="1:9" x14ac:dyDescent="0.2">
      <c r="A25" s="41">
        <v>38966</v>
      </c>
      <c r="B25" s="42">
        <v>79.87</v>
      </c>
      <c r="D25" s="42"/>
      <c r="E25" s="40">
        <v>985</v>
      </c>
      <c r="F25" s="43">
        <v>95.89</v>
      </c>
      <c r="G25" s="40">
        <f t="shared" si="0"/>
        <v>1.608444662611562E-2</v>
      </c>
      <c r="H25" s="40">
        <v>134.29</v>
      </c>
      <c r="I25">
        <f t="shared" si="1"/>
        <v>-2.3549546596058561E-2</v>
      </c>
    </row>
    <row r="26" spans="1:9" x14ac:dyDescent="0.2">
      <c r="A26" s="41">
        <v>39057</v>
      </c>
      <c r="B26" s="42">
        <v>83.52</v>
      </c>
      <c r="D26" s="42"/>
      <c r="E26" s="40">
        <v>984</v>
      </c>
      <c r="F26" s="43">
        <v>94.36</v>
      </c>
      <c r="G26" s="40">
        <f t="shared" si="0"/>
        <v>-0.12187244416157111</v>
      </c>
      <c r="H26" s="40">
        <v>137.49</v>
      </c>
      <c r="I26">
        <f t="shared" si="1"/>
        <v>3.4972713241252736E-3</v>
      </c>
    </row>
    <row r="27" spans="1:9" x14ac:dyDescent="0.2">
      <c r="A27" s="40" t="s">
        <v>62</v>
      </c>
      <c r="B27" s="42">
        <v>93.2</v>
      </c>
      <c r="D27" s="42"/>
      <c r="E27" s="40">
        <v>983</v>
      </c>
      <c r="F27" s="43">
        <v>106.59</v>
      </c>
      <c r="G27" s="40">
        <f t="shared" si="0"/>
        <v>2.143074622116737E-2</v>
      </c>
      <c r="H27" s="40">
        <v>137.01</v>
      </c>
      <c r="I27">
        <f t="shared" si="1"/>
        <v>-2.1088381702604804E-2</v>
      </c>
    </row>
    <row r="28" spans="1:9" x14ac:dyDescent="0.2">
      <c r="A28" s="40" t="s">
        <v>63</v>
      </c>
      <c r="B28" s="42">
        <v>102.11</v>
      </c>
      <c r="D28" s="42"/>
      <c r="E28" s="40">
        <v>982</v>
      </c>
      <c r="F28" s="43">
        <v>104.33</v>
      </c>
      <c r="G28" s="40">
        <f t="shared" si="0"/>
        <v>1.2344645143410018E-2</v>
      </c>
      <c r="H28" s="40">
        <v>139.93</v>
      </c>
      <c r="I28">
        <f t="shared" si="1"/>
        <v>-2.070320211199508E-3</v>
      </c>
    </row>
    <row r="29" spans="1:9" x14ac:dyDescent="0.2">
      <c r="A29" s="40" t="s">
        <v>64</v>
      </c>
      <c r="B29" s="42">
        <v>99.13</v>
      </c>
      <c r="D29" s="42"/>
      <c r="E29" s="40">
        <v>981</v>
      </c>
      <c r="F29" s="43">
        <v>103.05</v>
      </c>
      <c r="G29" s="40">
        <f t="shared" si="0"/>
        <v>4.2015493129596598E-2</v>
      </c>
      <c r="H29" s="40">
        <v>140.22</v>
      </c>
      <c r="I29">
        <f t="shared" si="1"/>
        <v>3.9301204611417624E-3</v>
      </c>
    </row>
    <row r="30" spans="1:9" x14ac:dyDescent="0.2">
      <c r="A30" s="40" t="s">
        <v>65</v>
      </c>
      <c r="B30" s="42">
        <v>106.93</v>
      </c>
      <c r="D30" s="42"/>
      <c r="E30" s="40">
        <v>980</v>
      </c>
      <c r="F30" s="43">
        <v>98.81</v>
      </c>
      <c r="G30" s="40">
        <f t="shared" si="0"/>
        <v>6.3075502541691267E-2</v>
      </c>
      <c r="H30" s="40">
        <v>139.66999999999999</v>
      </c>
      <c r="I30">
        <f t="shared" si="1"/>
        <v>3.6232413901361615E-2</v>
      </c>
    </row>
    <row r="31" spans="1:9" x14ac:dyDescent="0.2">
      <c r="A31" s="40" t="s">
        <v>66</v>
      </c>
      <c r="B31" s="42">
        <v>102.56</v>
      </c>
      <c r="D31" s="42"/>
      <c r="E31" s="40">
        <v>979</v>
      </c>
      <c r="F31" s="43">
        <v>92.77</v>
      </c>
      <c r="G31" s="40">
        <f t="shared" si="0"/>
        <v>1.8714505491563092E-2</v>
      </c>
      <c r="H31" s="40">
        <v>134.69999999999999</v>
      </c>
      <c r="I31">
        <f t="shared" si="1"/>
        <v>3.0298496683448778E-2</v>
      </c>
    </row>
    <row r="32" spans="1:9" x14ac:dyDescent="0.2">
      <c r="A32" s="40" t="s">
        <v>67</v>
      </c>
      <c r="B32" s="42">
        <v>94.76</v>
      </c>
      <c r="D32" s="42"/>
      <c r="E32" s="40">
        <v>978</v>
      </c>
      <c r="F32" s="43">
        <v>91.05</v>
      </c>
      <c r="G32" s="40">
        <f t="shared" si="0"/>
        <v>-0.11689179720332887</v>
      </c>
      <c r="H32" s="40">
        <v>130.68</v>
      </c>
      <c r="I32">
        <f t="shared" si="1"/>
        <v>1.3637100277856131E-2</v>
      </c>
    </row>
    <row r="33" spans="1:9" x14ac:dyDescent="0.2">
      <c r="A33" s="40" t="s">
        <v>68</v>
      </c>
      <c r="B33" s="42">
        <v>92.4</v>
      </c>
      <c r="D33" s="42"/>
      <c r="E33" s="40">
        <v>977</v>
      </c>
      <c r="F33" s="43">
        <v>102.34</v>
      </c>
      <c r="G33" s="40">
        <f t="shared" si="0"/>
        <v>-0.10798556046868267</v>
      </c>
      <c r="H33" s="40">
        <v>128.91</v>
      </c>
      <c r="I33">
        <f t="shared" si="1"/>
        <v>-1.1415472980367396E-2</v>
      </c>
    </row>
    <row r="34" spans="1:9" x14ac:dyDescent="0.2">
      <c r="A34" s="40" t="s">
        <v>69</v>
      </c>
      <c r="B34" s="42">
        <v>91.85</v>
      </c>
      <c r="D34" s="42"/>
      <c r="E34" s="40">
        <v>976</v>
      </c>
      <c r="F34" s="43">
        <v>114.01</v>
      </c>
      <c r="G34" s="40">
        <f t="shared" si="0"/>
        <v>-0.17849880459379311</v>
      </c>
      <c r="H34" s="40">
        <v>130.38999999999999</v>
      </c>
      <c r="I34">
        <f t="shared" si="1"/>
        <v>-1.2271963150990077E-2</v>
      </c>
    </row>
    <row r="35" spans="1:9" x14ac:dyDescent="0.2">
      <c r="A35" s="40" t="s">
        <v>70</v>
      </c>
      <c r="B35" s="42">
        <v>86.81</v>
      </c>
      <c r="D35" s="42"/>
      <c r="E35" s="40">
        <v>975</v>
      </c>
      <c r="F35" s="43">
        <v>136.29</v>
      </c>
      <c r="G35" s="40">
        <f t="shared" si="0"/>
        <v>4.8867208739754094E-2</v>
      </c>
      <c r="H35" s="40">
        <v>132</v>
      </c>
      <c r="I35">
        <f t="shared" si="1"/>
        <v>-1.6901810802603254E-2</v>
      </c>
    </row>
    <row r="36" spans="1:9" x14ac:dyDescent="0.2">
      <c r="A36" s="40" t="s">
        <v>71</v>
      </c>
      <c r="B36" s="42">
        <v>90.71</v>
      </c>
      <c r="D36" s="42"/>
      <c r="E36" s="40">
        <v>974</v>
      </c>
      <c r="F36" s="43">
        <v>129.79</v>
      </c>
      <c r="G36" s="40">
        <f t="shared" si="0"/>
        <v>0.25347408974507768</v>
      </c>
      <c r="H36" s="40">
        <v>134.25</v>
      </c>
      <c r="I36">
        <f t="shared" si="1"/>
        <v>-2.2755869803556265E-2</v>
      </c>
    </row>
    <row r="37" spans="1:9" x14ac:dyDescent="0.2">
      <c r="A37" s="40" t="s">
        <v>72</v>
      </c>
      <c r="B37" s="42">
        <v>95.12</v>
      </c>
      <c r="D37" s="42"/>
      <c r="E37" s="40">
        <v>973</v>
      </c>
      <c r="F37" s="43">
        <v>100.73</v>
      </c>
      <c r="G37" s="40">
        <f t="shared" si="0"/>
        <v>2.3911125119521776E-2</v>
      </c>
      <c r="H37" s="40">
        <v>137.34</v>
      </c>
      <c r="I37">
        <f t="shared" si="1"/>
        <v>-1.4242062525603194E-2</v>
      </c>
    </row>
    <row r="38" spans="1:9" x14ac:dyDescent="0.2">
      <c r="A38" s="40" t="s">
        <v>73</v>
      </c>
      <c r="B38" s="42">
        <v>96.44</v>
      </c>
      <c r="D38" s="42"/>
      <c r="E38" s="40">
        <v>972</v>
      </c>
      <c r="F38" s="43">
        <v>98.35</v>
      </c>
      <c r="G38" s="40">
        <f t="shared" si="0"/>
        <v>1.8989536490127728E-2</v>
      </c>
      <c r="H38" s="40">
        <v>139.31</v>
      </c>
      <c r="I38">
        <f t="shared" si="1"/>
        <v>3.0908503145460821E-2</v>
      </c>
    </row>
    <row r="39" spans="1:9" x14ac:dyDescent="0.2">
      <c r="A39" s="40" t="s">
        <v>74</v>
      </c>
      <c r="B39" s="42">
        <v>96.63</v>
      </c>
      <c r="D39" s="42"/>
      <c r="E39" s="40">
        <v>971</v>
      </c>
      <c r="F39" s="43">
        <v>96.5</v>
      </c>
      <c r="G39" s="40">
        <f t="shared" si="0"/>
        <v>-2.9910870647042072E-2</v>
      </c>
      <c r="H39" s="40">
        <v>135.07</v>
      </c>
      <c r="I39">
        <f t="shared" si="1"/>
        <v>-2.731292901434523E-2</v>
      </c>
    </row>
    <row r="40" spans="1:9" x14ac:dyDescent="0.2">
      <c r="A40" s="40" t="s">
        <v>75</v>
      </c>
      <c r="B40" s="42">
        <v>92.1</v>
      </c>
      <c r="D40" s="42"/>
      <c r="E40" s="40">
        <v>970</v>
      </c>
      <c r="F40" s="43">
        <v>99.43</v>
      </c>
      <c r="G40" s="40">
        <f t="shared" si="0"/>
        <v>1.3262659601693655E-2</v>
      </c>
      <c r="H40" s="40">
        <v>138.81</v>
      </c>
      <c r="I40">
        <f t="shared" si="1"/>
        <v>-2.5814766822559045E-2</v>
      </c>
    </row>
    <row r="41" spans="1:9" x14ac:dyDescent="0.2">
      <c r="A41" s="41">
        <v>38783</v>
      </c>
      <c r="B41" s="42">
        <v>89.13</v>
      </c>
      <c r="D41" s="42"/>
      <c r="E41" s="40">
        <v>969</v>
      </c>
      <c r="F41" s="43">
        <v>98.12</v>
      </c>
      <c r="G41" s="40">
        <f t="shared" si="0"/>
        <v>3.9179947575729387E-2</v>
      </c>
      <c r="H41" s="40">
        <v>142.44</v>
      </c>
      <c r="I41">
        <f t="shared" si="1"/>
        <v>-1.8226591525689419E-2</v>
      </c>
    </row>
    <row r="42" spans="1:9" x14ac:dyDescent="0.2">
      <c r="A42" s="41">
        <v>38844</v>
      </c>
      <c r="B42" s="42">
        <v>91.98</v>
      </c>
      <c r="D42" s="42"/>
      <c r="E42" s="40">
        <v>968</v>
      </c>
      <c r="F42" s="43">
        <v>94.35</v>
      </c>
      <c r="G42" s="40">
        <f t="shared" si="0"/>
        <v>5.4200674693391133E-3</v>
      </c>
      <c r="H42" s="40">
        <v>145.06</v>
      </c>
      <c r="I42">
        <f t="shared" si="1"/>
        <v>-5.5134391472441149E-4</v>
      </c>
    </row>
    <row r="43" spans="1:9" x14ac:dyDescent="0.2">
      <c r="A43" s="41">
        <v>38875</v>
      </c>
      <c r="B43" s="42">
        <v>92.88</v>
      </c>
      <c r="D43" s="42"/>
      <c r="E43" s="40">
        <v>967</v>
      </c>
      <c r="F43" s="43">
        <v>93.84</v>
      </c>
      <c r="G43" s="40">
        <f t="shared" si="0"/>
        <v>7.1324780821930375E-2</v>
      </c>
      <c r="H43" s="40">
        <v>145.13999999999999</v>
      </c>
      <c r="I43">
        <f t="shared" si="1"/>
        <v>3.4200950741226366E-2</v>
      </c>
    </row>
    <row r="44" spans="1:9" x14ac:dyDescent="0.2">
      <c r="A44" s="41">
        <v>38905</v>
      </c>
      <c r="B44" s="42">
        <v>91.46</v>
      </c>
      <c r="D44" s="42"/>
      <c r="E44" s="40">
        <v>966</v>
      </c>
      <c r="F44" s="43">
        <v>87.38</v>
      </c>
      <c r="G44" s="40">
        <f t="shared" si="0"/>
        <v>4.9331827229976187E-3</v>
      </c>
      <c r="H44" s="40">
        <v>140.26</v>
      </c>
      <c r="I44">
        <f t="shared" si="1"/>
        <v>1.1689329558479629E-2</v>
      </c>
    </row>
    <row r="45" spans="1:9" x14ac:dyDescent="0.2">
      <c r="A45" s="41">
        <v>38997</v>
      </c>
      <c r="B45" s="42">
        <v>93.52</v>
      </c>
      <c r="D45" s="42"/>
      <c r="E45" s="40">
        <v>965</v>
      </c>
      <c r="F45" s="43">
        <v>86.95</v>
      </c>
      <c r="G45" s="40">
        <f t="shared" si="0"/>
        <v>5.4200674693391133E-3</v>
      </c>
      <c r="H45" s="40">
        <v>138.63</v>
      </c>
      <c r="I45">
        <f t="shared" si="1"/>
        <v>2.7448731478405524E-3</v>
      </c>
    </row>
    <row r="46" spans="1:9" x14ac:dyDescent="0.2">
      <c r="A46" s="41">
        <v>39028</v>
      </c>
      <c r="B46" s="42">
        <v>91.99</v>
      </c>
      <c r="D46" s="42"/>
      <c r="E46" s="40">
        <v>964</v>
      </c>
      <c r="F46" s="43">
        <v>86.48</v>
      </c>
      <c r="G46" s="40">
        <f t="shared" si="0"/>
        <v>5.7833556640601576E-4</v>
      </c>
      <c r="H46" s="40">
        <v>138.25</v>
      </c>
      <c r="I46">
        <f t="shared" si="1"/>
        <v>2.1273509598364767E-2</v>
      </c>
    </row>
    <row r="47" spans="1:9" x14ac:dyDescent="0.2">
      <c r="A47" s="40" t="s">
        <v>76</v>
      </c>
      <c r="B47" s="42">
        <v>99.61</v>
      </c>
      <c r="D47" s="42"/>
      <c r="E47" s="40">
        <v>963</v>
      </c>
      <c r="F47" s="43">
        <v>86.43</v>
      </c>
      <c r="G47" s="40">
        <f t="shared" si="0"/>
        <v>-7.8368500662537033E-3</v>
      </c>
      <c r="H47" s="40">
        <v>135.34</v>
      </c>
      <c r="I47">
        <f t="shared" si="1"/>
        <v>-1.1606682857905002E-2</v>
      </c>
    </row>
    <row r="48" spans="1:9" x14ac:dyDescent="0.2">
      <c r="A48" s="40" t="s">
        <v>77</v>
      </c>
      <c r="B48" s="42">
        <v>94.97</v>
      </c>
      <c r="D48" s="42"/>
      <c r="E48" s="40">
        <v>962</v>
      </c>
      <c r="F48" s="43">
        <v>87.11</v>
      </c>
      <c r="G48" s="40">
        <f t="shared" si="0"/>
        <v>9.1103668809214174E-3</v>
      </c>
      <c r="H48" s="40">
        <v>136.91999999999999</v>
      </c>
      <c r="I48">
        <f t="shared" si="1"/>
        <v>6.594879914491771E-3</v>
      </c>
    </row>
    <row r="49" spans="1:9" x14ac:dyDescent="0.2">
      <c r="A49" s="40" t="s">
        <v>78</v>
      </c>
      <c r="B49" s="42">
        <v>89.23</v>
      </c>
      <c r="D49" s="42"/>
      <c r="E49" s="40">
        <v>961</v>
      </c>
      <c r="F49" s="43">
        <v>86.32</v>
      </c>
      <c r="G49" s="40">
        <f t="shared" si="0"/>
        <v>-2.3358057602037286E-2</v>
      </c>
      <c r="H49" s="40">
        <v>136.02000000000001</v>
      </c>
      <c r="I49">
        <f t="shared" si="1"/>
        <v>-4.267294917148743E-2</v>
      </c>
    </row>
    <row r="50" spans="1:9" x14ac:dyDescent="0.2">
      <c r="A50" s="40" t="s">
        <v>79</v>
      </c>
      <c r="B50" s="42">
        <v>95.29</v>
      </c>
      <c r="D50" s="42"/>
      <c r="E50" s="40">
        <v>960</v>
      </c>
      <c r="F50" s="43">
        <v>88.36</v>
      </c>
      <c r="G50" s="40">
        <f t="shared" si="0"/>
        <v>7.3834605886262828E-3</v>
      </c>
      <c r="H50" s="40">
        <v>141.94999999999999</v>
      </c>
      <c r="I50">
        <f t="shared" si="1"/>
        <v>-3.2710282339683691E-2</v>
      </c>
    </row>
    <row r="51" spans="1:9" x14ac:dyDescent="0.2">
      <c r="A51" s="40" t="s">
        <v>80</v>
      </c>
      <c r="B51" s="42">
        <v>93.16</v>
      </c>
      <c r="D51" s="42"/>
      <c r="E51" s="40">
        <v>959</v>
      </c>
      <c r="F51" s="43">
        <v>87.71</v>
      </c>
      <c r="G51" s="40">
        <f t="shared" si="0"/>
        <v>-1.2238113080945323E-2</v>
      </c>
      <c r="H51" s="40">
        <v>146.66999999999999</v>
      </c>
      <c r="I51">
        <f t="shared" si="1"/>
        <v>5.3322521748597551E-3</v>
      </c>
    </row>
    <row r="52" spans="1:9" x14ac:dyDescent="0.2">
      <c r="A52" s="40" t="s">
        <v>81</v>
      </c>
      <c r="B52" s="42">
        <v>92.79</v>
      </c>
      <c r="D52" s="42"/>
      <c r="E52" s="40">
        <v>958</v>
      </c>
      <c r="F52" s="43">
        <v>88.79</v>
      </c>
      <c r="G52" s="40">
        <f t="shared" si="0"/>
        <v>-6.8970346174130073E-2</v>
      </c>
      <c r="H52" s="40">
        <v>145.88999999999999</v>
      </c>
      <c r="I52">
        <f t="shared" si="1"/>
        <v>-7.6476985920707645E-3</v>
      </c>
    </row>
    <row r="53" spans="1:9" x14ac:dyDescent="0.2">
      <c r="A53" s="41">
        <v>38725</v>
      </c>
      <c r="B53" s="42">
        <v>92.67</v>
      </c>
      <c r="D53" s="42"/>
      <c r="E53" s="40">
        <v>957</v>
      </c>
      <c r="F53" s="43">
        <v>95.13</v>
      </c>
      <c r="G53" s="40">
        <f t="shared" si="0"/>
        <v>-6.2842034036272018E-2</v>
      </c>
      <c r="H53" s="40">
        <v>147.01</v>
      </c>
      <c r="I53">
        <f t="shared" si="1"/>
        <v>4.7787334065077465E-2</v>
      </c>
    </row>
    <row r="54" spans="1:9" x14ac:dyDescent="0.2">
      <c r="A54" s="41">
        <v>38756</v>
      </c>
      <c r="B54" s="42">
        <v>91.34</v>
      </c>
      <c r="D54" s="42"/>
      <c r="E54" s="40">
        <v>956</v>
      </c>
      <c r="F54" s="43">
        <v>101.3</v>
      </c>
      <c r="G54" s="40">
        <f t="shared" si="0"/>
        <v>-8.8452665149664472E-3</v>
      </c>
      <c r="H54" s="40">
        <v>140.15</v>
      </c>
      <c r="I54">
        <f t="shared" si="1"/>
        <v>-1.2972925000442384E-2</v>
      </c>
    </row>
    <row r="55" spans="1:9" x14ac:dyDescent="0.2">
      <c r="A55" s="41">
        <v>38784</v>
      </c>
      <c r="B55" s="42">
        <v>89.24</v>
      </c>
      <c r="D55" s="42"/>
      <c r="E55" s="40">
        <v>955</v>
      </c>
      <c r="F55" s="43">
        <v>102.2</v>
      </c>
      <c r="G55" s="40">
        <f t="shared" si="0"/>
        <v>4.8413522778939178E-2</v>
      </c>
      <c r="H55" s="40">
        <v>141.97999999999999</v>
      </c>
      <c r="I55">
        <f t="shared" si="1"/>
        <v>-3.3112396875841478E-2</v>
      </c>
    </row>
    <row r="56" spans="1:9" x14ac:dyDescent="0.2">
      <c r="A56" s="41">
        <v>38815</v>
      </c>
      <c r="B56" s="42">
        <v>90.68</v>
      </c>
      <c r="D56" s="42"/>
      <c r="E56" s="40">
        <v>954</v>
      </c>
      <c r="F56" s="43">
        <v>97.37</v>
      </c>
      <c r="G56" s="40">
        <f t="shared" si="0"/>
        <v>3.7246694852805351E-2</v>
      </c>
      <c r="H56" s="40">
        <v>146.76</v>
      </c>
      <c r="I56">
        <f t="shared" si="1"/>
        <v>3.3443705880842637E-3</v>
      </c>
    </row>
    <row r="57" spans="1:9" x14ac:dyDescent="0.2">
      <c r="A57" s="41">
        <v>38906</v>
      </c>
      <c r="B57" s="42">
        <v>89.58</v>
      </c>
      <c r="D57" s="42"/>
      <c r="E57" s="40">
        <v>953</v>
      </c>
      <c r="F57" s="43">
        <v>93.81</v>
      </c>
      <c r="G57" s="40">
        <f t="shared" si="0"/>
        <v>-5.3141069197271587E-2</v>
      </c>
      <c r="H57" s="40">
        <v>146.27000000000001</v>
      </c>
      <c r="I57">
        <f t="shared" si="1"/>
        <v>-1.3715587087980549E-2</v>
      </c>
    </row>
    <row r="58" spans="1:9" x14ac:dyDescent="0.2">
      <c r="A58" s="41">
        <v>38937</v>
      </c>
      <c r="B58" s="42">
        <v>88.09</v>
      </c>
      <c r="D58" s="42"/>
      <c r="E58" s="40">
        <v>952</v>
      </c>
      <c r="F58" s="43">
        <v>98.93</v>
      </c>
      <c r="G58" s="40">
        <f t="shared" si="0"/>
        <v>8.9836458582742487E-2</v>
      </c>
      <c r="H58" s="40">
        <v>148.29</v>
      </c>
      <c r="I58">
        <f t="shared" si="1"/>
        <v>2.0644575808955484E-2</v>
      </c>
    </row>
    <row r="59" spans="1:9" x14ac:dyDescent="0.2">
      <c r="A59" s="40" t="s">
        <v>82</v>
      </c>
      <c r="B59" s="42">
        <v>57.01</v>
      </c>
      <c r="D59" s="42"/>
      <c r="E59" s="40">
        <v>951</v>
      </c>
      <c r="F59" s="43">
        <v>90.43</v>
      </c>
      <c r="G59" s="40">
        <f t="shared" si="0"/>
        <v>-1.460040206872641E-2</v>
      </c>
      <c r="H59" s="40">
        <v>145.26</v>
      </c>
      <c r="I59">
        <f t="shared" si="1"/>
        <v>-1.618390336797439E-2</v>
      </c>
    </row>
    <row r="60" spans="1:9" x14ac:dyDescent="0.2">
      <c r="A60" s="40" t="s">
        <v>83</v>
      </c>
      <c r="B60" s="42">
        <v>80.680000000000007</v>
      </c>
      <c r="D60" s="42"/>
      <c r="E60" s="40">
        <v>950</v>
      </c>
      <c r="F60" s="43">
        <v>91.76</v>
      </c>
      <c r="G60" s="40">
        <f t="shared" si="0"/>
        <v>2.5496662866387014E-2</v>
      </c>
      <c r="H60" s="40">
        <v>147.63</v>
      </c>
      <c r="I60">
        <f t="shared" si="1"/>
        <v>-8.4314687879987818E-3</v>
      </c>
    </row>
    <row r="61" spans="1:9" x14ac:dyDescent="0.2">
      <c r="A61" s="40" t="s">
        <v>84</v>
      </c>
      <c r="B61" s="42">
        <v>78.75</v>
      </c>
      <c r="D61" s="42"/>
      <c r="E61" s="40">
        <v>949</v>
      </c>
      <c r="F61" s="43">
        <v>89.45</v>
      </c>
      <c r="G61" s="40">
        <f t="shared" si="0"/>
        <v>-1.4208253226809341E-2</v>
      </c>
      <c r="H61" s="40">
        <v>148.88</v>
      </c>
      <c r="I61">
        <f t="shared" si="1"/>
        <v>2.2208797611182083E-2</v>
      </c>
    </row>
    <row r="62" spans="1:9" x14ac:dyDescent="0.2">
      <c r="A62" s="40" t="s">
        <v>85</v>
      </c>
      <c r="B62" s="42">
        <v>81.150000000000006</v>
      </c>
      <c r="D62" s="42"/>
      <c r="E62" s="40">
        <v>948</v>
      </c>
      <c r="F62" s="43">
        <v>90.73</v>
      </c>
      <c r="G62" s="40">
        <f t="shared" si="0"/>
        <v>3.3282247214562778E-2</v>
      </c>
      <c r="H62" s="40">
        <v>145.61000000000001</v>
      </c>
      <c r="I62">
        <f t="shared" si="1"/>
        <v>3.993245597761879E-2</v>
      </c>
    </row>
    <row r="63" spans="1:9" x14ac:dyDescent="0.2">
      <c r="A63" s="40" t="s">
        <v>86</v>
      </c>
      <c r="B63" s="42">
        <v>79.7</v>
      </c>
      <c r="D63" s="42"/>
      <c r="E63" s="40">
        <v>947</v>
      </c>
      <c r="F63" s="43">
        <v>87.76</v>
      </c>
      <c r="G63" s="40">
        <f t="shared" si="0"/>
        <v>-9.5260416440602919E-3</v>
      </c>
      <c r="H63" s="40">
        <v>139.91</v>
      </c>
      <c r="I63">
        <f t="shared" si="1"/>
        <v>2.7976893515939023E-2</v>
      </c>
    </row>
    <row r="64" spans="1:9" x14ac:dyDescent="0.2">
      <c r="A64" s="40" t="s">
        <v>87</v>
      </c>
      <c r="B64" s="42">
        <v>81.94</v>
      </c>
      <c r="D64" s="42"/>
      <c r="E64" s="40">
        <v>946</v>
      </c>
      <c r="F64" s="43">
        <v>88.6</v>
      </c>
      <c r="G64" s="40">
        <f t="shared" si="0"/>
        <v>-9.30502918368874E-2</v>
      </c>
      <c r="H64" s="40">
        <v>136.05000000000001</v>
      </c>
      <c r="I64">
        <f t="shared" si="1"/>
        <v>4.7891047510806297E-3</v>
      </c>
    </row>
    <row r="65" spans="1:9" x14ac:dyDescent="0.2">
      <c r="A65" s="40" t="s">
        <v>88</v>
      </c>
      <c r="B65" s="42">
        <v>79.47</v>
      </c>
      <c r="D65" s="42"/>
      <c r="E65" s="40">
        <v>945</v>
      </c>
      <c r="F65" s="43">
        <v>97.24</v>
      </c>
      <c r="G65" s="40">
        <f t="shared" si="0"/>
        <v>-0.16181938417368935</v>
      </c>
      <c r="H65" s="40">
        <v>135.4</v>
      </c>
      <c r="I65">
        <f t="shared" si="1"/>
        <v>1.9690373626400793E-2</v>
      </c>
    </row>
    <row r="66" spans="1:9" x14ac:dyDescent="0.2">
      <c r="A66" s="40" t="s">
        <v>89</v>
      </c>
      <c r="B66" s="42">
        <v>81.8</v>
      </c>
      <c r="D66" s="42"/>
      <c r="E66" s="40">
        <v>944</v>
      </c>
      <c r="F66" s="43">
        <v>114.32</v>
      </c>
      <c r="G66" s="40">
        <f t="shared" si="0"/>
        <v>-6.3378821654184764E-2</v>
      </c>
      <c r="H66" s="40">
        <v>132.76</v>
      </c>
      <c r="I66">
        <f t="shared" si="1"/>
        <v>-4.8338118655820057E-2</v>
      </c>
    </row>
    <row r="67" spans="1:9" x14ac:dyDescent="0.2">
      <c r="A67" s="40" t="s">
        <v>90</v>
      </c>
      <c r="B67" s="42">
        <v>80.77</v>
      </c>
      <c r="D67" s="42"/>
      <c r="E67" s="40">
        <v>943</v>
      </c>
      <c r="F67" s="43">
        <v>121.8</v>
      </c>
      <c r="G67" s="40">
        <f t="shared" ref="G67:G130" si="2">LN(F67/F68)</f>
        <v>2.224896690004315E-2</v>
      </c>
      <c r="H67" s="40">
        <v>139.33500000000001</v>
      </c>
      <c r="I67">
        <f t="shared" ref="I67:I130" si="3">LN(H67/H68)</f>
        <v>-1.3650264518956406E-2</v>
      </c>
    </row>
    <row r="68" spans="1:9" x14ac:dyDescent="0.2">
      <c r="A68" s="40" t="s">
        <v>91</v>
      </c>
      <c r="B68" s="42">
        <v>79.84</v>
      </c>
      <c r="D68" s="42"/>
      <c r="E68" s="40">
        <v>942</v>
      </c>
      <c r="F68" s="43">
        <v>119.12</v>
      </c>
      <c r="G68" s="40">
        <f t="shared" si="2"/>
        <v>-2.2987610291991537E-2</v>
      </c>
      <c r="H68" s="40">
        <v>141.25</v>
      </c>
      <c r="I68">
        <f t="shared" si="3"/>
        <v>5.1815426289240412E-3</v>
      </c>
    </row>
    <row r="69" spans="1:9" x14ac:dyDescent="0.2">
      <c r="A69" s="41">
        <v>38726</v>
      </c>
      <c r="B69" s="42">
        <v>77.19</v>
      </c>
      <c r="D69" s="42"/>
      <c r="E69" s="40">
        <v>941</v>
      </c>
      <c r="F69" s="43">
        <v>121.89</v>
      </c>
      <c r="G69" s="40">
        <f t="shared" si="2"/>
        <v>7.7768652423548731E-2</v>
      </c>
      <c r="H69" s="40">
        <v>140.52000000000001</v>
      </c>
      <c r="I69">
        <f t="shared" si="3"/>
        <v>-7.2325352500122939E-3</v>
      </c>
    </row>
    <row r="70" spans="1:9" x14ac:dyDescent="0.2">
      <c r="A70" s="41">
        <v>38846</v>
      </c>
      <c r="B70" s="42">
        <v>80.180000000000007</v>
      </c>
      <c r="D70" s="42"/>
      <c r="E70" s="40">
        <v>940</v>
      </c>
      <c r="F70" s="43">
        <v>112.77</v>
      </c>
      <c r="G70" s="40">
        <f t="shared" si="2"/>
        <v>3.6758552117032425E-2</v>
      </c>
      <c r="H70" s="40">
        <v>141.54</v>
      </c>
      <c r="I70">
        <f t="shared" si="3"/>
        <v>8.0156485210877634E-3</v>
      </c>
    </row>
    <row r="71" spans="1:9" x14ac:dyDescent="0.2">
      <c r="A71" s="41">
        <v>38877</v>
      </c>
      <c r="B71" s="42">
        <v>82.96</v>
      </c>
      <c r="D71" s="42"/>
      <c r="E71" s="40">
        <v>939</v>
      </c>
      <c r="F71" s="43">
        <v>108.7</v>
      </c>
      <c r="G71" s="40">
        <f t="shared" si="2"/>
        <v>-3.1958542901000732E-2</v>
      </c>
      <c r="H71" s="40">
        <v>140.41</v>
      </c>
      <c r="I71">
        <f t="shared" si="3"/>
        <v>6.0720978079774222E-3</v>
      </c>
    </row>
    <row r="72" spans="1:9" x14ac:dyDescent="0.2">
      <c r="A72" s="41">
        <v>38907</v>
      </c>
      <c r="B72" s="42">
        <v>86.18</v>
      </c>
      <c r="D72" s="42"/>
      <c r="E72" s="40">
        <v>938</v>
      </c>
      <c r="F72" s="43">
        <v>112.23</v>
      </c>
      <c r="G72" s="40">
        <f t="shared" si="2"/>
        <v>-4.5887996556049158E-2</v>
      </c>
      <c r="H72" s="40">
        <v>139.56</v>
      </c>
      <c r="I72">
        <f t="shared" si="3"/>
        <v>-2.8467399987712163E-2</v>
      </c>
    </row>
    <row r="73" spans="1:9" x14ac:dyDescent="0.2">
      <c r="A73" s="41">
        <v>38938</v>
      </c>
      <c r="B73" s="42">
        <v>83.7</v>
      </c>
      <c r="D73" s="42"/>
      <c r="E73" s="40">
        <v>937</v>
      </c>
      <c r="F73" s="43">
        <v>117.5</v>
      </c>
      <c r="G73" s="40">
        <f t="shared" si="2"/>
        <v>6.7413572124498056E-2</v>
      </c>
      <c r="H73" s="40">
        <v>143.59</v>
      </c>
      <c r="I73">
        <f t="shared" si="3"/>
        <v>-8.3536377987001502E-4</v>
      </c>
    </row>
    <row r="74" spans="1:9" x14ac:dyDescent="0.2">
      <c r="A74" s="41">
        <v>39030</v>
      </c>
      <c r="B74" s="42">
        <v>85.78</v>
      </c>
      <c r="D74" s="42"/>
      <c r="E74" s="40">
        <v>936</v>
      </c>
      <c r="F74" s="43">
        <v>109.84</v>
      </c>
      <c r="G74" s="40">
        <f t="shared" si="2"/>
        <v>1.5875534155035616E-2</v>
      </c>
      <c r="H74" s="40">
        <v>143.71</v>
      </c>
      <c r="I74">
        <f t="shared" si="3"/>
        <v>4.0543694928950949E-2</v>
      </c>
    </row>
    <row r="75" spans="1:9" x14ac:dyDescent="0.2">
      <c r="A75" s="41">
        <v>39060</v>
      </c>
      <c r="B75" s="42">
        <v>80.989999999999995</v>
      </c>
      <c r="D75" s="42"/>
      <c r="E75" s="40">
        <v>935</v>
      </c>
      <c r="F75" s="43">
        <v>108.11</v>
      </c>
      <c r="G75" s="40">
        <f t="shared" si="2"/>
        <v>7.2991499805549642E-2</v>
      </c>
      <c r="H75" s="40">
        <v>138</v>
      </c>
      <c r="I75">
        <f t="shared" si="3"/>
        <v>7.7838388130624554E-3</v>
      </c>
    </row>
    <row r="76" spans="1:9" x14ac:dyDescent="0.2">
      <c r="A76" s="40" t="s">
        <v>92</v>
      </c>
      <c r="B76" s="42">
        <v>81.55</v>
      </c>
      <c r="D76" s="42"/>
      <c r="E76" s="40">
        <v>934</v>
      </c>
      <c r="F76" s="43">
        <v>100.5</v>
      </c>
      <c r="G76" s="40">
        <f t="shared" si="2"/>
        <v>-2.4182835788740777E-2</v>
      </c>
      <c r="H76" s="40">
        <v>136.93</v>
      </c>
      <c r="I76">
        <f t="shared" si="3"/>
        <v>8.8759064281130479E-3</v>
      </c>
    </row>
    <row r="77" spans="1:9" x14ac:dyDescent="0.2">
      <c r="A77" s="40" t="s">
        <v>93</v>
      </c>
      <c r="B77" s="42">
        <v>81.93</v>
      </c>
      <c r="D77" s="42"/>
      <c r="E77" s="40">
        <v>933</v>
      </c>
      <c r="F77" s="43">
        <v>102.96</v>
      </c>
      <c r="G77" s="40">
        <f t="shared" si="2"/>
        <v>1.971521852902465E-2</v>
      </c>
      <c r="H77" s="40">
        <v>135.72</v>
      </c>
      <c r="I77">
        <f t="shared" si="3"/>
        <v>3.0826921024812545E-2</v>
      </c>
    </row>
    <row r="78" spans="1:9" x14ac:dyDescent="0.2">
      <c r="A78" s="40" t="s">
        <v>94</v>
      </c>
      <c r="B78" s="42">
        <v>59.52</v>
      </c>
      <c r="D78" s="42"/>
      <c r="E78" s="40">
        <v>932</v>
      </c>
      <c r="F78" s="43">
        <v>100.95</v>
      </c>
      <c r="G78" s="40">
        <f t="shared" si="2"/>
        <v>-4.7775474683516575E-2</v>
      </c>
      <c r="H78" s="40">
        <v>131.6</v>
      </c>
      <c r="I78">
        <f t="shared" si="3"/>
        <v>-4.799378403684413E-2</v>
      </c>
    </row>
    <row r="79" spans="1:9" x14ac:dyDescent="0.2">
      <c r="A79" s="40" t="s">
        <v>95</v>
      </c>
      <c r="B79" s="42">
        <v>80.97</v>
      </c>
      <c r="D79" s="42"/>
      <c r="E79" s="40">
        <v>931</v>
      </c>
      <c r="F79" s="43">
        <v>105.89</v>
      </c>
      <c r="G79" s="40">
        <f t="shared" si="2"/>
        <v>-5.2699425917924488E-2</v>
      </c>
      <c r="H79" s="40">
        <v>138.07</v>
      </c>
      <c r="I79">
        <f t="shared" si="3"/>
        <v>2.3968604449854193E-2</v>
      </c>
    </row>
    <row r="80" spans="1:9" x14ac:dyDescent="0.2">
      <c r="A80" s="40" t="s">
        <v>96</v>
      </c>
      <c r="B80" s="42">
        <v>81.77</v>
      </c>
      <c r="D80" s="42"/>
      <c r="E80" s="40">
        <v>930</v>
      </c>
      <c r="F80" s="43">
        <v>111.62</v>
      </c>
      <c r="G80" s="40">
        <f t="shared" si="2"/>
        <v>-1.1402225795328869E-2</v>
      </c>
      <c r="H80" s="40">
        <v>134.80000000000001</v>
      </c>
      <c r="I80">
        <f t="shared" si="3"/>
        <v>-7.4181224765981015E-5</v>
      </c>
    </row>
    <row r="81" spans="1:9" x14ac:dyDescent="0.2">
      <c r="A81" s="40" t="s">
        <v>97</v>
      </c>
      <c r="B81" s="42">
        <v>80.83</v>
      </c>
      <c r="D81" s="42"/>
      <c r="E81" s="40">
        <v>929</v>
      </c>
      <c r="F81" s="43">
        <v>112.9</v>
      </c>
      <c r="G81" s="40">
        <f t="shared" si="2"/>
        <v>5.1619672756224824E-2</v>
      </c>
      <c r="H81" s="40">
        <v>134.81</v>
      </c>
      <c r="I81">
        <f t="shared" si="3"/>
        <v>1.6152299119223994E-2</v>
      </c>
    </row>
    <row r="82" spans="1:9" x14ac:dyDescent="0.2">
      <c r="A82" s="40" t="s">
        <v>98</v>
      </c>
      <c r="B82" s="42">
        <v>85.95</v>
      </c>
      <c r="D82" s="42"/>
      <c r="E82" s="40">
        <v>928</v>
      </c>
      <c r="F82" s="43">
        <v>107.22</v>
      </c>
      <c r="G82" s="40">
        <f t="shared" si="2"/>
        <v>-6.122792684929549E-2</v>
      </c>
      <c r="H82" s="40">
        <v>132.65</v>
      </c>
      <c r="I82">
        <f t="shared" si="3"/>
        <v>-1.8076377596675597E-3</v>
      </c>
    </row>
    <row r="83" spans="1:9" x14ac:dyDescent="0.2">
      <c r="A83" s="40" t="s">
        <v>99</v>
      </c>
      <c r="B83" s="42">
        <v>85.74</v>
      </c>
      <c r="D83" s="42"/>
      <c r="E83" s="40">
        <v>927</v>
      </c>
      <c r="F83" s="43">
        <v>113.99</v>
      </c>
      <c r="G83" s="40">
        <f t="shared" si="2"/>
        <v>-2.9731686128302653E-2</v>
      </c>
      <c r="H83" s="40">
        <v>132.88999999999999</v>
      </c>
      <c r="I83">
        <f t="shared" si="3"/>
        <v>3.9681350496835091E-2</v>
      </c>
    </row>
    <row r="84" spans="1:9" x14ac:dyDescent="0.2">
      <c r="A84" s="40" t="s">
        <v>100</v>
      </c>
      <c r="B84" s="42">
        <v>82.01</v>
      </c>
      <c r="D84" s="42"/>
      <c r="E84" s="40">
        <v>926</v>
      </c>
      <c r="F84" s="43">
        <v>117.43</v>
      </c>
      <c r="G84" s="40">
        <f t="shared" si="2"/>
        <v>-1.6301725078460904E-2</v>
      </c>
      <c r="H84" s="40">
        <v>127.72</v>
      </c>
      <c r="I84">
        <f t="shared" si="3"/>
        <v>2.216683543170344E-2</v>
      </c>
    </row>
    <row r="85" spans="1:9" x14ac:dyDescent="0.2">
      <c r="A85" s="40" t="s">
        <v>101</v>
      </c>
      <c r="B85" s="42">
        <v>81.59</v>
      </c>
      <c r="D85" s="42"/>
      <c r="E85" s="40">
        <v>925</v>
      </c>
      <c r="F85" s="43">
        <v>119.36</v>
      </c>
      <c r="G85" s="40">
        <f t="shared" si="2"/>
        <v>3.8778451715960068E-2</v>
      </c>
      <c r="H85" s="40">
        <v>124.92</v>
      </c>
      <c r="I85">
        <f t="shared" si="3"/>
        <v>1.6709433447689864E-2</v>
      </c>
    </row>
    <row r="86" spans="1:9" x14ac:dyDescent="0.2">
      <c r="A86" s="40" t="s">
        <v>102</v>
      </c>
      <c r="B86" s="42">
        <v>81.08</v>
      </c>
      <c r="D86" s="42"/>
      <c r="E86" s="40">
        <v>924</v>
      </c>
      <c r="F86" s="43">
        <v>114.82</v>
      </c>
      <c r="G86" s="40">
        <f t="shared" si="2"/>
        <v>-6.5398193318095044E-2</v>
      </c>
      <c r="H86" s="40">
        <v>122.85</v>
      </c>
      <c r="I86">
        <f t="shared" si="3"/>
        <v>3.3101905160985295E-2</v>
      </c>
    </row>
    <row r="87" spans="1:9" x14ac:dyDescent="0.2">
      <c r="A87" s="40" t="s">
        <v>103</v>
      </c>
      <c r="B87" s="42">
        <v>84.74</v>
      </c>
      <c r="D87" s="42"/>
      <c r="E87" s="40">
        <v>923</v>
      </c>
      <c r="F87" s="43">
        <v>122.58</v>
      </c>
      <c r="G87" s="40">
        <f t="shared" si="2"/>
        <v>0.1025725780107662</v>
      </c>
      <c r="H87" s="40">
        <v>118.85</v>
      </c>
      <c r="I87">
        <f t="shared" si="3"/>
        <v>1.5688259008446757E-2</v>
      </c>
    </row>
    <row r="88" spans="1:9" x14ac:dyDescent="0.2">
      <c r="A88" s="40" t="s">
        <v>104</v>
      </c>
      <c r="B88" s="42">
        <v>84.31</v>
      </c>
      <c r="D88" s="42"/>
      <c r="E88" s="40">
        <v>922</v>
      </c>
      <c r="F88" s="43">
        <v>110.63</v>
      </c>
      <c r="G88" s="40">
        <f t="shared" si="2"/>
        <v>-4.4290617101325806E-2</v>
      </c>
      <c r="H88" s="40">
        <v>117</v>
      </c>
      <c r="I88">
        <f t="shared" si="3"/>
        <v>-3.7246378849563687E-2</v>
      </c>
    </row>
    <row r="89" spans="1:9" x14ac:dyDescent="0.2">
      <c r="A89" s="41">
        <v>38758</v>
      </c>
      <c r="B89" s="42">
        <v>85.46</v>
      </c>
      <c r="D89" s="42"/>
      <c r="E89" s="40">
        <v>921</v>
      </c>
      <c r="F89" s="43">
        <v>115.64</v>
      </c>
      <c r="G89" s="40">
        <f t="shared" si="2"/>
        <v>6.8628506389096358E-2</v>
      </c>
      <c r="H89" s="40">
        <v>121.44</v>
      </c>
      <c r="I89">
        <f t="shared" si="3"/>
        <v>3.2943502192181391E-4</v>
      </c>
    </row>
    <row r="90" spans="1:9" x14ac:dyDescent="0.2">
      <c r="A90" s="41">
        <v>38786</v>
      </c>
      <c r="B90" s="42">
        <v>86.57</v>
      </c>
      <c r="D90" s="42"/>
      <c r="E90" s="40">
        <v>920</v>
      </c>
      <c r="F90" s="43">
        <v>107.97</v>
      </c>
      <c r="G90" s="40">
        <f t="shared" si="2"/>
        <v>-1.9898873075286452E-2</v>
      </c>
      <c r="H90" s="40">
        <v>121.4</v>
      </c>
      <c r="I90">
        <f t="shared" si="3"/>
        <v>-2.1513215606850308E-2</v>
      </c>
    </row>
    <row r="91" spans="1:9" x14ac:dyDescent="0.2">
      <c r="A91" s="41">
        <v>38817</v>
      </c>
      <c r="B91" s="42">
        <v>82.5</v>
      </c>
      <c r="D91" s="42"/>
      <c r="E91" s="40">
        <v>919</v>
      </c>
      <c r="F91" s="43">
        <v>110.14</v>
      </c>
      <c r="G91" s="40">
        <f t="shared" si="2"/>
        <v>0.10320397415513087</v>
      </c>
      <c r="H91" s="40">
        <v>124.04</v>
      </c>
      <c r="I91">
        <f t="shared" si="3"/>
        <v>4.2819697823250902E-3</v>
      </c>
    </row>
    <row r="92" spans="1:9" x14ac:dyDescent="0.2">
      <c r="A92" s="41">
        <v>38847</v>
      </c>
      <c r="B92" s="42">
        <v>87.5</v>
      </c>
      <c r="D92" s="42"/>
      <c r="E92" s="40">
        <v>918</v>
      </c>
      <c r="F92" s="43">
        <v>99.34</v>
      </c>
      <c r="G92" s="40">
        <f t="shared" si="2"/>
        <v>-1.9932890368559296E-2</v>
      </c>
      <c r="H92" s="40">
        <v>123.51</v>
      </c>
      <c r="I92">
        <f t="shared" si="3"/>
        <v>2.1606536578557402E-2</v>
      </c>
    </row>
    <row r="93" spans="1:9" x14ac:dyDescent="0.2">
      <c r="A93" s="41">
        <v>38878</v>
      </c>
      <c r="B93" s="42">
        <v>85.63</v>
      </c>
      <c r="D93" s="42"/>
      <c r="E93" s="40">
        <v>917</v>
      </c>
      <c r="F93" s="43">
        <v>101.34</v>
      </c>
      <c r="G93" s="40">
        <f t="shared" si="2"/>
        <v>0.12022829640574992</v>
      </c>
      <c r="H93" s="40">
        <v>120.87</v>
      </c>
      <c r="I93">
        <f t="shared" si="3"/>
        <v>3.8886525598161081E-2</v>
      </c>
    </row>
    <row r="94" spans="1:9" x14ac:dyDescent="0.2">
      <c r="A94" s="41">
        <v>38970</v>
      </c>
      <c r="B94" s="42">
        <v>84.76</v>
      </c>
      <c r="D94" s="42"/>
      <c r="E94" s="40">
        <v>916</v>
      </c>
      <c r="F94" s="43">
        <v>89.86</v>
      </c>
      <c r="G94" s="40">
        <f t="shared" si="2"/>
        <v>-6.8759281658511652E-3</v>
      </c>
      <c r="H94" s="40">
        <v>116.26</v>
      </c>
      <c r="I94">
        <f t="shared" si="3"/>
        <v>2.2388711668398825E-3</v>
      </c>
    </row>
    <row r="95" spans="1:9" x14ac:dyDescent="0.2">
      <c r="A95" s="41">
        <v>39000</v>
      </c>
      <c r="B95" s="42">
        <v>83.62</v>
      </c>
      <c r="D95" s="42"/>
      <c r="E95" s="40">
        <v>915</v>
      </c>
      <c r="F95" s="43">
        <v>90.48</v>
      </c>
      <c r="G95" s="40">
        <f t="shared" si="2"/>
        <v>-4.9611479299564382E-3</v>
      </c>
      <c r="H95" s="40">
        <v>116</v>
      </c>
      <c r="I95">
        <f t="shared" si="3"/>
        <v>-1.5992131132113445E-2</v>
      </c>
    </row>
    <row r="96" spans="1:9" x14ac:dyDescent="0.2">
      <c r="A96" s="41">
        <v>39031</v>
      </c>
      <c r="B96" s="42">
        <v>88.4</v>
      </c>
      <c r="D96" s="42"/>
      <c r="E96" s="40">
        <v>914</v>
      </c>
      <c r="F96" s="43">
        <v>90.93</v>
      </c>
      <c r="G96" s="40">
        <f t="shared" si="2"/>
        <v>-3.7557020006603645E-2</v>
      </c>
      <c r="H96" s="40">
        <v>117.87</v>
      </c>
      <c r="I96">
        <f t="shared" si="3"/>
        <v>3.8925516208970862E-2</v>
      </c>
    </row>
    <row r="97" spans="1:9" x14ac:dyDescent="0.2">
      <c r="A97" s="41">
        <v>39061</v>
      </c>
      <c r="B97" s="42">
        <v>86.87</v>
      </c>
      <c r="D97" s="42"/>
      <c r="E97" s="40">
        <v>913</v>
      </c>
      <c r="F97" s="43">
        <v>94.41</v>
      </c>
      <c r="G97" s="40">
        <f t="shared" si="2"/>
        <v>1.4839943363661608E-3</v>
      </c>
      <c r="H97" s="40">
        <v>113.37</v>
      </c>
      <c r="I97">
        <f t="shared" si="3"/>
        <v>-1.9392641276668576E-2</v>
      </c>
    </row>
    <row r="98" spans="1:9" x14ac:dyDescent="0.2">
      <c r="A98" s="40" t="s">
        <v>105</v>
      </c>
      <c r="B98" s="42">
        <v>86.61</v>
      </c>
      <c r="D98" s="42"/>
      <c r="E98" s="40">
        <v>912</v>
      </c>
      <c r="F98" s="43">
        <v>94.27</v>
      </c>
      <c r="G98" s="40">
        <f t="shared" si="2"/>
        <v>-3.3279032007301111E-2</v>
      </c>
      <c r="H98" s="40">
        <v>115.59</v>
      </c>
      <c r="I98">
        <f t="shared" si="3"/>
        <v>-1.0242375549215622E-2</v>
      </c>
    </row>
    <row r="99" spans="1:9" x14ac:dyDescent="0.2">
      <c r="A99" s="40" t="s">
        <v>106</v>
      </c>
      <c r="B99" s="42">
        <v>82.29</v>
      </c>
      <c r="D99" s="42"/>
      <c r="E99" s="40">
        <v>911</v>
      </c>
      <c r="F99" s="43">
        <v>97.46</v>
      </c>
      <c r="G99" s="40">
        <f t="shared" si="2"/>
        <v>-7.8605188173498319E-2</v>
      </c>
      <c r="H99" s="40">
        <v>116.78</v>
      </c>
      <c r="I99">
        <f t="shared" si="3"/>
        <v>-1.9671653505862762E-2</v>
      </c>
    </row>
    <row r="100" spans="1:9" x14ac:dyDescent="0.2">
      <c r="A100" s="40" t="s">
        <v>107</v>
      </c>
      <c r="B100" s="42">
        <v>66.989999999999995</v>
      </c>
      <c r="D100" s="42"/>
      <c r="E100" s="40">
        <v>910</v>
      </c>
      <c r="F100" s="43">
        <v>105.43</v>
      </c>
      <c r="G100" s="40">
        <f t="shared" si="2"/>
        <v>-1.6555735114569696E-2</v>
      </c>
      <c r="H100" s="40">
        <v>119.1</v>
      </c>
      <c r="I100">
        <f t="shared" si="3"/>
        <v>-3.3579583928697982E-4</v>
      </c>
    </row>
    <row r="101" spans="1:9" x14ac:dyDescent="0.2">
      <c r="A101" s="40" t="s">
        <v>108</v>
      </c>
      <c r="B101" s="42">
        <v>79.099999999999994</v>
      </c>
      <c r="D101" s="42"/>
      <c r="E101" s="40">
        <v>909</v>
      </c>
      <c r="F101" s="43">
        <v>107.19</v>
      </c>
      <c r="G101" s="40">
        <f t="shared" si="2"/>
        <v>4.8630040660366039E-3</v>
      </c>
      <c r="H101" s="40">
        <v>119.14</v>
      </c>
      <c r="I101">
        <f t="shared" si="3"/>
        <v>1.8894864181813922E-2</v>
      </c>
    </row>
    <row r="102" spans="1:9" x14ac:dyDescent="0.2">
      <c r="A102" s="40" t="s">
        <v>109</v>
      </c>
      <c r="B102" s="42">
        <v>77.709999999999994</v>
      </c>
      <c r="D102" s="42"/>
      <c r="E102" s="40">
        <v>908</v>
      </c>
      <c r="F102" s="43">
        <v>106.67</v>
      </c>
      <c r="G102" s="40">
        <f t="shared" si="2"/>
        <v>4.5944306526135167E-2</v>
      </c>
      <c r="H102" s="40">
        <v>116.91</v>
      </c>
      <c r="I102">
        <f t="shared" si="3"/>
        <v>7.8347683373565069E-2</v>
      </c>
    </row>
    <row r="103" spans="1:9" x14ac:dyDescent="0.2">
      <c r="A103" s="40" t="s">
        <v>110</v>
      </c>
      <c r="B103" s="42">
        <v>78.599999999999994</v>
      </c>
      <c r="D103" s="42"/>
      <c r="E103" s="40">
        <v>907</v>
      </c>
      <c r="F103" s="43">
        <v>101.88</v>
      </c>
      <c r="G103" s="40">
        <f t="shared" si="2"/>
        <v>-2.0018159469039613E-2</v>
      </c>
      <c r="H103" s="40">
        <v>108.1</v>
      </c>
      <c r="I103">
        <f t="shared" si="3"/>
        <v>1.5193469318647681E-2</v>
      </c>
    </row>
    <row r="104" spans="1:9" x14ac:dyDescent="0.2">
      <c r="A104" s="40" t="s">
        <v>111</v>
      </c>
      <c r="B104" s="42">
        <v>84.73</v>
      </c>
      <c r="D104" s="42"/>
      <c r="E104" s="40">
        <v>906</v>
      </c>
      <c r="F104" s="43">
        <v>103.94</v>
      </c>
      <c r="G104" s="40">
        <f t="shared" si="2"/>
        <v>1.0056166740291817E-2</v>
      </c>
      <c r="H104" s="40">
        <v>106.47</v>
      </c>
      <c r="I104">
        <f t="shared" si="3"/>
        <v>3.4786116085415604E-2</v>
      </c>
    </row>
    <row r="105" spans="1:9" x14ac:dyDescent="0.2">
      <c r="A105" s="40" t="s">
        <v>112</v>
      </c>
      <c r="B105" s="42">
        <v>87.39</v>
      </c>
      <c r="D105" s="42"/>
      <c r="E105" s="40">
        <v>905</v>
      </c>
      <c r="F105" s="43">
        <v>102.9</v>
      </c>
      <c r="G105" s="40">
        <f t="shared" si="2"/>
        <v>-4.0938605796697621E-2</v>
      </c>
      <c r="H105" s="40">
        <v>102.83</v>
      </c>
      <c r="I105">
        <f t="shared" si="3"/>
        <v>-4.1712388627049075E-2</v>
      </c>
    </row>
    <row r="106" spans="1:9" x14ac:dyDescent="0.2">
      <c r="A106" s="40" t="s">
        <v>113</v>
      </c>
      <c r="B106" s="42">
        <v>85.9</v>
      </c>
      <c r="D106" s="42"/>
      <c r="E106" s="40">
        <v>904</v>
      </c>
      <c r="F106" s="43">
        <v>107.2</v>
      </c>
      <c r="G106" s="40">
        <f t="shared" si="2"/>
        <v>-3.3481687425618731E-2</v>
      </c>
      <c r="H106" s="40">
        <v>107.21</v>
      </c>
      <c r="I106">
        <f t="shared" si="3"/>
        <v>9.371261534700203E-3</v>
      </c>
    </row>
    <row r="107" spans="1:9" x14ac:dyDescent="0.2">
      <c r="A107" s="40" t="s">
        <v>114</v>
      </c>
      <c r="B107" s="42">
        <v>81.599999999999994</v>
      </c>
      <c r="D107" s="42"/>
      <c r="E107" s="40">
        <v>903</v>
      </c>
      <c r="F107" s="43">
        <v>110.85</v>
      </c>
      <c r="G107" s="40">
        <f t="shared" si="2"/>
        <v>-7.3714828319243919E-2</v>
      </c>
      <c r="H107" s="40">
        <v>106.21</v>
      </c>
      <c r="I107">
        <f t="shared" si="3"/>
        <v>-1.6712960790771555E-2</v>
      </c>
    </row>
    <row r="108" spans="1:9" x14ac:dyDescent="0.2">
      <c r="A108" s="40" t="s">
        <v>115</v>
      </c>
      <c r="B108" s="42">
        <v>82.71</v>
      </c>
      <c r="D108" s="42"/>
      <c r="E108" s="40">
        <v>902</v>
      </c>
      <c r="F108" s="43">
        <v>119.33</v>
      </c>
      <c r="G108" s="40">
        <f t="shared" si="2"/>
        <v>3.6873683277074243E-2</v>
      </c>
      <c r="H108" s="40">
        <v>108</v>
      </c>
      <c r="I108">
        <f t="shared" si="3"/>
        <v>-0.10009668598272735</v>
      </c>
    </row>
    <row r="109" spans="1:9" x14ac:dyDescent="0.2">
      <c r="A109" s="40" t="s">
        <v>116</v>
      </c>
      <c r="B109" s="42">
        <v>80.16</v>
      </c>
      <c r="D109" s="42"/>
      <c r="E109" s="40">
        <v>901</v>
      </c>
      <c r="F109" s="43">
        <v>115.01</v>
      </c>
      <c r="G109" s="40">
        <f t="shared" si="2"/>
        <v>-7.0979130475162272E-2</v>
      </c>
      <c r="H109" s="40">
        <v>119.37</v>
      </c>
      <c r="I109">
        <f t="shared" si="3"/>
        <v>1.5023915271622633E-2</v>
      </c>
    </row>
    <row r="110" spans="1:9" x14ac:dyDescent="0.2">
      <c r="A110" s="40" t="s">
        <v>117</v>
      </c>
      <c r="B110" s="42">
        <v>76.400000000000006</v>
      </c>
      <c r="D110" s="42"/>
      <c r="E110" s="40">
        <v>900</v>
      </c>
      <c r="F110" s="43">
        <v>123.47</v>
      </c>
      <c r="G110" s="40">
        <f t="shared" si="2"/>
        <v>-4.9919548120015318E-2</v>
      </c>
      <c r="H110" s="40">
        <v>117.59</v>
      </c>
      <c r="I110">
        <f t="shared" si="3"/>
        <v>-6.597787086383719E-2</v>
      </c>
    </row>
    <row r="111" spans="1:9" x14ac:dyDescent="0.2">
      <c r="A111" s="41">
        <v>38728</v>
      </c>
      <c r="B111" s="42">
        <v>78.89</v>
      </c>
      <c r="D111" s="42"/>
      <c r="E111" s="40">
        <v>899</v>
      </c>
      <c r="F111" s="43">
        <v>129.79</v>
      </c>
      <c r="G111" s="40">
        <f t="shared" si="2"/>
        <v>0.32549945094127297</v>
      </c>
      <c r="H111" s="40">
        <v>125.61</v>
      </c>
      <c r="I111">
        <f t="shared" si="3"/>
        <v>-2.1189402922429205E-2</v>
      </c>
    </row>
    <row r="112" spans="1:9" x14ac:dyDescent="0.2">
      <c r="A112" s="41">
        <v>38759</v>
      </c>
      <c r="B112" s="42">
        <v>77.08</v>
      </c>
      <c r="D112" s="42"/>
      <c r="E112" s="40">
        <v>898</v>
      </c>
      <c r="F112" s="43">
        <v>93.73</v>
      </c>
      <c r="G112" s="40">
        <f t="shared" si="2"/>
        <v>-3.51170721000061E-2</v>
      </c>
      <c r="H112" s="40">
        <v>128.30000000000001</v>
      </c>
      <c r="I112">
        <f t="shared" si="3"/>
        <v>1.4445218991123788E-2</v>
      </c>
    </row>
    <row r="113" spans="1:9" x14ac:dyDescent="0.2">
      <c r="A113" s="41">
        <v>38787</v>
      </c>
      <c r="B113" s="42">
        <v>75.19</v>
      </c>
      <c r="D113" s="42"/>
      <c r="E113" s="40">
        <v>897</v>
      </c>
      <c r="F113" s="43">
        <v>97.08</v>
      </c>
      <c r="G113" s="40">
        <f t="shared" si="2"/>
        <v>-9.0918033546589186E-2</v>
      </c>
      <c r="H113" s="40">
        <v>126.46</v>
      </c>
      <c r="I113">
        <f t="shared" si="3"/>
        <v>-2.2750463299343521E-2</v>
      </c>
    </row>
    <row r="114" spans="1:9" x14ac:dyDescent="0.2">
      <c r="A114" s="41">
        <v>38879</v>
      </c>
      <c r="B114" s="42">
        <v>70.459999999999994</v>
      </c>
      <c r="D114" s="42"/>
      <c r="E114" s="40">
        <v>896</v>
      </c>
      <c r="F114" s="43">
        <v>106.32</v>
      </c>
      <c r="G114" s="40">
        <f t="shared" si="2"/>
        <v>0.12902688050341804</v>
      </c>
      <c r="H114" s="40">
        <v>129.37</v>
      </c>
      <c r="I114">
        <f t="shared" si="3"/>
        <v>4.449392582696797E-2</v>
      </c>
    </row>
    <row r="115" spans="1:9" x14ac:dyDescent="0.2">
      <c r="A115" s="41">
        <v>38909</v>
      </c>
      <c r="B115" s="42">
        <v>67.5</v>
      </c>
      <c r="D115" s="42"/>
      <c r="E115" s="40">
        <v>895</v>
      </c>
      <c r="F115" s="43">
        <v>93.45</v>
      </c>
      <c r="G115" s="40">
        <f t="shared" si="2"/>
        <v>-7.4520636365543361E-2</v>
      </c>
      <c r="H115" s="40">
        <v>123.74</v>
      </c>
      <c r="I115">
        <f t="shared" si="3"/>
        <v>-3.7746314232431778E-2</v>
      </c>
    </row>
    <row r="116" spans="1:9" x14ac:dyDescent="0.2">
      <c r="A116" s="41">
        <v>38940</v>
      </c>
      <c r="B116" s="42">
        <v>62.08</v>
      </c>
      <c r="D116" s="42"/>
      <c r="E116" s="40">
        <v>894</v>
      </c>
      <c r="F116" s="43">
        <v>100.68</v>
      </c>
      <c r="G116" s="40">
        <f t="shared" si="2"/>
        <v>1.4607563394212366E-2</v>
      </c>
      <c r="H116" s="40">
        <v>128.5</v>
      </c>
      <c r="I116">
        <f t="shared" si="3"/>
        <v>9.7752489046424654E-3</v>
      </c>
    </row>
    <row r="117" spans="1:9" x14ac:dyDescent="0.2">
      <c r="A117" s="41">
        <v>38971</v>
      </c>
      <c r="B117" s="42">
        <v>60.42</v>
      </c>
      <c r="D117" s="42"/>
      <c r="E117" s="40">
        <v>893</v>
      </c>
      <c r="F117" s="43">
        <v>99.22</v>
      </c>
      <c r="G117" s="40">
        <f t="shared" si="2"/>
        <v>-0.12588024588900282</v>
      </c>
      <c r="H117" s="40">
        <v>127.25</v>
      </c>
      <c r="I117">
        <f t="shared" si="3"/>
        <v>-2.1380795024950331E-2</v>
      </c>
    </row>
    <row r="118" spans="1:9" x14ac:dyDescent="0.2">
      <c r="A118" s="41">
        <v>39001</v>
      </c>
      <c r="B118" s="42">
        <v>61.06</v>
      </c>
      <c r="D118" s="42"/>
      <c r="E118" s="40">
        <v>892</v>
      </c>
      <c r="F118" s="43">
        <v>112.53</v>
      </c>
      <c r="G118" s="40">
        <f t="shared" si="2"/>
        <v>5.3011270594592125E-2</v>
      </c>
      <c r="H118" s="40">
        <v>130</v>
      </c>
      <c r="I118">
        <f t="shared" si="3"/>
        <v>4.2586370629583002E-2</v>
      </c>
    </row>
    <row r="119" spans="1:9" x14ac:dyDescent="0.2">
      <c r="A119" s="40" t="s">
        <v>118</v>
      </c>
      <c r="B119" s="42">
        <v>36.14</v>
      </c>
      <c r="D119" s="42"/>
      <c r="E119" s="40">
        <v>891</v>
      </c>
      <c r="F119" s="43">
        <v>106.72</v>
      </c>
      <c r="G119" s="40">
        <f t="shared" si="2"/>
        <v>4.7788042772694661E-2</v>
      </c>
      <c r="H119" s="40">
        <v>124.58</v>
      </c>
      <c r="I119">
        <f t="shared" si="3"/>
        <v>1.3902584090218092E-2</v>
      </c>
    </row>
    <row r="120" spans="1:9" x14ac:dyDescent="0.2">
      <c r="A120" s="40" t="s">
        <v>119</v>
      </c>
      <c r="B120" s="42">
        <v>60.77</v>
      </c>
      <c r="D120" s="42"/>
      <c r="E120" s="40">
        <v>890</v>
      </c>
      <c r="F120" s="43">
        <v>101.74</v>
      </c>
      <c r="G120" s="40">
        <f t="shared" si="2"/>
        <v>2.9120525977015067E-2</v>
      </c>
      <c r="H120" s="40">
        <v>122.86</v>
      </c>
      <c r="I120">
        <f t="shared" si="3"/>
        <v>3.9683134883619096E-2</v>
      </c>
    </row>
    <row r="121" spans="1:9" x14ac:dyDescent="0.2">
      <c r="A121" s="40" t="s">
        <v>120</v>
      </c>
      <c r="B121" s="42">
        <v>58.58</v>
      </c>
      <c r="D121" s="42"/>
      <c r="E121" s="40">
        <v>889</v>
      </c>
      <c r="F121" s="43">
        <v>98.82</v>
      </c>
      <c r="G121" s="40">
        <f t="shared" si="2"/>
        <v>-4.5498353550471576E-2</v>
      </c>
      <c r="H121" s="40">
        <v>118.08</v>
      </c>
      <c r="I121">
        <f t="shared" si="3"/>
        <v>1.6566000908258448E-2</v>
      </c>
    </row>
    <row r="122" spans="1:9" x14ac:dyDescent="0.2">
      <c r="A122" s="40" t="s">
        <v>121</v>
      </c>
      <c r="B122" s="42">
        <v>62.48</v>
      </c>
      <c r="D122" s="42"/>
      <c r="E122" s="40">
        <v>888</v>
      </c>
      <c r="F122" s="43">
        <v>103.42</v>
      </c>
      <c r="G122" s="40">
        <f t="shared" si="2"/>
        <v>-1.9154004458985421E-2</v>
      </c>
      <c r="H122" s="40">
        <v>116.14</v>
      </c>
      <c r="I122">
        <f t="shared" si="3"/>
        <v>6.3265008307769016E-2</v>
      </c>
    </row>
    <row r="123" spans="1:9" x14ac:dyDescent="0.2">
      <c r="A123" s="40" t="s">
        <v>122</v>
      </c>
      <c r="B123" s="42">
        <v>64.3</v>
      </c>
      <c r="D123" s="42"/>
      <c r="E123" s="40">
        <v>887</v>
      </c>
      <c r="F123" s="43">
        <v>105.42</v>
      </c>
      <c r="G123" s="40">
        <f t="shared" si="2"/>
        <v>-2.2418047123965765E-2</v>
      </c>
      <c r="H123" s="40">
        <v>109.02</v>
      </c>
      <c r="I123">
        <f t="shared" si="3"/>
        <v>3.9954792833887635E-2</v>
      </c>
    </row>
    <row r="124" spans="1:9" x14ac:dyDescent="0.2">
      <c r="A124" s="40" t="s">
        <v>123</v>
      </c>
      <c r="B124" s="42">
        <v>65.98</v>
      </c>
      <c r="D124" s="42"/>
      <c r="E124" s="40">
        <v>886</v>
      </c>
      <c r="F124" s="43">
        <v>107.81</v>
      </c>
      <c r="G124" s="40">
        <f t="shared" si="2"/>
        <v>-5.4862651735233123E-2</v>
      </c>
      <c r="H124" s="40">
        <v>104.75</v>
      </c>
      <c r="I124">
        <f t="shared" si="3"/>
        <v>-2.0980362454592664E-3</v>
      </c>
    </row>
    <row r="125" spans="1:9" x14ac:dyDescent="0.2">
      <c r="A125" s="40" t="s">
        <v>124</v>
      </c>
      <c r="B125" s="42">
        <v>65.3</v>
      </c>
      <c r="D125" s="42"/>
      <c r="E125" s="40">
        <v>885</v>
      </c>
      <c r="F125" s="43">
        <v>113.89</v>
      </c>
      <c r="G125" s="40">
        <f t="shared" si="2"/>
        <v>-6.8296050193410299E-2</v>
      </c>
      <c r="H125" s="40">
        <v>104.97</v>
      </c>
      <c r="I125">
        <f t="shared" si="3"/>
        <v>5.9464249295957082E-2</v>
      </c>
    </row>
    <row r="126" spans="1:9" x14ac:dyDescent="0.2">
      <c r="A126" s="40" t="s">
        <v>125</v>
      </c>
      <c r="B126" s="42">
        <v>63.62</v>
      </c>
      <c r="D126" s="42"/>
      <c r="E126" s="40">
        <v>884</v>
      </c>
      <c r="F126" s="43">
        <v>121.94</v>
      </c>
      <c r="G126" s="40">
        <f t="shared" si="2"/>
        <v>6.1819570352751763E-2</v>
      </c>
      <c r="H126" s="40">
        <v>98.91</v>
      </c>
      <c r="I126">
        <f t="shared" si="3"/>
        <v>-5.2581514927161482E-2</v>
      </c>
    </row>
    <row r="127" spans="1:9" x14ac:dyDescent="0.2">
      <c r="A127" s="40" t="s">
        <v>126</v>
      </c>
      <c r="B127" s="42">
        <v>66.48</v>
      </c>
      <c r="D127" s="42"/>
      <c r="E127" s="40">
        <v>883</v>
      </c>
      <c r="F127" s="43">
        <v>114.63</v>
      </c>
      <c r="G127" s="40">
        <f t="shared" si="2"/>
        <v>-0.15866434971180018</v>
      </c>
      <c r="H127" s="40">
        <v>104.25</v>
      </c>
      <c r="I127">
        <f t="shared" si="3"/>
        <v>3.7131769417967295E-2</v>
      </c>
    </row>
    <row r="128" spans="1:9" x14ac:dyDescent="0.2">
      <c r="A128" s="40" t="s">
        <v>127</v>
      </c>
      <c r="B128" s="42">
        <v>71.599999999999994</v>
      </c>
      <c r="D128" s="42"/>
      <c r="E128" s="40">
        <v>882</v>
      </c>
      <c r="F128" s="43">
        <v>134.34</v>
      </c>
      <c r="G128" s="40">
        <f t="shared" si="2"/>
        <v>-0.11849407918401365</v>
      </c>
      <c r="H128" s="40">
        <v>100.45</v>
      </c>
      <c r="I128">
        <f t="shared" si="3"/>
        <v>-6.5688929348394431E-2</v>
      </c>
    </row>
    <row r="129" spans="1:9" x14ac:dyDescent="0.2">
      <c r="A129" s="40" t="s">
        <v>128</v>
      </c>
      <c r="B129" s="42">
        <v>66.56</v>
      </c>
      <c r="D129" s="42"/>
      <c r="E129" s="40">
        <v>881</v>
      </c>
      <c r="F129" s="43">
        <v>151.24</v>
      </c>
      <c r="G129" s="40">
        <f t="shared" si="2"/>
        <v>7.6328648545088773E-3</v>
      </c>
      <c r="H129" s="40">
        <v>107.27</v>
      </c>
      <c r="I129">
        <f t="shared" si="3"/>
        <v>-1.7923613600299107E-2</v>
      </c>
    </row>
    <row r="130" spans="1:9" x14ac:dyDescent="0.2">
      <c r="A130" s="40" t="s">
        <v>129</v>
      </c>
      <c r="B130" s="42">
        <v>60.3</v>
      </c>
      <c r="D130" s="42"/>
      <c r="E130" s="40">
        <v>880</v>
      </c>
      <c r="F130" s="43">
        <v>150.09</v>
      </c>
      <c r="G130" s="40">
        <f t="shared" si="2"/>
        <v>-0.1439044827034853</v>
      </c>
      <c r="H130" s="40">
        <v>109.21</v>
      </c>
      <c r="I130">
        <f t="shared" si="3"/>
        <v>-6.9072226150453053E-2</v>
      </c>
    </row>
    <row r="131" spans="1:9" x14ac:dyDescent="0.2">
      <c r="A131" s="40" t="s">
        <v>130</v>
      </c>
      <c r="B131" s="42">
        <v>61.39</v>
      </c>
      <c r="D131" s="42"/>
      <c r="E131" s="40">
        <v>879</v>
      </c>
      <c r="F131" s="43">
        <v>173.32</v>
      </c>
      <c r="G131" s="40">
        <f t="shared" ref="G131:G194" si="4">LN(F131/F132)</f>
        <v>0.23654649493968596</v>
      </c>
      <c r="H131" s="40">
        <v>117.02</v>
      </c>
      <c r="I131">
        <f t="shared" ref="I131:I194" si="5">LN(H131/H132)</f>
        <v>0.12055349091635324</v>
      </c>
    </row>
    <row r="132" spans="1:9" x14ac:dyDescent="0.2">
      <c r="A132" s="41">
        <v>38729</v>
      </c>
      <c r="B132" s="42">
        <v>62.33</v>
      </c>
      <c r="D132" s="42"/>
      <c r="E132" s="40">
        <v>878</v>
      </c>
      <c r="F132" s="43">
        <v>136.81</v>
      </c>
      <c r="G132" s="40">
        <f t="shared" si="4"/>
        <v>0.20744259240669932</v>
      </c>
      <c r="H132" s="40">
        <v>103.73</v>
      </c>
      <c r="I132">
        <f t="shared" si="5"/>
        <v>-7.3040070753873143E-2</v>
      </c>
    </row>
    <row r="133" spans="1:9" x14ac:dyDescent="0.2">
      <c r="A133" s="41">
        <v>38819</v>
      </c>
      <c r="B133" s="42">
        <v>62.11</v>
      </c>
      <c r="D133" s="42"/>
      <c r="E133" s="40">
        <v>877</v>
      </c>
      <c r="F133" s="43">
        <v>111.18</v>
      </c>
      <c r="G133" s="40">
        <f t="shared" si="4"/>
        <v>0.16519968319720341</v>
      </c>
      <c r="H133" s="40">
        <v>111.59</v>
      </c>
      <c r="I133">
        <f t="shared" si="5"/>
        <v>-1.3087211049534848E-2</v>
      </c>
    </row>
    <row r="134" spans="1:9" x14ac:dyDescent="0.2">
      <c r="A134" s="41">
        <v>38849</v>
      </c>
      <c r="B134" s="42">
        <v>65.87</v>
      </c>
      <c r="D134" s="42"/>
      <c r="E134" s="40">
        <v>876</v>
      </c>
      <c r="F134" s="43">
        <v>94.25</v>
      </c>
      <c r="G134" s="40">
        <f t="shared" si="4"/>
        <v>-5.891931465096923E-2</v>
      </c>
      <c r="H134" s="40">
        <v>113.06</v>
      </c>
      <c r="I134">
        <f t="shared" si="5"/>
        <v>6.9228997534629107E-3</v>
      </c>
    </row>
    <row r="135" spans="1:9" x14ac:dyDescent="0.2">
      <c r="A135" s="41">
        <v>38880</v>
      </c>
      <c r="B135" s="42">
        <v>66.489999999999995</v>
      </c>
      <c r="D135" s="42"/>
      <c r="E135" s="40">
        <v>875</v>
      </c>
      <c r="F135" s="43">
        <v>99.97</v>
      </c>
      <c r="G135" s="40">
        <f t="shared" si="4"/>
        <v>6.6801758531733951E-2</v>
      </c>
      <c r="H135" s="40">
        <v>112.28</v>
      </c>
      <c r="I135">
        <f t="shared" si="5"/>
        <v>-1.7393278280632297E-2</v>
      </c>
    </row>
    <row r="136" spans="1:9" x14ac:dyDescent="0.2">
      <c r="A136" s="41">
        <v>38910</v>
      </c>
      <c r="B136" s="42">
        <v>68.650000000000006</v>
      </c>
      <c r="D136" s="42"/>
      <c r="E136" s="40">
        <v>874</v>
      </c>
      <c r="F136" s="43">
        <v>93.51</v>
      </c>
      <c r="G136" s="40">
        <f t="shared" si="4"/>
        <v>-1.1694796268997443E-2</v>
      </c>
      <c r="H136" s="40">
        <v>114.25</v>
      </c>
      <c r="I136">
        <f t="shared" si="5"/>
        <v>-7.0456424332588821E-2</v>
      </c>
    </row>
    <row r="137" spans="1:9" x14ac:dyDescent="0.2">
      <c r="A137" s="41">
        <v>38941</v>
      </c>
      <c r="B137" s="42">
        <v>71.34</v>
      </c>
      <c r="D137" s="42"/>
      <c r="E137" s="40">
        <v>873</v>
      </c>
      <c r="F137" s="43">
        <v>94.61</v>
      </c>
      <c r="G137" s="40">
        <f t="shared" si="4"/>
        <v>-9.8274907498914293E-2</v>
      </c>
      <c r="H137" s="40">
        <v>122.59</v>
      </c>
      <c r="I137">
        <f t="shared" si="5"/>
        <v>-7.7195361608502922E-3</v>
      </c>
    </row>
    <row r="138" spans="1:9" x14ac:dyDescent="0.2">
      <c r="A138" s="41">
        <v>39033</v>
      </c>
      <c r="B138" s="42">
        <v>72.84</v>
      </c>
      <c r="D138" s="42"/>
      <c r="E138" s="40">
        <v>872</v>
      </c>
      <c r="F138" s="43">
        <v>104.38</v>
      </c>
      <c r="G138" s="40">
        <f t="shared" si="4"/>
        <v>-1.6532443054271841E-2</v>
      </c>
      <c r="H138" s="40">
        <v>123.54</v>
      </c>
      <c r="I138">
        <f t="shared" si="5"/>
        <v>4.6473762165874448E-2</v>
      </c>
    </row>
    <row r="139" spans="1:9" x14ac:dyDescent="0.2">
      <c r="A139" s="41">
        <v>39063</v>
      </c>
      <c r="B139" s="42">
        <v>74.78</v>
      </c>
      <c r="D139" s="42"/>
      <c r="E139" s="40">
        <v>871</v>
      </c>
      <c r="F139" s="43">
        <v>106.12</v>
      </c>
      <c r="G139" s="40">
        <f t="shared" si="4"/>
        <v>0.18145498928875339</v>
      </c>
      <c r="H139" s="40">
        <v>117.93</v>
      </c>
      <c r="I139">
        <f t="shared" si="5"/>
        <v>-2.644284266439623E-2</v>
      </c>
    </row>
    <row r="140" spans="1:9" x14ac:dyDescent="0.2">
      <c r="A140" s="40" t="s">
        <v>131</v>
      </c>
      <c r="B140" s="42">
        <v>79.06</v>
      </c>
      <c r="D140" s="42"/>
      <c r="E140" s="40">
        <v>870</v>
      </c>
      <c r="F140" s="43">
        <v>88.51</v>
      </c>
      <c r="G140" s="40">
        <f t="shared" si="4"/>
        <v>-5.655566377461E-2</v>
      </c>
      <c r="H140" s="40">
        <v>121.09</v>
      </c>
      <c r="I140">
        <f t="shared" si="5"/>
        <v>2.5934195654447028E-2</v>
      </c>
    </row>
    <row r="141" spans="1:9" x14ac:dyDescent="0.2">
      <c r="A141" s="40" t="s">
        <v>132</v>
      </c>
      <c r="B141" s="42">
        <v>82.57</v>
      </c>
      <c r="D141" s="42"/>
      <c r="E141" s="40">
        <v>869</v>
      </c>
      <c r="F141" s="43">
        <v>93.66</v>
      </c>
      <c r="G141" s="40">
        <f t="shared" si="4"/>
        <v>-4.4581733977307497E-2</v>
      </c>
      <c r="H141" s="40">
        <v>117.99</v>
      </c>
      <c r="I141">
        <f t="shared" si="5"/>
        <v>-6.8535100822056577E-2</v>
      </c>
    </row>
    <row r="142" spans="1:9" x14ac:dyDescent="0.2">
      <c r="A142" s="40" t="s">
        <v>133</v>
      </c>
      <c r="B142" s="42">
        <v>84.63</v>
      </c>
      <c r="D142" s="42"/>
      <c r="E142" s="40">
        <v>868</v>
      </c>
      <c r="F142" s="43">
        <v>97.93</v>
      </c>
      <c r="G142" s="40">
        <f t="shared" si="4"/>
        <v>3.3433346494693296E-2</v>
      </c>
      <c r="H142" s="40">
        <v>126.36</v>
      </c>
      <c r="I142">
        <f t="shared" si="5"/>
        <v>-1.6326893287428781E-2</v>
      </c>
    </row>
    <row r="143" spans="1:9" x14ac:dyDescent="0.2">
      <c r="A143" s="40" t="s">
        <v>134</v>
      </c>
      <c r="B143" s="42">
        <v>84.26</v>
      </c>
      <c r="D143" s="42"/>
      <c r="E143" s="40">
        <v>867</v>
      </c>
      <c r="F143" s="43">
        <v>94.71</v>
      </c>
      <c r="G143" s="40">
        <f t="shared" si="4"/>
        <v>7.0306009849474257E-2</v>
      </c>
      <c r="H143" s="40">
        <v>128.44</v>
      </c>
      <c r="I143">
        <f t="shared" si="5"/>
        <v>-6.2092717349844411E-3</v>
      </c>
    </row>
    <row r="144" spans="1:9" x14ac:dyDescent="0.2">
      <c r="A144" s="40" t="s">
        <v>135</v>
      </c>
      <c r="B144" s="42">
        <v>78.91</v>
      </c>
      <c r="D144" s="42"/>
      <c r="E144" s="40">
        <v>866</v>
      </c>
      <c r="F144" s="43">
        <v>88.28</v>
      </c>
      <c r="G144" s="40">
        <f t="shared" si="4"/>
        <v>6.8928144473109548E-2</v>
      </c>
      <c r="H144" s="40">
        <v>129.24</v>
      </c>
      <c r="I144">
        <f t="shared" si="5"/>
        <v>1.4339397818234453E-2</v>
      </c>
    </row>
    <row r="145" spans="1:9" x14ac:dyDescent="0.2">
      <c r="A145" s="40" t="s">
        <v>136</v>
      </c>
      <c r="B145" s="42">
        <v>84.68</v>
      </c>
      <c r="D145" s="42"/>
      <c r="E145" s="40">
        <v>865</v>
      </c>
      <c r="F145" s="43">
        <v>82.4</v>
      </c>
      <c r="G145" s="40">
        <f t="shared" si="4"/>
        <v>-1.7563304827190557E-2</v>
      </c>
      <c r="H145" s="40">
        <v>127.4</v>
      </c>
      <c r="I145">
        <f t="shared" si="5"/>
        <v>-5.7276146312662667E-2</v>
      </c>
    </row>
    <row r="146" spans="1:9" x14ac:dyDescent="0.2">
      <c r="A146" s="40" t="s">
        <v>137</v>
      </c>
      <c r="B146" s="42">
        <v>83.94</v>
      </c>
      <c r="D146" s="42"/>
      <c r="E146" s="40">
        <v>864</v>
      </c>
      <c r="F146" s="43">
        <v>83.86</v>
      </c>
      <c r="G146" s="40">
        <f t="shared" si="4"/>
        <v>2.719693826146518E-2</v>
      </c>
      <c r="H146" s="40">
        <v>134.91</v>
      </c>
      <c r="I146">
        <f t="shared" si="5"/>
        <v>2.6514001986398836E-2</v>
      </c>
    </row>
    <row r="147" spans="1:9" x14ac:dyDescent="0.2">
      <c r="A147" s="40" t="s">
        <v>138</v>
      </c>
      <c r="B147" s="42">
        <v>83.41</v>
      </c>
      <c r="D147" s="42"/>
      <c r="E147" s="40">
        <v>863</v>
      </c>
      <c r="F147" s="43">
        <v>81.61</v>
      </c>
      <c r="G147" s="40">
        <f t="shared" si="4"/>
        <v>-3.4444638258253793E-2</v>
      </c>
      <c r="H147" s="40">
        <v>131.38</v>
      </c>
      <c r="I147">
        <f t="shared" si="5"/>
        <v>2.4502342977757247E-2</v>
      </c>
    </row>
    <row r="148" spans="1:9" x14ac:dyDescent="0.2">
      <c r="A148" s="40" t="s">
        <v>139</v>
      </c>
      <c r="B148" s="42">
        <v>85.28</v>
      </c>
      <c r="D148" s="42"/>
      <c r="E148" s="40">
        <v>862</v>
      </c>
      <c r="F148" s="43">
        <v>84.47</v>
      </c>
      <c r="G148" s="40">
        <f t="shared" si="4"/>
        <v>1.2628235485884858E-2</v>
      </c>
      <c r="H148" s="40">
        <v>128.19999999999999</v>
      </c>
      <c r="I148">
        <f t="shared" si="5"/>
        <v>1.8659754882693017E-2</v>
      </c>
    </row>
    <row r="149" spans="1:9" x14ac:dyDescent="0.2">
      <c r="A149" s="40" t="s">
        <v>140</v>
      </c>
      <c r="B149" s="42">
        <v>83.01</v>
      </c>
      <c r="D149" s="42"/>
      <c r="E149" s="40">
        <v>861</v>
      </c>
      <c r="F149" s="43">
        <v>83.41</v>
      </c>
      <c r="G149" s="40">
        <f t="shared" si="4"/>
        <v>5.9650992123206723E-2</v>
      </c>
      <c r="H149" s="40">
        <v>125.83</v>
      </c>
      <c r="I149">
        <f t="shared" si="5"/>
        <v>-1.9283585221077631E-2</v>
      </c>
    </row>
    <row r="150" spans="1:9" x14ac:dyDescent="0.2">
      <c r="A150" s="40" t="s">
        <v>141</v>
      </c>
      <c r="B150" s="42">
        <v>88.72</v>
      </c>
      <c r="D150" s="42"/>
      <c r="E150" s="40">
        <v>860</v>
      </c>
      <c r="F150" s="43">
        <v>78.58</v>
      </c>
      <c r="G150" s="40">
        <f t="shared" si="4"/>
        <v>-1.2725074776990568E-4</v>
      </c>
      <c r="H150" s="40">
        <v>128.28</v>
      </c>
      <c r="I150">
        <f t="shared" si="5"/>
        <v>4.4717551780293567E-2</v>
      </c>
    </row>
    <row r="151" spans="1:9" x14ac:dyDescent="0.2">
      <c r="A151" s="40" t="s">
        <v>142</v>
      </c>
      <c r="B151" s="42">
        <v>88.16</v>
      </c>
      <c r="D151" s="42"/>
      <c r="E151" s="40">
        <v>859</v>
      </c>
      <c r="F151" s="43">
        <v>78.59</v>
      </c>
      <c r="G151" s="40">
        <f t="shared" si="4"/>
        <v>-2.6685319857498151E-3</v>
      </c>
      <c r="H151" s="40">
        <v>122.67</v>
      </c>
      <c r="I151">
        <f t="shared" si="5"/>
        <v>-1.3200175472004753E-2</v>
      </c>
    </row>
    <row r="152" spans="1:9" x14ac:dyDescent="0.2">
      <c r="A152" s="41">
        <v>39142</v>
      </c>
      <c r="B152" s="42">
        <v>87.63</v>
      </c>
      <c r="D152" s="42"/>
      <c r="E152" s="40">
        <v>858</v>
      </c>
      <c r="F152" s="43">
        <v>78.8</v>
      </c>
      <c r="G152" s="40">
        <f t="shared" si="4"/>
        <v>9.3071367316338548E-3</v>
      </c>
      <c r="H152" s="40">
        <v>124.3</v>
      </c>
      <c r="I152">
        <f t="shared" si="5"/>
        <v>6.1330082489121848E-3</v>
      </c>
    </row>
    <row r="153" spans="1:9" x14ac:dyDescent="0.2">
      <c r="A153" s="41">
        <v>39173</v>
      </c>
      <c r="B153" s="42">
        <v>88.19</v>
      </c>
      <c r="D153" s="42"/>
      <c r="E153" s="40">
        <v>857</v>
      </c>
      <c r="F153" s="43">
        <v>78.069999999999993</v>
      </c>
      <c r="G153" s="40">
        <f t="shared" si="4"/>
        <v>1.3021520934188005E-2</v>
      </c>
      <c r="H153" s="40">
        <v>123.54</v>
      </c>
      <c r="I153">
        <f t="shared" si="5"/>
        <v>-3.6359269239974838E-3</v>
      </c>
    </row>
    <row r="154" spans="1:9" x14ac:dyDescent="0.2">
      <c r="A154" s="41">
        <v>39203</v>
      </c>
      <c r="B154" s="42">
        <v>90.17</v>
      </c>
      <c r="D154" s="42"/>
      <c r="E154" s="40">
        <v>856</v>
      </c>
      <c r="F154" s="43">
        <v>77.06</v>
      </c>
      <c r="G154" s="40">
        <f t="shared" si="4"/>
        <v>1.3193320492709704E-2</v>
      </c>
      <c r="H154" s="40">
        <v>123.99</v>
      </c>
      <c r="I154">
        <f t="shared" si="5"/>
        <v>-1.9250564521006413E-2</v>
      </c>
    </row>
    <row r="155" spans="1:9" x14ac:dyDescent="0.2">
      <c r="A155" s="41">
        <v>39295</v>
      </c>
      <c r="B155" s="42">
        <v>92.04</v>
      </c>
      <c r="D155" s="42"/>
      <c r="E155" s="40">
        <v>855</v>
      </c>
      <c r="F155" s="43">
        <v>76.05</v>
      </c>
      <c r="G155" s="40">
        <f t="shared" si="4"/>
        <v>-4.4114398978314283E-2</v>
      </c>
      <c r="H155" s="40">
        <v>126.4</v>
      </c>
      <c r="I155">
        <f t="shared" si="5"/>
        <v>2.4555440276219911E-3</v>
      </c>
    </row>
    <row r="156" spans="1:9" x14ac:dyDescent="0.2">
      <c r="A156" s="41">
        <v>39326</v>
      </c>
      <c r="B156" s="42">
        <v>92.76</v>
      </c>
      <c r="D156" s="42"/>
      <c r="E156" s="40">
        <v>854</v>
      </c>
      <c r="F156" s="43">
        <v>79.48</v>
      </c>
      <c r="G156" s="40">
        <f t="shared" si="4"/>
        <v>-2.5160397667007254E-4</v>
      </c>
      <c r="H156" s="40">
        <v>126.09</v>
      </c>
      <c r="I156">
        <f t="shared" si="5"/>
        <v>6.5379544061379219E-2</v>
      </c>
    </row>
    <row r="157" spans="1:9" x14ac:dyDescent="0.2">
      <c r="A157" s="41">
        <v>39356</v>
      </c>
      <c r="B157" s="42">
        <v>93.78</v>
      </c>
      <c r="D157" s="42"/>
      <c r="E157" s="40">
        <v>853</v>
      </c>
      <c r="F157" s="43">
        <v>79.5</v>
      </c>
      <c r="G157" s="40">
        <f t="shared" si="4"/>
        <v>-2.4232313387767972E-2</v>
      </c>
      <c r="H157" s="40">
        <v>118.11</v>
      </c>
      <c r="I157">
        <f t="shared" si="5"/>
        <v>-6.9179121180601127E-2</v>
      </c>
    </row>
    <row r="158" spans="1:9" x14ac:dyDescent="0.2">
      <c r="A158" s="41">
        <v>39387</v>
      </c>
      <c r="B158" s="42">
        <v>85.97</v>
      </c>
      <c r="D158" s="42"/>
      <c r="E158" s="40">
        <v>852</v>
      </c>
      <c r="F158" s="43">
        <v>81.45</v>
      </c>
      <c r="G158" s="40">
        <f t="shared" si="4"/>
        <v>-1.7283779812896947E-2</v>
      </c>
      <c r="H158" s="40">
        <v>126.57</v>
      </c>
      <c r="I158">
        <f t="shared" si="5"/>
        <v>-3.2721007328772991E-2</v>
      </c>
    </row>
    <row r="159" spans="1:9" x14ac:dyDescent="0.2">
      <c r="A159" s="41">
        <v>39417</v>
      </c>
      <c r="B159" s="42">
        <v>85.18</v>
      </c>
      <c r="D159" s="42"/>
      <c r="E159" s="40">
        <v>851</v>
      </c>
      <c r="F159" s="43">
        <v>82.87</v>
      </c>
      <c r="G159" s="40">
        <f t="shared" si="4"/>
        <v>-2.3022427936906221E-2</v>
      </c>
      <c r="H159" s="40">
        <v>130.78</v>
      </c>
      <c r="I159">
        <f t="shared" si="5"/>
        <v>-3.6045349869689741E-2</v>
      </c>
    </row>
    <row r="160" spans="1:9" x14ac:dyDescent="0.2">
      <c r="A160" s="40" t="s">
        <v>143</v>
      </c>
      <c r="B160" s="42">
        <v>85.3</v>
      </c>
      <c r="D160" s="42"/>
      <c r="E160" s="40">
        <v>850</v>
      </c>
      <c r="F160" s="43">
        <v>84.8</v>
      </c>
      <c r="G160" s="40">
        <f t="shared" si="4"/>
        <v>1.7726952811039511E-2</v>
      </c>
      <c r="H160" s="40">
        <v>135.58000000000001</v>
      </c>
      <c r="I160">
        <f t="shared" si="5"/>
        <v>3.4517232212912273E-2</v>
      </c>
    </row>
    <row r="161" spans="1:9" x14ac:dyDescent="0.2">
      <c r="A161" s="40" t="s">
        <v>144</v>
      </c>
      <c r="B161" s="42">
        <v>84.93</v>
      </c>
      <c r="D161" s="42"/>
      <c r="E161" s="40">
        <v>849</v>
      </c>
      <c r="F161" s="43">
        <v>83.31</v>
      </c>
      <c r="G161" s="40">
        <f t="shared" si="4"/>
        <v>-2.8517580618558386E-2</v>
      </c>
      <c r="H161" s="40">
        <v>130.97999999999999</v>
      </c>
      <c r="I161">
        <f t="shared" si="5"/>
        <v>-6.8477784136228076E-3</v>
      </c>
    </row>
    <row r="162" spans="1:9" x14ac:dyDescent="0.2">
      <c r="A162" s="40" t="s">
        <v>145</v>
      </c>
      <c r="B162" s="42">
        <v>83.66</v>
      </c>
      <c r="D162" s="42"/>
      <c r="E162" s="40">
        <v>848</v>
      </c>
      <c r="F162" s="43">
        <v>85.72</v>
      </c>
      <c r="G162" s="40">
        <f t="shared" si="4"/>
        <v>6.1215381908445582E-2</v>
      </c>
      <c r="H162" s="40">
        <v>131.88</v>
      </c>
      <c r="I162">
        <f t="shared" si="5"/>
        <v>1.7362476768246544E-2</v>
      </c>
    </row>
    <row r="163" spans="1:9" x14ac:dyDescent="0.2">
      <c r="A163" s="40" t="s">
        <v>146</v>
      </c>
      <c r="B163" s="42">
        <v>82.49</v>
      </c>
      <c r="D163" s="42"/>
      <c r="E163" s="40">
        <v>847</v>
      </c>
      <c r="F163" s="43">
        <v>80.63</v>
      </c>
      <c r="G163" s="40">
        <f t="shared" si="4"/>
        <v>-3.3057837297376803E-2</v>
      </c>
      <c r="H163" s="40">
        <v>129.61000000000001</v>
      </c>
      <c r="I163">
        <f t="shared" si="5"/>
        <v>3.4617482769285633E-2</v>
      </c>
    </row>
    <row r="164" spans="1:9" x14ac:dyDescent="0.2">
      <c r="A164" s="40" t="s">
        <v>147</v>
      </c>
      <c r="B164" s="42">
        <v>84.43</v>
      </c>
      <c r="D164" s="42"/>
      <c r="E164" s="40">
        <v>846</v>
      </c>
      <c r="F164" s="43">
        <v>83.34</v>
      </c>
      <c r="G164" s="40">
        <f t="shared" si="4"/>
        <v>-4.5492715834914857E-3</v>
      </c>
      <c r="H164" s="40">
        <v>125.2</v>
      </c>
      <c r="I164">
        <f t="shared" si="5"/>
        <v>3.486599147984281E-2</v>
      </c>
    </row>
    <row r="165" spans="1:9" x14ac:dyDescent="0.2">
      <c r="A165" s="40" t="s">
        <v>148</v>
      </c>
      <c r="B165" s="42">
        <v>81.48</v>
      </c>
      <c r="D165" s="42"/>
      <c r="E165" s="40">
        <v>845</v>
      </c>
      <c r="F165" s="43">
        <v>83.72</v>
      </c>
      <c r="G165" s="40">
        <f t="shared" si="4"/>
        <v>6.8208250026533565E-2</v>
      </c>
      <c r="H165" s="40">
        <v>120.91</v>
      </c>
      <c r="I165">
        <f t="shared" si="5"/>
        <v>-7.2517829128638201E-3</v>
      </c>
    </row>
    <row r="166" spans="1:9" x14ac:dyDescent="0.2">
      <c r="A166" s="40" t="s">
        <v>149</v>
      </c>
      <c r="B166" s="42">
        <v>77.510000000000005</v>
      </c>
      <c r="D166" s="42"/>
      <c r="E166" s="40">
        <v>844</v>
      </c>
      <c r="F166" s="43">
        <v>78.2</v>
      </c>
      <c r="G166" s="40">
        <f t="shared" si="4"/>
        <v>7.7022203620925236E-3</v>
      </c>
      <c r="H166" s="40">
        <v>121.79</v>
      </c>
      <c r="I166">
        <f t="shared" si="5"/>
        <v>7.4337529875599679E-3</v>
      </c>
    </row>
    <row r="167" spans="1:9" x14ac:dyDescent="0.2">
      <c r="A167" s="40" t="s">
        <v>150</v>
      </c>
      <c r="B167" s="42">
        <v>80.45</v>
      </c>
      <c r="D167" s="42"/>
      <c r="E167" s="40">
        <v>843</v>
      </c>
      <c r="F167" s="43">
        <v>77.599999999999994</v>
      </c>
      <c r="G167" s="40">
        <f t="shared" si="4"/>
        <v>-2.9834012090790302E-2</v>
      </c>
      <c r="H167" s="40">
        <v>120.88800000000001</v>
      </c>
      <c r="I167">
        <f t="shared" si="5"/>
        <v>-9.09519423057991E-4</v>
      </c>
    </row>
    <row r="168" spans="1:9" x14ac:dyDescent="0.2">
      <c r="A168" s="40" t="s">
        <v>151</v>
      </c>
      <c r="B168" s="42">
        <v>81.36</v>
      </c>
      <c r="D168" s="42"/>
      <c r="E168" s="40">
        <v>842</v>
      </c>
      <c r="F168" s="43">
        <v>79.95</v>
      </c>
      <c r="G168" s="40">
        <f t="shared" si="4"/>
        <v>1.2333405770473675E-2</v>
      </c>
      <c r="H168" s="40">
        <v>120.998</v>
      </c>
      <c r="I168">
        <f t="shared" si="5"/>
        <v>-1.1847097542694677E-2</v>
      </c>
    </row>
    <row r="169" spans="1:9" x14ac:dyDescent="0.2">
      <c r="A169" s="40" t="s">
        <v>152</v>
      </c>
      <c r="B169" s="42">
        <v>81.680000000000007</v>
      </c>
      <c r="D169" s="42"/>
      <c r="E169" s="40">
        <v>841</v>
      </c>
      <c r="F169" s="43">
        <v>78.97</v>
      </c>
      <c r="G169" s="40">
        <f t="shared" si="4"/>
        <v>2.9818428191666344E-2</v>
      </c>
      <c r="H169" s="40">
        <v>122.44</v>
      </c>
      <c r="I169">
        <f t="shared" si="5"/>
        <v>5.0270759873846028E-2</v>
      </c>
    </row>
    <row r="170" spans="1:9" x14ac:dyDescent="0.2">
      <c r="A170" s="40" t="s">
        <v>153</v>
      </c>
      <c r="B170" s="42">
        <v>78.900000000000006</v>
      </c>
      <c r="D170" s="42"/>
      <c r="E170" s="40">
        <v>840</v>
      </c>
      <c r="F170" s="43">
        <v>76.650000000000006</v>
      </c>
      <c r="G170" s="40">
        <f t="shared" si="4"/>
        <v>-1.6304709024943471E-2</v>
      </c>
      <c r="H170" s="40">
        <v>116.437</v>
      </c>
      <c r="I170">
        <f t="shared" si="5"/>
        <v>1.2418225840115558E-2</v>
      </c>
    </row>
    <row r="171" spans="1:9" x14ac:dyDescent="0.2">
      <c r="A171" s="40" t="s">
        <v>154</v>
      </c>
      <c r="B171" s="42">
        <v>77.28</v>
      </c>
      <c r="D171" s="42"/>
      <c r="E171" s="40">
        <v>839</v>
      </c>
      <c r="F171" s="43">
        <v>77.91</v>
      </c>
      <c r="G171" s="40">
        <f t="shared" si="4"/>
        <v>3.4871309909937247E-2</v>
      </c>
      <c r="H171" s="40">
        <v>115</v>
      </c>
      <c r="I171">
        <f t="shared" si="5"/>
        <v>4.7793704278793744E-2</v>
      </c>
    </row>
    <row r="172" spans="1:9" x14ac:dyDescent="0.2">
      <c r="A172" s="41">
        <v>39084</v>
      </c>
      <c r="B172" s="42">
        <v>73.5</v>
      </c>
      <c r="D172" s="42"/>
      <c r="E172" s="40">
        <v>838</v>
      </c>
      <c r="F172" s="43">
        <v>75.239999999999995</v>
      </c>
      <c r="G172" s="40">
        <f t="shared" si="4"/>
        <v>-3.1528545161866629E-2</v>
      </c>
      <c r="H172" s="40">
        <v>109.633</v>
      </c>
      <c r="I172">
        <f t="shared" si="5"/>
        <v>-7.8770968733510877E-3</v>
      </c>
    </row>
    <row r="173" spans="1:9" x14ac:dyDescent="0.2">
      <c r="A173" s="41">
        <v>39115</v>
      </c>
      <c r="B173" s="42">
        <v>72.44</v>
      </c>
      <c r="D173" s="42"/>
      <c r="E173" s="40">
        <v>837</v>
      </c>
      <c r="F173" s="43">
        <v>77.650000000000006</v>
      </c>
      <c r="G173" s="40">
        <f t="shared" si="4"/>
        <v>-1.4574535662900685E-2</v>
      </c>
      <c r="H173" s="40">
        <v>110.5</v>
      </c>
      <c r="I173">
        <f t="shared" si="5"/>
        <v>-3.8393709254049606E-2</v>
      </c>
    </row>
    <row r="174" spans="1:9" x14ac:dyDescent="0.2">
      <c r="A174" s="41">
        <v>39204</v>
      </c>
      <c r="B174" s="42">
        <v>70.290000000000006</v>
      </c>
      <c r="D174" s="42"/>
      <c r="E174" s="40">
        <v>836</v>
      </c>
      <c r="F174" s="43">
        <v>78.790000000000006</v>
      </c>
      <c r="G174" s="40">
        <f t="shared" si="4"/>
        <v>6.6216974408501734E-3</v>
      </c>
      <c r="H174" s="40">
        <v>114.825</v>
      </c>
      <c r="I174">
        <f t="shared" si="5"/>
        <v>8.0795801660059896E-3</v>
      </c>
    </row>
    <row r="175" spans="1:9" x14ac:dyDescent="0.2">
      <c r="A175" s="41">
        <v>39235</v>
      </c>
      <c r="B175" s="42">
        <v>68.55</v>
      </c>
      <c r="D175" s="42"/>
      <c r="E175" s="40">
        <v>835</v>
      </c>
      <c r="F175" s="43">
        <v>78.27</v>
      </c>
      <c r="G175" s="40">
        <f t="shared" si="4"/>
        <v>-6.3963422875770296E-2</v>
      </c>
      <c r="H175" s="40">
        <v>113.901</v>
      </c>
      <c r="I175">
        <f t="shared" si="5"/>
        <v>6.7475787080529218E-2</v>
      </c>
    </row>
    <row r="176" spans="1:9" x14ac:dyDescent="0.2">
      <c r="A176" s="41">
        <v>39265</v>
      </c>
      <c r="B176" s="42">
        <v>70.319999999999993</v>
      </c>
      <c r="D176" s="42"/>
      <c r="E176" s="40">
        <v>834</v>
      </c>
      <c r="F176" s="43">
        <v>83.44</v>
      </c>
      <c r="G176" s="40">
        <f t="shared" si="4"/>
        <v>-4.1858579326781338E-3</v>
      </c>
      <c r="H176" s="40">
        <v>106.46899999999999</v>
      </c>
      <c r="I176">
        <f t="shared" si="5"/>
        <v>2.5397526191308143E-2</v>
      </c>
    </row>
    <row r="177" spans="1:9" x14ac:dyDescent="0.2">
      <c r="A177" s="41">
        <v>39296</v>
      </c>
      <c r="B177" s="42">
        <v>73.180000000000007</v>
      </c>
      <c r="D177" s="42"/>
      <c r="E177" s="40">
        <v>833</v>
      </c>
      <c r="F177" s="43">
        <v>83.79</v>
      </c>
      <c r="G177" s="40">
        <f t="shared" si="4"/>
        <v>2.5994330683551031E-2</v>
      </c>
      <c r="H177" s="40">
        <v>103.79900000000001</v>
      </c>
      <c r="I177">
        <f t="shared" si="5"/>
        <v>8.9105899515719053E-2</v>
      </c>
    </row>
    <row r="178" spans="1:9" x14ac:dyDescent="0.2">
      <c r="A178" s="41">
        <v>39327</v>
      </c>
      <c r="B178" s="42">
        <v>74.39</v>
      </c>
      <c r="D178" s="42"/>
      <c r="E178" s="40">
        <v>832</v>
      </c>
      <c r="F178" s="43">
        <v>81.64</v>
      </c>
      <c r="G178" s="40">
        <f t="shared" si="4"/>
        <v>3.1732893410318118E-2</v>
      </c>
      <c r="H178" s="40">
        <v>94.95</v>
      </c>
      <c r="I178">
        <f t="shared" si="5"/>
        <v>-4.58137990292514E-3</v>
      </c>
    </row>
    <row r="179" spans="1:9" x14ac:dyDescent="0.2">
      <c r="A179" s="41">
        <v>39418</v>
      </c>
      <c r="B179" s="42">
        <v>79.12</v>
      </c>
      <c r="D179" s="42"/>
      <c r="E179" s="40">
        <v>831</v>
      </c>
      <c r="F179" s="43">
        <v>79.09</v>
      </c>
      <c r="G179" s="40">
        <f t="shared" si="4"/>
        <v>-6.7584200760595514E-2</v>
      </c>
      <c r="H179" s="40">
        <v>95.385999999999996</v>
      </c>
      <c r="I179">
        <f t="shared" si="5"/>
        <v>6.3734006217777929E-3</v>
      </c>
    </row>
    <row r="180" spans="1:9" x14ac:dyDescent="0.2">
      <c r="A180" s="40" t="s">
        <v>155</v>
      </c>
      <c r="B180" s="42">
        <v>75.72</v>
      </c>
      <c r="D180" s="42"/>
      <c r="E180" s="40">
        <v>830</v>
      </c>
      <c r="F180" s="43">
        <v>84.62</v>
      </c>
      <c r="G180" s="40">
        <f t="shared" si="4"/>
        <v>5.6644135659722233E-2</v>
      </c>
      <c r="H180" s="40">
        <v>94.78</v>
      </c>
      <c r="I180">
        <f t="shared" si="5"/>
        <v>2.4576824822626301E-2</v>
      </c>
    </row>
    <row r="181" spans="1:9" x14ac:dyDescent="0.2">
      <c r="A181" s="40" t="s">
        <v>156</v>
      </c>
      <c r="B181" s="42">
        <v>74</v>
      </c>
      <c r="D181" s="42"/>
      <c r="E181" s="40">
        <v>829</v>
      </c>
      <c r="F181" s="43">
        <v>79.959999999999994</v>
      </c>
      <c r="G181" s="40">
        <f t="shared" si="4"/>
        <v>2.9701383691439008E-2</v>
      </c>
      <c r="H181" s="40">
        <v>92.478999999999999</v>
      </c>
      <c r="I181">
        <f t="shared" si="5"/>
        <v>-2.012506505560778E-2</v>
      </c>
    </row>
    <row r="182" spans="1:9" x14ac:dyDescent="0.2">
      <c r="A182" s="40" t="s">
        <v>157</v>
      </c>
      <c r="B182" s="42">
        <v>70.34</v>
      </c>
      <c r="D182" s="42"/>
      <c r="E182" s="40">
        <v>828</v>
      </c>
      <c r="F182" s="43">
        <v>77.62</v>
      </c>
      <c r="G182" s="40">
        <f t="shared" si="4"/>
        <v>-2.3302767041964767E-2</v>
      </c>
      <c r="H182" s="40">
        <v>94.358999999999995</v>
      </c>
      <c r="I182">
        <f t="shared" si="5"/>
        <v>-2.8678937477175826E-3</v>
      </c>
    </row>
    <row r="183" spans="1:9" x14ac:dyDescent="0.2">
      <c r="A183" s="40" t="s">
        <v>158</v>
      </c>
      <c r="B183" s="42">
        <v>70.739999999999995</v>
      </c>
      <c r="D183" s="42"/>
      <c r="E183" s="40">
        <v>827</v>
      </c>
      <c r="F183" s="43">
        <v>79.45</v>
      </c>
      <c r="G183" s="40">
        <f t="shared" si="4"/>
        <v>1.2921385758149729E-2</v>
      </c>
      <c r="H183" s="40">
        <v>94.63</v>
      </c>
      <c r="I183">
        <f t="shared" si="5"/>
        <v>3.5210588408065527E-2</v>
      </c>
    </row>
    <row r="184" spans="1:9" x14ac:dyDescent="0.2">
      <c r="A184" s="40" t="s">
        <v>159</v>
      </c>
      <c r="B184" s="42">
        <v>65.87</v>
      </c>
      <c r="D184" s="42"/>
      <c r="E184" s="40">
        <v>826</v>
      </c>
      <c r="F184" s="43">
        <v>78.430000000000007</v>
      </c>
      <c r="G184" s="40">
        <f t="shared" si="4"/>
        <v>8.8365818004981639E-3</v>
      </c>
      <c r="H184" s="40">
        <v>91.355999999999995</v>
      </c>
      <c r="I184">
        <f t="shared" si="5"/>
        <v>1.0530756722031461E-2</v>
      </c>
    </row>
    <row r="185" spans="1:9" x14ac:dyDescent="0.2">
      <c r="A185" s="40" t="s">
        <v>160</v>
      </c>
      <c r="B185" s="42">
        <v>67.37</v>
      </c>
      <c r="D185" s="42"/>
      <c r="E185" s="40">
        <v>825</v>
      </c>
      <c r="F185" s="43">
        <v>77.739999999999995</v>
      </c>
      <c r="G185" s="40">
        <f t="shared" si="4"/>
        <v>1.8565934122535193E-2</v>
      </c>
      <c r="H185" s="40">
        <v>90.399000000000001</v>
      </c>
      <c r="I185">
        <f t="shared" si="5"/>
        <v>5.7800102119038039E-3</v>
      </c>
    </row>
    <row r="186" spans="1:9" x14ac:dyDescent="0.2">
      <c r="A186" s="40" t="s">
        <v>161</v>
      </c>
      <c r="B186" s="42">
        <v>66.05</v>
      </c>
      <c r="D186" s="42"/>
      <c r="E186" s="40">
        <v>824</v>
      </c>
      <c r="F186" s="43">
        <v>76.31</v>
      </c>
      <c r="G186" s="40">
        <f t="shared" si="4"/>
        <v>-1.7407558293154247E-2</v>
      </c>
      <c r="H186" s="40">
        <v>89.878</v>
      </c>
      <c r="I186">
        <f t="shared" si="5"/>
        <v>1.2663570210844997E-2</v>
      </c>
    </row>
    <row r="187" spans="1:9" x14ac:dyDescent="0.2">
      <c r="A187" s="40" t="s">
        <v>162</v>
      </c>
      <c r="B187" s="42">
        <v>70.709999999999994</v>
      </c>
      <c r="D187" s="42"/>
      <c r="E187" s="40">
        <v>823</v>
      </c>
      <c r="F187" s="43">
        <v>77.650000000000006</v>
      </c>
      <c r="G187" s="40">
        <f t="shared" si="4"/>
        <v>1.2886599721483498E-3</v>
      </c>
      <c r="H187" s="40">
        <v>88.747</v>
      </c>
      <c r="I187">
        <f t="shared" si="5"/>
        <v>-1.8587376984046475E-2</v>
      </c>
    </row>
    <row r="188" spans="1:9" x14ac:dyDescent="0.2">
      <c r="A188" s="40" t="s">
        <v>163</v>
      </c>
      <c r="B188" s="42">
        <v>70.33</v>
      </c>
      <c r="D188" s="42"/>
      <c r="E188" s="40">
        <v>822</v>
      </c>
      <c r="F188" s="43">
        <v>77.55</v>
      </c>
      <c r="G188" s="40">
        <f t="shared" si="4"/>
        <v>5.6908132271879373E-2</v>
      </c>
      <c r="H188" s="40">
        <v>90.412000000000006</v>
      </c>
      <c r="I188">
        <f t="shared" si="5"/>
        <v>-1.5693558916487305E-3</v>
      </c>
    </row>
    <row r="189" spans="1:9" x14ac:dyDescent="0.2">
      <c r="A189" s="40" t="s">
        <v>164</v>
      </c>
      <c r="B189" s="42">
        <v>110.42</v>
      </c>
      <c r="D189" s="42"/>
      <c r="E189" s="40">
        <v>821</v>
      </c>
      <c r="F189" s="43">
        <v>73.260000000000005</v>
      </c>
      <c r="G189" s="40">
        <f t="shared" si="4"/>
        <v>-6.9373875455424339E-3</v>
      </c>
      <c r="H189" s="40">
        <v>90.554000000000002</v>
      </c>
      <c r="I189">
        <f t="shared" si="5"/>
        <v>-1.7362801664780089E-2</v>
      </c>
    </row>
    <row r="190" spans="1:9" x14ac:dyDescent="0.2">
      <c r="A190" s="40" t="s">
        <v>165</v>
      </c>
      <c r="B190" s="42">
        <v>91.64</v>
      </c>
      <c r="D190" s="42"/>
      <c r="E190" s="40">
        <v>820</v>
      </c>
      <c r="F190" s="43">
        <v>73.77</v>
      </c>
      <c r="G190" s="40">
        <f t="shared" si="4"/>
        <v>-9.8469804893029662E-3</v>
      </c>
      <c r="H190" s="40">
        <v>92.14</v>
      </c>
      <c r="I190">
        <f t="shared" si="5"/>
        <v>3.7046391056522465E-2</v>
      </c>
    </row>
    <row r="191" spans="1:9" x14ac:dyDescent="0.2">
      <c r="A191" s="41">
        <v>39085</v>
      </c>
      <c r="B191" s="42">
        <v>99.47</v>
      </c>
      <c r="D191" s="42"/>
      <c r="E191" s="40">
        <v>819</v>
      </c>
      <c r="F191" s="43">
        <v>74.5</v>
      </c>
      <c r="G191" s="40">
        <f t="shared" si="4"/>
        <v>-5.3676866559858349E-4</v>
      </c>
      <c r="H191" s="40">
        <v>88.789000000000001</v>
      </c>
      <c r="I191">
        <f t="shared" si="5"/>
        <v>3.4045646385382898E-2</v>
      </c>
    </row>
    <row r="192" spans="1:9" x14ac:dyDescent="0.2">
      <c r="A192" s="41">
        <v>39116</v>
      </c>
      <c r="B192" s="42">
        <v>104.17</v>
      </c>
      <c r="D192" s="42"/>
      <c r="E192" s="40">
        <v>818</v>
      </c>
      <c r="F192" s="43">
        <v>74.540000000000006</v>
      </c>
      <c r="G192" s="40">
        <f t="shared" si="4"/>
        <v>1.4594853659591298E-2</v>
      </c>
      <c r="H192" s="40">
        <v>85.816999999999993</v>
      </c>
      <c r="I192">
        <f t="shared" si="5"/>
        <v>3.2882660331586287E-2</v>
      </c>
    </row>
    <row r="193" spans="1:9" x14ac:dyDescent="0.2">
      <c r="A193" s="41">
        <v>39205</v>
      </c>
      <c r="B193" s="42">
        <v>101.2</v>
      </c>
      <c r="D193" s="42"/>
      <c r="E193" s="40">
        <v>817</v>
      </c>
      <c r="F193" s="43">
        <v>73.459999999999994</v>
      </c>
      <c r="G193" s="40">
        <f t="shared" si="4"/>
        <v>-1.4997241164182188E-2</v>
      </c>
      <c r="H193" s="40">
        <v>83.040999999999997</v>
      </c>
      <c r="I193">
        <f t="shared" si="5"/>
        <v>-3.9676361955964384E-2</v>
      </c>
    </row>
    <row r="194" spans="1:9" x14ac:dyDescent="0.2">
      <c r="A194" s="41">
        <v>39236</v>
      </c>
      <c r="B194" s="42">
        <v>93.65</v>
      </c>
      <c r="D194" s="42"/>
      <c r="E194" s="40">
        <v>816</v>
      </c>
      <c r="F194" s="43">
        <v>74.569999999999993</v>
      </c>
      <c r="G194" s="40">
        <f t="shared" si="4"/>
        <v>-5.2506183322380204E-2</v>
      </c>
      <c r="H194" s="40">
        <v>86.402000000000001</v>
      </c>
      <c r="I194">
        <f t="shared" si="5"/>
        <v>-1.5560807553880278E-2</v>
      </c>
    </row>
    <row r="195" spans="1:9" x14ac:dyDescent="0.2">
      <c r="A195" s="41">
        <v>39266</v>
      </c>
      <c r="B195" s="42">
        <v>94.41</v>
      </c>
      <c r="D195" s="42"/>
      <c r="E195" s="40">
        <v>815</v>
      </c>
      <c r="F195" s="43">
        <v>78.59</v>
      </c>
      <c r="G195" s="40">
        <f t="shared" ref="G195:G258" si="6">LN(F195/F196)</f>
        <v>-4.1620759275639761E-2</v>
      </c>
      <c r="H195" s="40">
        <v>87.757000000000005</v>
      </c>
      <c r="I195">
        <f t="shared" ref="I195:I258" si="7">LN(H195/H196)</f>
        <v>2.5072368102539683E-4</v>
      </c>
    </row>
    <row r="196" spans="1:9" x14ac:dyDescent="0.2">
      <c r="A196" s="41">
        <v>39297</v>
      </c>
      <c r="B196" s="42">
        <v>93.97</v>
      </c>
      <c r="D196" s="42"/>
      <c r="E196" s="40">
        <v>814</v>
      </c>
      <c r="F196" s="43">
        <v>81.93</v>
      </c>
      <c r="G196" s="40">
        <f t="shared" si="6"/>
        <v>1.3435116524709483E-3</v>
      </c>
      <c r="H196" s="40">
        <v>87.734999999999999</v>
      </c>
      <c r="I196">
        <f t="shared" si="7"/>
        <v>5.9923892858766314E-2</v>
      </c>
    </row>
    <row r="197" spans="1:9" x14ac:dyDescent="0.2">
      <c r="A197" s="41">
        <v>39328</v>
      </c>
      <c r="B197" s="42">
        <v>91.82</v>
      </c>
      <c r="D197" s="42"/>
      <c r="E197" s="40">
        <v>813</v>
      </c>
      <c r="F197" s="43">
        <v>81.819999999999993</v>
      </c>
      <c r="G197" s="40">
        <f t="shared" si="6"/>
        <v>4.4996343173884373E-2</v>
      </c>
      <c r="H197" s="40">
        <v>82.632000000000005</v>
      </c>
      <c r="I197">
        <f t="shared" si="7"/>
        <v>3.6416052739200969E-2</v>
      </c>
    </row>
    <row r="198" spans="1:9" x14ac:dyDescent="0.2">
      <c r="A198" s="41">
        <v>39419</v>
      </c>
      <c r="B198" s="42">
        <v>90.02</v>
      </c>
      <c r="D198" s="42"/>
      <c r="E198" s="40">
        <v>812</v>
      </c>
      <c r="F198" s="43">
        <v>78.22</v>
      </c>
      <c r="G198" s="40">
        <f t="shared" si="6"/>
        <v>-1.6986084658403441E-2</v>
      </c>
      <c r="H198" s="40">
        <v>79.677000000000007</v>
      </c>
      <c r="I198">
        <f t="shared" si="7"/>
        <v>-3.3883562215412728E-2</v>
      </c>
    </row>
    <row r="199" spans="1:9" x14ac:dyDescent="0.2">
      <c r="A199" s="40" t="s">
        <v>166</v>
      </c>
      <c r="B199" s="42">
        <v>94.53</v>
      </c>
      <c r="D199" s="42"/>
      <c r="E199" s="40">
        <v>811</v>
      </c>
      <c r="F199" s="43">
        <v>79.56</v>
      </c>
      <c r="G199" s="40">
        <f t="shared" si="6"/>
        <v>-3.6771570338664308E-2</v>
      </c>
      <c r="H199" s="40">
        <v>82.423000000000002</v>
      </c>
      <c r="I199">
        <f t="shared" si="7"/>
        <v>3.5881113053947616E-2</v>
      </c>
    </row>
    <row r="200" spans="1:9" x14ac:dyDescent="0.2">
      <c r="A200" s="40" t="s">
        <v>167</v>
      </c>
      <c r="B200" s="42">
        <v>98.08</v>
      </c>
      <c r="D200" s="42"/>
      <c r="E200" s="40">
        <v>810</v>
      </c>
      <c r="F200" s="43">
        <v>82.54</v>
      </c>
      <c r="G200" s="40">
        <f t="shared" si="6"/>
        <v>-1.2880105837530683E-2</v>
      </c>
      <c r="H200" s="40">
        <v>79.518000000000001</v>
      </c>
      <c r="I200">
        <f t="shared" si="7"/>
        <v>4.2621948433996158E-2</v>
      </c>
    </row>
    <row r="201" spans="1:9" x14ac:dyDescent="0.2">
      <c r="A201" s="40" t="s">
        <v>168</v>
      </c>
      <c r="B201" s="42">
        <v>99.55</v>
      </c>
      <c r="D201" s="42"/>
      <c r="E201" s="40">
        <v>809</v>
      </c>
      <c r="F201" s="43">
        <v>83.61</v>
      </c>
      <c r="G201" s="40">
        <f t="shared" si="6"/>
        <v>1.5063248002377861E-2</v>
      </c>
      <c r="H201" s="40">
        <v>76.2</v>
      </c>
      <c r="I201">
        <f t="shared" si="7"/>
        <v>-0.10541169545048067</v>
      </c>
    </row>
    <row r="202" spans="1:9" x14ac:dyDescent="0.2">
      <c r="A202" s="40" t="s">
        <v>169</v>
      </c>
      <c r="B202" s="42">
        <v>102.74</v>
      </c>
      <c r="D202" s="42"/>
      <c r="E202" s="40">
        <v>808</v>
      </c>
      <c r="F202" s="43">
        <v>82.36</v>
      </c>
      <c r="G202" s="40">
        <f t="shared" si="6"/>
        <v>-8.358557065323087E-2</v>
      </c>
      <c r="H202" s="40">
        <v>84.671000000000006</v>
      </c>
      <c r="I202">
        <f t="shared" si="7"/>
        <v>7.5397794145513307E-3</v>
      </c>
    </row>
    <row r="203" spans="1:9" x14ac:dyDescent="0.2">
      <c r="A203" s="40" t="s">
        <v>170</v>
      </c>
      <c r="B203" s="42">
        <v>93.9</v>
      </c>
      <c r="D203" s="42"/>
      <c r="E203" s="40">
        <v>807</v>
      </c>
      <c r="F203" s="43">
        <v>89.54</v>
      </c>
      <c r="G203" s="40">
        <f t="shared" si="6"/>
        <v>-0.10134307525798851</v>
      </c>
      <c r="H203" s="40">
        <v>84.034999999999997</v>
      </c>
      <c r="I203">
        <f t="shared" si="7"/>
        <v>-3.9433513921082471E-2</v>
      </c>
    </row>
    <row r="204" spans="1:9" x14ac:dyDescent="0.2">
      <c r="A204" s="40" t="s">
        <v>171</v>
      </c>
      <c r="B204" s="42">
        <v>89.55</v>
      </c>
      <c r="D204" s="42"/>
      <c r="E204" s="40">
        <v>806</v>
      </c>
      <c r="F204" s="43">
        <v>99.09</v>
      </c>
      <c r="G204" s="40">
        <f t="shared" si="6"/>
        <v>3.178450869536241E-2</v>
      </c>
      <c r="H204" s="40">
        <v>87.415000000000006</v>
      </c>
      <c r="I204">
        <f t="shared" si="7"/>
        <v>1.6307968556731254E-2</v>
      </c>
    </row>
    <row r="205" spans="1:9" x14ac:dyDescent="0.2">
      <c r="A205" s="40" t="s">
        <v>172</v>
      </c>
      <c r="B205" s="42">
        <v>94.13</v>
      </c>
      <c r="D205" s="42"/>
      <c r="E205" s="40">
        <v>805</v>
      </c>
      <c r="F205" s="43">
        <v>95.99</v>
      </c>
      <c r="G205" s="40">
        <f t="shared" si="6"/>
        <v>-2.8448645101533318E-2</v>
      </c>
      <c r="H205" s="40">
        <v>86.001000000000005</v>
      </c>
      <c r="I205">
        <f t="shared" si="7"/>
        <v>-2.5089296162169691E-2</v>
      </c>
    </row>
    <row r="206" spans="1:9" x14ac:dyDescent="0.2">
      <c r="A206" s="40" t="s">
        <v>173</v>
      </c>
      <c r="B206" s="42">
        <v>95.52</v>
      </c>
      <c r="D206" s="42"/>
      <c r="E206" s="40">
        <v>804</v>
      </c>
      <c r="F206" s="43">
        <v>98.76</v>
      </c>
      <c r="G206" s="40">
        <f t="shared" si="6"/>
        <v>-4.949255090320937E-3</v>
      </c>
      <c r="H206" s="40">
        <v>88.186000000000007</v>
      </c>
      <c r="I206">
        <f t="shared" si="7"/>
        <v>-2.7182577643361856E-2</v>
      </c>
    </row>
    <row r="207" spans="1:9" x14ac:dyDescent="0.2">
      <c r="A207" s="40" t="s">
        <v>174</v>
      </c>
      <c r="B207" s="42">
        <v>96.37</v>
      </c>
      <c r="D207" s="42"/>
      <c r="E207" s="40">
        <v>803</v>
      </c>
      <c r="F207" s="43">
        <v>99.25</v>
      </c>
      <c r="G207" s="40">
        <f t="shared" si="6"/>
        <v>-9.9560351867285263E-2</v>
      </c>
      <c r="H207" s="40">
        <v>90.616</v>
      </c>
      <c r="I207">
        <f t="shared" si="7"/>
        <v>4.0274503827366921E-2</v>
      </c>
    </row>
    <row r="208" spans="1:9" x14ac:dyDescent="0.2">
      <c r="A208" s="40" t="s">
        <v>175</v>
      </c>
      <c r="B208" s="42">
        <v>95.95</v>
      </c>
      <c r="D208" s="42"/>
      <c r="E208" s="40">
        <v>802</v>
      </c>
      <c r="F208" s="43">
        <v>109.64</v>
      </c>
      <c r="G208" s="40">
        <f t="shared" si="6"/>
        <v>6.5195431492934039E-2</v>
      </c>
      <c r="H208" s="40">
        <v>87.039000000000001</v>
      </c>
      <c r="I208">
        <f t="shared" si="7"/>
        <v>1.9548980082250998E-2</v>
      </c>
    </row>
    <row r="209" spans="1:9" x14ac:dyDescent="0.2">
      <c r="A209" s="40" t="s">
        <v>176</v>
      </c>
      <c r="B209" s="42">
        <v>101</v>
      </c>
      <c r="D209" s="42"/>
      <c r="E209" s="40">
        <v>801</v>
      </c>
      <c r="F209" s="43">
        <v>102.72</v>
      </c>
      <c r="G209" s="40">
        <f t="shared" si="6"/>
        <v>0.13888615776218258</v>
      </c>
      <c r="H209" s="40">
        <v>85.353999999999999</v>
      </c>
      <c r="I209">
        <f t="shared" si="7"/>
        <v>-2.0628372971194464E-2</v>
      </c>
    </row>
    <row r="210" spans="1:9" x14ac:dyDescent="0.2">
      <c r="A210" s="40" t="s">
        <v>177</v>
      </c>
      <c r="B210" s="42">
        <v>104.79</v>
      </c>
      <c r="D210" s="42"/>
      <c r="E210" s="40">
        <v>800</v>
      </c>
      <c r="F210" s="43">
        <v>89.4</v>
      </c>
      <c r="G210" s="40">
        <f t="shared" si="6"/>
        <v>-2.6055790641646787E-2</v>
      </c>
      <c r="H210" s="40">
        <v>87.132999999999996</v>
      </c>
      <c r="I210">
        <f t="shared" si="7"/>
        <v>-9.9920324771455866E-3</v>
      </c>
    </row>
    <row r="211" spans="1:9" x14ac:dyDescent="0.2">
      <c r="A211" s="40" t="s">
        <v>178</v>
      </c>
      <c r="B211" s="42">
        <v>102.31</v>
      </c>
      <c r="D211" s="42"/>
      <c r="E211" s="40">
        <v>799</v>
      </c>
      <c r="F211" s="43">
        <v>91.76</v>
      </c>
      <c r="G211" s="40">
        <f t="shared" si="6"/>
        <v>8.3016829567306119E-2</v>
      </c>
      <c r="H211" s="40">
        <v>88.007999999999996</v>
      </c>
      <c r="I211">
        <f t="shared" si="7"/>
        <v>2.4185684923204137E-2</v>
      </c>
    </row>
    <row r="212" spans="1:9" x14ac:dyDescent="0.2">
      <c r="A212" s="40" t="s">
        <v>179</v>
      </c>
      <c r="B212" s="42">
        <v>99.78</v>
      </c>
      <c r="D212" s="42"/>
      <c r="E212" s="40">
        <v>798</v>
      </c>
      <c r="F212" s="43">
        <v>84.45</v>
      </c>
      <c r="G212" s="40">
        <f t="shared" si="6"/>
        <v>-2.1206347965888054E-2</v>
      </c>
      <c r="H212" s="40">
        <v>85.905000000000001</v>
      </c>
      <c r="I212">
        <f t="shared" si="7"/>
        <v>-3.4989759006267197E-2</v>
      </c>
    </row>
    <row r="213" spans="1:9" x14ac:dyDescent="0.2">
      <c r="A213" s="41">
        <v>39117</v>
      </c>
      <c r="B213" s="42">
        <v>98.92</v>
      </c>
      <c r="D213" s="42"/>
      <c r="E213" s="40">
        <v>797</v>
      </c>
      <c r="F213" s="43">
        <v>86.26</v>
      </c>
      <c r="G213" s="40">
        <f t="shared" si="6"/>
        <v>-4.8867446908370658E-2</v>
      </c>
      <c r="H213" s="40">
        <v>88.963999999999999</v>
      </c>
      <c r="I213">
        <f t="shared" si="7"/>
        <v>-5.4703750442731099E-3</v>
      </c>
    </row>
    <row r="214" spans="1:9" x14ac:dyDescent="0.2">
      <c r="A214" s="41">
        <v>39145</v>
      </c>
      <c r="B214" s="42">
        <v>94.98</v>
      </c>
      <c r="D214" s="42"/>
      <c r="E214" s="40">
        <v>796</v>
      </c>
      <c r="F214" s="43">
        <v>90.58</v>
      </c>
      <c r="G214" s="40">
        <f t="shared" si="6"/>
        <v>5.9794220895363183E-3</v>
      </c>
      <c r="H214" s="40">
        <v>89.451999999999998</v>
      </c>
      <c r="I214">
        <f t="shared" si="7"/>
        <v>-1.0132723015414834E-2</v>
      </c>
    </row>
    <row r="215" spans="1:9" x14ac:dyDescent="0.2">
      <c r="A215" s="41">
        <v>39176</v>
      </c>
      <c r="B215" s="42">
        <v>96.12</v>
      </c>
      <c r="D215" s="42"/>
      <c r="E215" s="40">
        <v>795</v>
      </c>
      <c r="F215" s="43">
        <v>90.04</v>
      </c>
      <c r="G215" s="40">
        <f t="shared" si="6"/>
        <v>0.10481769445473224</v>
      </c>
      <c r="H215" s="40">
        <v>90.363</v>
      </c>
      <c r="I215">
        <f t="shared" si="7"/>
        <v>7.7468334857043133E-5</v>
      </c>
    </row>
    <row r="216" spans="1:9" x14ac:dyDescent="0.2">
      <c r="A216" s="41">
        <v>39206</v>
      </c>
      <c r="B216" s="42">
        <v>93.6</v>
      </c>
      <c r="D216" s="42"/>
      <c r="E216" s="40">
        <v>794</v>
      </c>
      <c r="F216" s="43">
        <v>81.08</v>
      </c>
      <c r="G216" s="40">
        <f t="shared" si="6"/>
        <v>-2.0508531293543103E-2</v>
      </c>
      <c r="H216" s="40">
        <v>90.355999999999995</v>
      </c>
      <c r="I216">
        <f t="shared" si="7"/>
        <v>1.1738260320383049E-3</v>
      </c>
    </row>
    <row r="217" spans="1:9" x14ac:dyDescent="0.2">
      <c r="A217" s="41">
        <v>39329</v>
      </c>
      <c r="B217" s="42">
        <v>92.3</v>
      </c>
      <c r="D217" s="42"/>
      <c r="E217" s="40">
        <v>793</v>
      </c>
      <c r="F217" s="43">
        <v>82.76</v>
      </c>
      <c r="G217" s="40">
        <f t="shared" si="6"/>
        <v>5.3483373698300682E-2</v>
      </c>
      <c r="H217" s="40">
        <v>90.25</v>
      </c>
      <c r="I217">
        <f t="shared" si="7"/>
        <v>-2.5284289417008922E-2</v>
      </c>
    </row>
    <row r="218" spans="1:9" x14ac:dyDescent="0.2">
      <c r="A218" s="41">
        <v>39359</v>
      </c>
      <c r="B218" s="42">
        <v>87.37</v>
      </c>
      <c r="D218" s="42"/>
      <c r="E218" s="40">
        <v>792</v>
      </c>
      <c r="F218" s="43">
        <v>78.45</v>
      </c>
      <c r="G218" s="40">
        <f t="shared" si="6"/>
        <v>2.4256124054009752E-2</v>
      </c>
      <c r="H218" s="40">
        <v>92.561000000000007</v>
      </c>
      <c r="I218">
        <f t="shared" si="7"/>
        <v>-2.6030057380516999E-2</v>
      </c>
    </row>
    <row r="219" spans="1:9" x14ac:dyDescent="0.2">
      <c r="A219" s="41">
        <v>39390</v>
      </c>
      <c r="B219" s="42">
        <v>93.47</v>
      </c>
      <c r="D219" s="42"/>
      <c r="E219" s="40">
        <v>791</v>
      </c>
      <c r="F219" s="43">
        <v>76.569999999999993</v>
      </c>
      <c r="G219" s="40">
        <f t="shared" si="6"/>
        <v>7.4720148387008361E-3</v>
      </c>
      <c r="H219" s="40">
        <v>95.001999999999995</v>
      </c>
      <c r="I219">
        <f t="shared" si="7"/>
        <v>7.5334101677042142E-3</v>
      </c>
    </row>
    <row r="220" spans="1:9" x14ac:dyDescent="0.2">
      <c r="A220" s="41">
        <v>39420</v>
      </c>
      <c r="B220" s="42">
        <v>91.38</v>
      </c>
      <c r="D220" s="42"/>
      <c r="E220" s="40">
        <v>790</v>
      </c>
      <c r="F220" s="43">
        <v>76</v>
      </c>
      <c r="G220" s="40">
        <f t="shared" si="6"/>
        <v>-1.0080598553475999E-2</v>
      </c>
      <c r="H220" s="40">
        <v>94.289000000000001</v>
      </c>
      <c r="I220">
        <f t="shared" si="7"/>
        <v>3.0736196516215848E-2</v>
      </c>
    </row>
    <row r="221" spans="1:9" x14ac:dyDescent="0.2">
      <c r="A221" s="40" t="s">
        <v>180</v>
      </c>
      <c r="B221" s="42">
        <v>88.71</v>
      </c>
      <c r="D221" s="42"/>
      <c r="E221" s="40">
        <v>789</v>
      </c>
      <c r="F221" s="43">
        <v>76.77</v>
      </c>
      <c r="G221" s="40">
        <f t="shared" si="6"/>
        <v>2.2168620932615118E-3</v>
      </c>
      <c r="H221" s="40">
        <v>91.435000000000002</v>
      </c>
      <c r="I221">
        <f t="shared" si="7"/>
        <v>1.1693852419381397E-2</v>
      </c>
    </row>
    <row r="222" spans="1:9" x14ac:dyDescent="0.2">
      <c r="A222" s="40" t="s">
        <v>181</v>
      </c>
      <c r="B222" s="42">
        <v>83.98</v>
      </c>
      <c r="D222" s="42"/>
      <c r="E222" s="40">
        <v>788</v>
      </c>
      <c r="F222" s="43">
        <v>76.599999999999994</v>
      </c>
      <c r="G222" s="40">
        <f t="shared" si="6"/>
        <v>1.4370634127709018E-3</v>
      </c>
      <c r="H222" s="40">
        <v>90.372</v>
      </c>
      <c r="I222">
        <f t="shared" si="7"/>
        <v>1.0836174342642601E-2</v>
      </c>
    </row>
    <row r="223" spans="1:9" x14ac:dyDescent="0.2">
      <c r="A223" s="40" t="s">
        <v>182</v>
      </c>
      <c r="B223" s="42">
        <v>83.68</v>
      </c>
      <c r="D223" s="42"/>
      <c r="E223" s="40">
        <v>787</v>
      </c>
      <c r="F223" s="43">
        <v>76.489999999999995</v>
      </c>
      <c r="G223" s="40">
        <f t="shared" si="6"/>
        <v>-1.0533942259601598E-2</v>
      </c>
      <c r="H223" s="40">
        <v>89.397999999999996</v>
      </c>
      <c r="I223">
        <f t="shared" si="7"/>
        <v>1.0604362443995301E-2</v>
      </c>
    </row>
    <row r="224" spans="1:9" x14ac:dyDescent="0.2">
      <c r="A224" s="40" t="s">
        <v>183</v>
      </c>
      <c r="B224" s="42">
        <v>80.59</v>
      </c>
      <c r="D224" s="42"/>
      <c r="E224" s="40">
        <v>786</v>
      </c>
      <c r="F224" s="43">
        <v>77.3</v>
      </c>
      <c r="G224" s="40">
        <f t="shared" si="6"/>
        <v>-2.0106971816523305E-2</v>
      </c>
      <c r="H224" s="40">
        <v>88.454999999999998</v>
      </c>
      <c r="I224">
        <f t="shared" si="7"/>
        <v>7.016816326238501E-3</v>
      </c>
    </row>
    <row r="225" spans="1:9" x14ac:dyDescent="0.2">
      <c r="A225" s="40" t="s">
        <v>184</v>
      </c>
      <c r="B225" s="42">
        <v>77.91</v>
      </c>
      <c r="D225" s="42"/>
      <c r="E225" s="40">
        <v>785</v>
      </c>
      <c r="F225" s="43">
        <v>78.87</v>
      </c>
      <c r="G225" s="40">
        <f t="shared" si="6"/>
        <v>-6.182468606326097E-2</v>
      </c>
      <c r="H225" s="40">
        <v>87.836500000000001</v>
      </c>
      <c r="I225">
        <f t="shared" si="7"/>
        <v>-1.2231164822240454E-3</v>
      </c>
    </row>
    <row r="226" spans="1:9" x14ac:dyDescent="0.2">
      <c r="A226" s="40" t="s">
        <v>185</v>
      </c>
      <c r="B226" s="42">
        <v>79.180000000000007</v>
      </c>
      <c r="D226" s="42"/>
      <c r="E226" s="40">
        <v>784</v>
      </c>
      <c r="F226" s="43">
        <v>83.9</v>
      </c>
      <c r="G226" s="40">
        <f t="shared" si="6"/>
        <v>-3.3750566897044129E-2</v>
      </c>
      <c r="H226" s="40">
        <v>87.944000000000003</v>
      </c>
      <c r="I226">
        <f t="shared" si="7"/>
        <v>-3.2927730991040724E-2</v>
      </c>
    </row>
    <row r="227" spans="1:9" x14ac:dyDescent="0.2">
      <c r="A227" s="40" t="s">
        <v>186</v>
      </c>
      <c r="B227" s="42">
        <v>79.33</v>
      </c>
      <c r="D227" s="42"/>
      <c r="E227" s="40">
        <v>783</v>
      </c>
      <c r="F227" s="43">
        <v>86.78</v>
      </c>
      <c r="G227" s="40">
        <f t="shared" si="6"/>
        <v>-6.0258517635368172E-2</v>
      </c>
      <c r="H227" s="40">
        <v>90.888000000000005</v>
      </c>
      <c r="I227">
        <f t="shared" si="7"/>
        <v>-1.121449819642103E-2</v>
      </c>
    </row>
    <row r="228" spans="1:9" x14ac:dyDescent="0.2">
      <c r="A228" s="40" t="s">
        <v>187</v>
      </c>
      <c r="B228" s="42">
        <v>77.83</v>
      </c>
      <c r="D228" s="42"/>
      <c r="E228" s="40">
        <v>782</v>
      </c>
      <c r="F228" s="43">
        <v>92.17</v>
      </c>
      <c r="G228" s="40">
        <f t="shared" si="6"/>
        <v>3.7811269650047677E-2</v>
      </c>
      <c r="H228" s="40">
        <v>91.912999999999997</v>
      </c>
      <c r="I228">
        <f t="shared" si="7"/>
        <v>6.9126547196097954E-2</v>
      </c>
    </row>
    <row r="229" spans="1:9" x14ac:dyDescent="0.2">
      <c r="A229" s="40" t="s">
        <v>188</v>
      </c>
      <c r="B229" s="42">
        <v>80.790000000000006</v>
      </c>
      <c r="D229" s="42"/>
      <c r="E229" s="40">
        <v>781</v>
      </c>
      <c r="F229" s="43">
        <v>88.75</v>
      </c>
      <c r="G229" s="40">
        <f t="shared" si="6"/>
        <v>2.8341515267037733E-2</v>
      </c>
      <c r="H229" s="40">
        <v>85.774000000000001</v>
      </c>
      <c r="I229">
        <f t="shared" si="7"/>
        <v>-2.0242811906562481E-2</v>
      </c>
    </row>
    <row r="230" spans="1:9" x14ac:dyDescent="0.2">
      <c r="A230" s="40" t="s">
        <v>189</v>
      </c>
      <c r="B230" s="42">
        <v>81.67</v>
      </c>
      <c r="D230" s="42"/>
      <c r="E230" s="40">
        <v>780</v>
      </c>
      <c r="F230" s="43">
        <v>86.27</v>
      </c>
      <c r="G230" s="40">
        <f t="shared" si="6"/>
        <v>2.9526346526205786E-2</v>
      </c>
      <c r="H230" s="40">
        <v>87.528000000000006</v>
      </c>
      <c r="I230">
        <f t="shared" si="7"/>
        <v>-5.7075262387146372E-2</v>
      </c>
    </row>
    <row r="231" spans="1:9" x14ac:dyDescent="0.2">
      <c r="A231" s="40" t="s">
        <v>190</v>
      </c>
      <c r="B231" s="42">
        <v>80.66</v>
      </c>
      <c r="D231" s="42"/>
      <c r="E231" s="40">
        <v>779</v>
      </c>
      <c r="F231" s="43">
        <v>83.76</v>
      </c>
      <c r="G231" s="40">
        <f t="shared" si="6"/>
        <v>-6.0343667694394525E-2</v>
      </c>
      <c r="H231" s="40">
        <v>92.668999999999997</v>
      </c>
      <c r="I231">
        <f t="shared" si="7"/>
        <v>4.3774115246101385E-2</v>
      </c>
    </row>
    <row r="232" spans="1:9" x14ac:dyDescent="0.2">
      <c r="A232" s="40" t="s">
        <v>191</v>
      </c>
      <c r="B232" s="42">
        <v>85.33</v>
      </c>
      <c r="D232" s="42"/>
      <c r="E232" s="40">
        <v>778</v>
      </c>
      <c r="F232" s="43">
        <v>88.97</v>
      </c>
      <c r="G232" s="40">
        <f t="shared" si="6"/>
        <v>2.7461419158504547E-2</v>
      </c>
      <c r="H232" s="40">
        <v>88.7</v>
      </c>
      <c r="I232">
        <f t="shared" si="7"/>
        <v>3.133128535257422E-2</v>
      </c>
    </row>
    <row r="233" spans="1:9" x14ac:dyDescent="0.2">
      <c r="A233" s="41">
        <v>39087</v>
      </c>
      <c r="B233" s="42">
        <v>81.28</v>
      </c>
      <c r="D233" s="42"/>
      <c r="E233" s="40">
        <v>777</v>
      </c>
      <c r="F233" s="43">
        <v>86.56</v>
      </c>
      <c r="G233" s="40">
        <f t="shared" si="6"/>
        <v>5.2534457346070443E-2</v>
      </c>
      <c r="H233" s="40">
        <v>85.963999999999999</v>
      </c>
      <c r="I233">
        <f t="shared" si="7"/>
        <v>8.4929920961442813E-3</v>
      </c>
    </row>
    <row r="234" spans="1:9" x14ac:dyDescent="0.2">
      <c r="A234" s="41">
        <v>39118</v>
      </c>
      <c r="B234" s="42">
        <v>82.59</v>
      </c>
      <c r="D234" s="42"/>
      <c r="E234" s="40">
        <v>776</v>
      </c>
      <c r="F234" s="43">
        <v>82.13</v>
      </c>
      <c r="G234" s="40">
        <f t="shared" si="6"/>
        <v>-1.1861673812834143E-2</v>
      </c>
      <c r="H234" s="40">
        <v>85.236999999999995</v>
      </c>
      <c r="I234">
        <f t="shared" si="7"/>
        <v>3.5319700777693946E-2</v>
      </c>
    </row>
    <row r="235" spans="1:9" x14ac:dyDescent="0.2">
      <c r="A235" s="41">
        <v>39146</v>
      </c>
      <c r="B235" s="42">
        <v>78.81</v>
      </c>
      <c r="D235" s="42"/>
      <c r="E235" s="40">
        <v>775</v>
      </c>
      <c r="F235" s="43">
        <v>83.11</v>
      </c>
      <c r="G235" s="40">
        <f t="shared" si="6"/>
        <v>-9.5797643170430612E-3</v>
      </c>
      <c r="H235" s="40">
        <v>82.278999999999996</v>
      </c>
      <c r="I235">
        <f t="shared" si="7"/>
        <v>3.9251341121431506E-2</v>
      </c>
    </row>
    <row r="236" spans="1:9" x14ac:dyDescent="0.2">
      <c r="A236" s="41">
        <v>39177</v>
      </c>
      <c r="B236" s="42">
        <v>77.099999999999994</v>
      </c>
      <c r="D236" s="42"/>
      <c r="E236" s="40">
        <v>774</v>
      </c>
      <c r="F236" s="43">
        <v>83.91</v>
      </c>
      <c r="G236" s="40">
        <f t="shared" si="6"/>
        <v>5.512049097485839E-2</v>
      </c>
      <c r="H236" s="40">
        <v>79.111999999999995</v>
      </c>
      <c r="I236">
        <f t="shared" si="7"/>
        <v>1.8485616484969339E-2</v>
      </c>
    </row>
    <row r="237" spans="1:9" x14ac:dyDescent="0.2">
      <c r="A237" s="41">
        <v>39268</v>
      </c>
      <c r="B237" s="42">
        <v>78.510000000000005</v>
      </c>
      <c r="D237" s="42"/>
      <c r="E237" s="40">
        <v>773</v>
      </c>
      <c r="F237" s="43">
        <v>79.41</v>
      </c>
      <c r="G237" s="40">
        <f t="shared" si="6"/>
        <v>2.2026480924049928E-2</v>
      </c>
      <c r="H237" s="40">
        <v>77.662999999999997</v>
      </c>
      <c r="I237">
        <f t="shared" si="7"/>
        <v>-1.3276908340215485E-2</v>
      </c>
    </row>
    <row r="238" spans="1:9" x14ac:dyDescent="0.2">
      <c r="A238" s="41">
        <v>39299</v>
      </c>
      <c r="B238" s="42">
        <v>79.900000000000006</v>
      </c>
      <c r="D238" s="42"/>
      <c r="E238" s="40">
        <v>772</v>
      </c>
      <c r="F238" s="43">
        <v>77.680000000000007</v>
      </c>
      <c r="G238" s="40">
        <f t="shared" si="6"/>
        <v>2.9652571201917834E-3</v>
      </c>
      <c r="H238" s="40">
        <v>78.700999999999993</v>
      </c>
      <c r="I238">
        <f t="shared" si="7"/>
        <v>-4.9558700356473976E-3</v>
      </c>
    </row>
    <row r="239" spans="1:9" x14ac:dyDescent="0.2">
      <c r="A239" s="41">
        <v>39330</v>
      </c>
      <c r="B239" s="42">
        <v>85.89</v>
      </c>
      <c r="D239" s="42"/>
      <c r="E239" s="40">
        <v>771</v>
      </c>
      <c r="F239" s="43">
        <v>77.45</v>
      </c>
      <c r="G239" s="40">
        <f t="shared" si="6"/>
        <v>-3.6883973083856041E-2</v>
      </c>
      <c r="H239" s="40">
        <v>79.091999999999999</v>
      </c>
      <c r="I239">
        <f t="shared" si="7"/>
        <v>3.483022221813977E-3</v>
      </c>
    </row>
    <row r="240" spans="1:9" x14ac:dyDescent="0.2">
      <c r="A240" s="41">
        <v>39360</v>
      </c>
      <c r="B240" s="42">
        <v>83.58</v>
      </c>
      <c r="D240" s="42"/>
      <c r="E240" s="40">
        <v>770</v>
      </c>
      <c r="F240" s="43">
        <v>80.36</v>
      </c>
      <c r="G240" s="40">
        <f t="shared" si="6"/>
        <v>2.2908490796870122E-2</v>
      </c>
      <c r="H240" s="40">
        <v>78.816999999999993</v>
      </c>
      <c r="I240">
        <f t="shared" si="7"/>
        <v>3.5461255424846928E-3</v>
      </c>
    </row>
    <row r="241" spans="1:9" x14ac:dyDescent="0.2">
      <c r="A241" s="41">
        <v>39391</v>
      </c>
      <c r="B241" s="42">
        <v>79.47</v>
      </c>
      <c r="D241" s="42"/>
      <c r="E241" s="40">
        <v>769</v>
      </c>
      <c r="F241" s="43">
        <v>78.540000000000006</v>
      </c>
      <c r="G241" s="40">
        <f t="shared" si="6"/>
        <v>-2.4649135274654004E-2</v>
      </c>
      <c r="H241" s="40">
        <v>78.537999999999997</v>
      </c>
      <c r="I241">
        <f t="shared" si="7"/>
        <v>0.15186988709008079</v>
      </c>
    </row>
    <row r="242" spans="1:9" x14ac:dyDescent="0.2">
      <c r="A242" s="40" t="s">
        <v>192</v>
      </c>
      <c r="B242" s="42">
        <v>82.02</v>
      </c>
      <c r="D242" s="42"/>
      <c r="E242" s="40">
        <v>768</v>
      </c>
      <c r="F242" s="43">
        <v>80.5</v>
      </c>
      <c r="G242" s="40">
        <f t="shared" si="6"/>
        <v>2.0583055975036499E-2</v>
      </c>
      <c r="H242" s="40">
        <v>67.471999999999994</v>
      </c>
      <c r="I242">
        <f t="shared" si="7"/>
        <v>-2.8923169477687381E-2</v>
      </c>
    </row>
    <row r="243" spans="1:9" x14ac:dyDescent="0.2">
      <c r="A243" s="40" t="s">
        <v>193</v>
      </c>
      <c r="B243" s="42">
        <v>76.680000000000007</v>
      </c>
      <c r="D243" s="42"/>
      <c r="E243" s="40">
        <v>767</v>
      </c>
      <c r="F243" s="43">
        <v>78.86</v>
      </c>
      <c r="G243" s="40">
        <f t="shared" si="6"/>
        <v>-2.5292446262734841E-2</v>
      </c>
      <c r="H243" s="40">
        <v>69.451999999999998</v>
      </c>
      <c r="I243">
        <f t="shared" si="7"/>
        <v>-4.45081026798105E-2</v>
      </c>
    </row>
    <row r="244" spans="1:9" x14ac:dyDescent="0.2">
      <c r="A244" s="40" t="s">
        <v>194</v>
      </c>
      <c r="B244" s="42">
        <v>70.260000000000005</v>
      </c>
      <c r="D244" s="42"/>
      <c r="E244" s="40">
        <v>766</v>
      </c>
      <c r="F244" s="43">
        <v>80.88</v>
      </c>
      <c r="G244" s="40">
        <f t="shared" si="6"/>
        <v>-4.5676660380561639E-2</v>
      </c>
      <c r="H244" s="40">
        <v>72.613</v>
      </c>
      <c r="I244">
        <f t="shared" si="7"/>
        <v>-6.1953179147009973E-4</v>
      </c>
    </row>
    <row r="245" spans="1:9" x14ac:dyDescent="0.2">
      <c r="A245" s="40" t="s">
        <v>195</v>
      </c>
      <c r="B245" s="42">
        <v>72.94</v>
      </c>
      <c r="D245" s="42"/>
      <c r="E245" s="40">
        <v>765</v>
      </c>
      <c r="F245" s="43">
        <v>84.66</v>
      </c>
      <c r="G245" s="40">
        <f t="shared" si="6"/>
        <v>-1.6866176340907431E-2</v>
      </c>
      <c r="H245" s="40">
        <v>72.658000000000001</v>
      </c>
      <c r="I245">
        <f t="shared" si="7"/>
        <v>-1.6949327000984164E-2</v>
      </c>
    </row>
    <row r="246" spans="1:9" x14ac:dyDescent="0.2">
      <c r="A246" s="40" t="s">
        <v>196</v>
      </c>
      <c r="B246" s="42">
        <v>75.430000000000007</v>
      </c>
      <c r="D246" s="42"/>
      <c r="E246" s="40">
        <v>764</v>
      </c>
      <c r="F246" s="43">
        <v>86.1</v>
      </c>
      <c r="G246" s="40">
        <f t="shared" si="6"/>
        <v>4.1136600720592095E-2</v>
      </c>
      <c r="H246" s="40">
        <v>73.900000000000006</v>
      </c>
      <c r="I246">
        <f t="shared" si="7"/>
        <v>2.4270509536844988E-2</v>
      </c>
    </row>
    <row r="247" spans="1:9" x14ac:dyDescent="0.2">
      <c r="A247" s="40" t="s">
        <v>197</v>
      </c>
      <c r="B247" s="42">
        <v>71.819999999999993</v>
      </c>
      <c r="D247" s="42"/>
      <c r="E247" s="40">
        <v>763</v>
      </c>
      <c r="F247" s="43">
        <v>82.63</v>
      </c>
      <c r="G247" s="40">
        <f t="shared" si="6"/>
        <v>2.7873737976669365E-3</v>
      </c>
      <c r="H247" s="40">
        <v>72.128</v>
      </c>
      <c r="I247">
        <f t="shared" si="7"/>
        <v>-1.662326531186588E-3</v>
      </c>
    </row>
    <row r="248" spans="1:9" x14ac:dyDescent="0.2">
      <c r="A248" s="40" t="s">
        <v>198</v>
      </c>
      <c r="B248" s="42">
        <v>72.36</v>
      </c>
      <c r="D248" s="42"/>
      <c r="E248" s="40">
        <v>762</v>
      </c>
      <c r="F248" s="43">
        <v>82.4</v>
      </c>
      <c r="G248" s="40">
        <f t="shared" si="6"/>
        <v>-9.3012689651701171E-3</v>
      </c>
      <c r="H248" s="40">
        <v>72.248000000000005</v>
      </c>
      <c r="I248">
        <f t="shared" si="7"/>
        <v>1.5930077270468425E-3</v>
      </c>
    </row>
    <row r="249" spans="1:9" x14ac:dyDescent="0.2">
      <c r="A249" s="40" t="s">
        <v>199</v>
      </c>
      <c r="B249" s="42">
        <v>71.44</v>
      </c>
      <c r="D249" s="42"/>
      <c r="E249" s="40">
        <v>761</v>
      </c>
      <c r="F249" s="43">
        <v>83.17</v>
      </c>
      <c r="G249" s="40">
        <f t="shared" si="6"/>
        <v>-0.11375371391696799</v>
      </c>
      <c r="H249" s="40">
        <v>72.132999999999996</v>
      </c>
      <c r="I249">
        <f t="shared" si="7"/>
        <v>3.5158162861090761E-2</v>
      </c>
    </row>
    <row r="250" spans="1:9" x14ac:dyDescent="0.2">
      <c r="A250" s="40" t="s">
        <v>200</v>
      </c>
      <c r="B250" s="42">
        <v>74.36</v>
      </c>
      <c r="D250" s="42"/>
      <c r="E250" s="40">
        <v>760</v>
      </c>
      <c r="F250" s="43">
        <v>93.19</v>
      </c>
      <c r="G250" s="40">
        <f t="shared" si="6"/>
        <v>9.6351606115549535E-2</v>
      </c>
      <c r="H250" s="40">
        <v>69.641000000000005</v>
      </c>
      <c r="I250">
        <f t="shared" si="7"/>
        <v>-6.5550542431981138E-3</v>
      </c>
    </row>
    <row r="251" spans="1:9" x14ac:dyDescent="0.2">
      <c r="A251" s="40" t="s">
        <v>201</v>
      </c>
      <c r="B251" s="42">
        <v>72.42</v>
      </c>
      <c r="D251" s="42"/>
      <c r="E251" s="40">
        <v>759</v>
      </c>
      <c r="F251" s="43">
        <v>84.63</v>
      </c>
      <c r="G251" s="40">
        <f t="shared" si="6"/>
        <v>3.2301541563289481E-2</v>
      </c>
      <c r="H251" s="40">
        <v>70.099000000000004</v>
      </c>
      <c r="I251">
        <f t="shared" si="7"/>
        <v>2.7126777206156222E-2</v>
      </c>
    </row>
    <row r="252" spans="1:9" x14ac:dyDescent="0.2">
      <c r="A252" s="40" t="s">
        <v>202</v>
      </c>
      <c r="B252" s="42">
        <v>72.48</v>
      </c>
      <c r="D252" s="42"/>
      <c r="E252" s="40">
        <v>758</v>
      </c>
      <c r="F252" s="43">
        <v>81.94</v>
      </c>
      <c r="G252" s="40">
        <f t="shared" si="6"/>
        <v>-1.3696353732255121E-2</v>
      </c>
      <c r="H252" s="40">
        <v>68.222999999999999</v>
      </c>
      <c r="I252">
        <f t="shared" si="7"/>
        <v>-1.6124808681661912E-2</v>
      </c>
    </row>
    <row r="253" spans="1:9" x14ac:dyDescent="0.2">
      <c r="A253" s="40" t="s">
        <v>203</v>
      </c>
      <c r="B253" s="42">
        <v>71.61</v>
      </c>
      <c r="D253" s="42"/>
      <c r="E253" s="40">
        <v>757</v>
      </c>
      <c r="F253" s="43">
        <v>83.07</v>
      </c>
      <c r="G253" s="40">
        <f t="shared" si="6"/>
        <v>3.0929670427671901E-2</v>
      </c>
      <c r="H253" s="40">
        <v>69.331999999999994</v>
      </c>
      <c r="I253">
        <f t="shared" si="7"/>
        <v>4.6830509363628064E-2</v>
      </c>
    </row>
    <row r="254" spans="1:9" x14ac:dyDescent="0.2">
      <c r="A254" s="40" t="s">
        <v>204</v>
      </c>
      <c r="B254" s="42">
        <v>72.2</v>
      </c>
      <c r="D254" s="42"/>
      <c r="E254" s="40">
        <v>756</v>
      </c>
      <c r="F254" s="43">
        <v>80.540000000000006</v>
      </c>
      <c r="G254" s="40">
        <f t="shared" si="6"/>
        <v>4.5338219877082246E-2</v>
      </c>
      <c r="H254" s="40">
        <v>66.16</v>
      </c>
      <c r="I254">
        <f t="shared" si="7"/>
        <v>4.851284470583582E-2</v>
      </c>
    </row>
    <row r="255" spans="1:9" x14ac:dyDescent="0.2">
      <c r="A255" s="41">
        <v>39088</v>
      </c>
      <c r="B255" s="42">
        <v>70.19</v>
      </c>
      <c r="D255" s="42"/>
      <c r="E255" s="40">
        <v>755</v>
      </c>
      <c r="F255" s="43">
        <v>76.97</v>
      </c>
      <c r="G255" s="40">
        <f t="shared" si="6"/>
        <v>-3.3347069452556534E-2</v>
      </c>
      <c r="H255" s="40">
        <v>63.027000000000001</v>
      </c>
      <c r="I255">
        <f t="shared" si="7"/>
        <v>2.4087103149894613E-2</v>
      </c>
    </row>
    <row r="256" spans="1:9" x14ac:dyDescent="0.2">
      <c r="A256" s="41">
        <v>39178</v>
      </c>
      <c r="B256" s="42">
        <v>70.739999999999995</v>
      </c>
      <c r="D256" s="42"/>
      <c r="E256" s="40">
        <v>754</v>
      </c>
      <c r="F256" s="43">
        <v>79.58</v>
      </c>
      <c r="G256" s="40">
        <f t="shared" si="6"/>
        <v>-4.5805784988035315E-2</v>
      </c>
      <c r="H256" s="40">
        <v>61.527000000000001</v>
      </c>
      <c r="I256">
        <f t="shared" si="7"/>
        <v>-2.0064872148657962E-2</v>
      </c>
    </row>
    <row r="257" spans="1:9" x14ac:dyDescent="0.2">
      <c r="A257" s="41">
        <v>39208</v>
      </c>
      <c r="B257" s="42">
        <v>69.239999999999995</v>
      </c>
      <c r="D257" s="42"/>
      <c r="E257" s="40">
        <v>753</v>
      </c>
      <c r="F257" s="43">
        <v>83.31</v>
      </c>
      <c r="G257" s="40">
        <f t="shared" si="6"/>
        <v>-1.8080663832825437E-2</v>
      </c>
      <c r="H257" s="40">
        <v>62.774000000000001</v>
      </c>
      <c r="I257">
        <f t="shared" si="7"/>
        <v>4.9345751245707323E-3</v>
      </c>
    </row>
    <row r="258" spans="1:9" x14ac:dyDescent="0.2">
      <c r="A258" s="41">
        <v>39239</v>
      </c>
      <c r="B258" s="42">
        <v>72.06</v>
      </c>
      <c r="D258" s="42"/>
      <c r="E258" s="40">
        <v>752</v>
      </c>
      <c r="F258" s="43">
        <v>84.83</v>
      </c>
      <c r="G258" s="40">
        <f t="shared" si="6"/>
        <v>-3.1675018835018824E-2</v>
      </c>
      <c r="H258" s="40">
        <v>62.465000000000003</v>
      </c>
      <c r="I258">
        <f t="shared" si="7"/>
        <v>2.3224468077390762E-2</v>
      </c>
    </row>
    <row r="259" spans="1:9" x14ac:dyDescent="0.2">
      <c r="A259" s="41">
        <v>39269</v>
      </c>
      <c r="B259" s="42">
        <v>75.83</v>
      </c>
      <c r="D259" s="42"/>
      <c r="E259" s="40">
        <v>751</v>
      </c>
      <c r="F259" s="43">
        <v>87.56</v>
      </c>
      <c r="G259" s="40">
        <f t="shared" ref="G259:G322" si="8">LN(F259/F260)</f>
        <v>6.2682470947807212E-2</v>
      </c>
      <c r="H259" s="40">
        <v>61.030999999999999</v>
      </c>
      <c r="I259">
        <f t="shared" ref="I259:I322" si="9">LN(H259/H260)</f>
        <v>-9.5558746852194947E-3</v>
      </c>
    </row>
    <row r="260" spans="1:9" x14ac:dyDescent="0.2">
      <c r="A260" s="41">
        <v>39300</v>
      </c>
      <c r="B260" s="42">
        <v>70.69</v>
      </c>
      <c r="D260" s="42"/>
      <c r="E260" s="40">
        <v>750</v>
      </c>
      <c r="F260" s="43">
        <v>82.24</v>
      </c>
      <c r="G260" s="40">
        <f t="shared" si="8"/>
        <v>-1.4006507657846189E-2</v>
      </c>
      <c r="H260" s="40">
        <v>61.616999999999997</v>
      </c>
      <c r="I260">
        <f t="shared" si="9"/>
        <v>4.1470554396906695E-3</v>
      </c>
    </row>
    <row r="261" spans="1:9" x14ac:dyDescent="0.2">
      <c r="A261" s="41">
        <v>39392</v>
      </c>
      <c r="B261" s="42">
        <v>68.73</v>
      </c>
      <c r="D261" s="42"/>
      <c r="E261" s="40">
        <v>749</v>
      </c>
      <c r="F261" s="43">
        <v>83.4</v>
      </c>
      <c r="G261" s="40">
        <f t="shared" si="8"/>
        <v>1.4493007302566824E-2</v>
      </c>
      <c r="H261" s="40">
        <v>61.362000000000002</v>
      </c>
      <c r="I261">
        <f t="shared" si="9"/>
        <v>2.4565098801497365E-2</v>
      </c>
    </row>
    <row r="262" spans="1:9" x14ac:dyDescent="0.2">
      <c r="A262" s="41">
        <v>39422</v>
      </c>
      <c r="B262" s="42">
        <v>69.48</v>
      </c>
      <c r="D262" s="42"/>
      <c r="E262" s="40">
        <v>748</v>
      </c>
      <c r="F262" s="43">
        <v>82.2</v>
      </c>
      <c r="G262" s="40">
        <f t="shared" si="8"/>
        <v>9.9028867231842257E-3</v>
      </c>
      <c r="H262" s="40">
        <v>59.872999999999998</v>
      </c>
      <c r="I262">
        <f t="shared" si="9"/>
        <v>3.6644481173998471E-3</v>
      </c>
    </row>
    <row r="263" spans="1:9" x14ac:dyDescent="0.2">
      <c r="A263" s="40" t="s">
        <v>205</v>
      </c>
      <c r="B263" s="42">
        <v>68.81</v>
      </c>
      <c r="D263" s="42"/>
      <c r="E263" s="40">
        <v>747</v>
      </c>
      <c r="F263" s="43">
        <v>81.39</v>
      </c>
      <c r="G263" s="40">
        <f t="shared" si="8"/>
        <v>5.5442758912306392E-3</v>
      </c>
      <c r="H263" s="40">
        <v>59.654000000000003</v>
      </c>
      <c r="I263">
        <f t="shared" si="9"/>
        <v>2.7361635266750142E-3</v>
      </c>
    </row>
    <row r="264" spans="1:9" x14ac:dyDescent="0.2">
      <c r="A264" s="40" t="s">
        <v>206</v>
      </c>
      <c r="B264" s="42">
        <v>63.52</v>
      </c>
      <c r="D264" s="42"/>
      <c r="E264" s="40">
        <v>746</v>
      </c>
      <c r="F264" s="43">
        <v>80.94</v>
      </c>
      <c r="G264" s="40">
        <f t="shared" si="8"/>
        <v>5.4197641876916426E-2</v>
      </c>
      <c r="H264" s="40">
        <v>59.491</v>
      </c>
      <c r="I264">
        <f t="shared" si="9"/>
        <v>4.0898339514214455E-2</v>
      </c>
    </row>
    <row r="265" spans="1:9" x14ac:dyDescent="0.2">
      <c r="A265" s="40" t="s">
        <v>207</v>
      </c>
      <c r="B265" s="42">
        <v>64.03</v>
      </c>
      <c r="D265" s="42"/>
      <c r="E265" s="40">
        <v>745</v>
      </c>
      <c r="F265" s="43">
        <v>76.67</v>
      </c>
      <c r="G265" s="40">
        <f t="shared" si="8"/>
        <v>-3.2086941612539284E-2</v>
      </c>
      <c r="H265" s="40">
        <v>57.106999999999999</v>
      </c>
      <c r="I265">
        <f t="shared" si="9"/>
        <v>1.8629029366706761E-2</v>
      </c>
    </row>
    <row r="266" spans="1:9" x14ac:dyDescent="0.2">
      <c r="A266" s="40" t="s">
        <v>208</v>
      </c>
      <c r="B266" s="42">
        <v>66.760000000000005</v>
      </c>
      <c r="D266" s="42"/>
      <c r="E266" s="40">
        <v>744</v>
      </c>
      <c r="F266" s="43">
        <v>79.17</v>
      </c>
      <c r="G266" s="40">
        <f t="shared" si="8"/>
        <v>-3.4511866006496361E-2</v>
      </c>
      <c r="H266" s="40">
        <v>56.052999999999997</v>
      </c>
      <c r="I266">
        <f t="shared" si="9"/>
        <v>-5.8522869035454146E-3</v>
      </c>
    </row>
    <row r="267" spans="1:9" x14ac:dyDescent="0.2">
      <c r="A267" s="40" t="s">
        <v>209</v>
      </c>
      <c r="B267" s="42">
        <v>67.239999999999995</v>
      </c>
      <c r="D267" s="42"/>
      <c r="E267" s="40">
        <v>743</v>
      </c>
      <c r="F267" s="43">
        <v>81.95</v>
      </c>
      <c r="G267" s="40">
        <f t="shared" si="8"/>
        <v>-5.218368493749282E-2</v>
      </c>
      <c r="H267" s="40">
        <v>56.381999999999998</v>
      </c>
      <c r="I267">
        <f t="shared" si="9"/>
        <v>3.0103450553248329E-2</v>
      </c>
    </row>
    <row r="268" spans="1:9" x14ac:dyDescent="0.2">
      <c r="A268" s="40" t="s">
        <v>210</v>
      </c>
      <c r="B268" s="42">
        <v>76.8</v>
      </c>
      <c r="D268" s="42"/>
      <c r="E268" s="40">
        <v>742</v>
      </c>
      <c r="F268" s="43">
        <v>86.34</v>
      </c>
      <c r="G268" s="40">
        <f t="shared" si="8"/>
        <v>-5.6514755780368575E-2</v>
      </c>
      <c r="H268" s="40">
        <v>54.71</v>
      </c>
      <c r="I268">
        <f t="shared" si="9"/>
        <v>-2.0450651688040068E-3</v>
      </c>
    </row>
    <row r="269" spans="1:9" x14ac:dyDescent="0.2">
      <c r="A269" s="40" t="s">
        <v>211</v>
      </c>
      <c r="B269" s="42">
        <v>74.760000000000005</v>
      </c>
      <c r="D269" s="42"/>
      <c r="E269" s="40">
        <v>741</v>
      </c>
      <c r="F269" s="43">
        <v>91.36</v>
      </c>
      <c r="G269" s="40">
        <f t="shared" si="8"/>
        <v>1.9564039298213001E-2</v>
      </c>
      <c r="H269" s="40">
        <v>54.822000000000003</v>
      </c>
      <c r="I269">
        <f t="shared" si="9"/>
        <v>8.6469596773201644E-3</v>
      </c>
    </row>
    <row r="270" spans="1:9" x14ac:dyDescent="0.2">
      <c r="A270" s="40" t="s">
        <v>212</v>
      </c>
      <c r="B270" s="42">
        <v>78.349999999999994</v>
      </c>
      <c r="D270" s="42"/>
      <c r="E270" s="40">
        <v>740</v>
      </c>
      <c r="F270" s="43">
        <v>89.59</v>
      </c>
      <c r="G270" s="40">
        <f t="shared" si="8"/>
        <v>4.0082787948104034E-2</v>
      </c>
      <c r="H270" s="40">
        <v>54.35</v>
      </c>
      <c r="I270">
        <f t="shared" si="9"/>
        <v>2.2514673235551053E-2</v>
      </c>
    </row>
    <row r="271" spans="1:9" x14ac:dyDescent="0.2">
      <c r="A271" s="40" t="s">
        <v>213</v>
      </c>
      <c r="B271" s="42">
        <v>78.069999999999993</v>
      </c>
      <c r="D271" s="42"/>
      <c r="E271" s="40">
        <v>739</v>
      </c>
      <c r="F271" s="43">
        <v>86.07</v>
      </c>
      <c r="G271" s="40">
        <f t="shared" si="8"/>
        <v>0.13049860137707217</v>
      </c>
      <c r="H271" s="40">
        <v>53.14</v>
      </c>
      <c r="I271">
        <f t="shared" si="9"/>
        <v>1.6832634867055305E-2</v>
      </c>
    </row>
    <row r="272" spans="1:9" x14ac:dyDescent="0.2">
      <c r="A272" s="40" t="s">
        <v>214</v>
      </c>
      <c r="B272" s="42">
        <v>82.01</v>
      </c>
      <c r="D272" s="42"/>
      <c r="E272" s="40">
        <v>738</v>
      </c>
      <c r="F272" s="43">
        <v>75.540000000000006</v>
      </c>
      <c r="G272" s="40">
        <f t="shared" si="8"/>
        <v>-2.0311253186859949E-2</v>
      </c>
      <c r="H272" s="40">
        <v>52.253</v>
      </c>
      <c r="I272">
        <f t="shared" si="9"/>
        <v>6.2299372327139918E-2</v>
      </c>
    </row>
    <row r="273" spans="1:9" x14ac:dyDescent="0.2">
      <c r="A273" s="40" t="s">
        <v>215</v>
      </c>
      <c r="B273" s="42">
        <v>78.48</v>
      </c>
      <c r="D273" s="42"/>
      <c r="E273" s="40">
        <v>737</v>
      </c>
      <c r="F273" s="43">
        <v>77.09</v>
      </c>
      <c r="G273" s="40">
        <f t="shared" si="8"/>
        <v>-1.9270894406912747E-2</v>
      </c>
      <c r="H273" s="40">
        <v>49.097000000000001</v>
      </c>
      <c r="I273">
        <f t="shared" si="9"/>
        <v>2.2638589764327754E-2</v>
      </c>
    </row>
    <row r="274" spans="1:9" x14ac:dyDescent="0.2">
      <c r="A274" s="40" t="s">
        <v>216</v>
      </c>
      <c r="B274" s="42">
        <v>76.040000000000006</v>
      </c>
      <c r="D274" s="42"/>
      <c r="E274" s="40">
        <v>736</v>
      </c>
      <c r="F274" s="43">
        <v>78.59</v>
      </c>
      <c r="G274" s="40">
        <f t="shared" si="8"/>
        <v>-3.3409425681497178E-2</v>
      </c>
      <c r="H274" s="40">
        <v>47.997999999999998</v>
      </c>
      <c r="I274">
        <f t="shared" si="9"/>
        <v>8.9780548022143636E-3</v>
      </c>
    </row>
    <row r="275" spans="1:9" x14ac:dyDescent="0.2">
      <c r="A275" s="40" t="s">
        <v>217</v>
      </c>
      <c r="B275" s="42">
        <v>76.94</v>
      </c>
      <c r="D275" s="42"/>
      <c r="E275" s="40">
        <v>735</v>
      </c>
      <c r="F275" s="43">
        <v>81.260000000000005</v>
      </c>
      <c r="G275" s="40">
        <f t="shared" si="8"/>
        <v>-1.9619224301370457E-2</v>
      </c>
      <c r="H275" s="40">
        <v>47.569000000000003</v>
      </c>
      <c r="I275">
        <f t="shared" si="9"/>
        <v>-1.2513611591216481E-2</v>
      </c>
    </row>
    <row r="276" spans="1:9" x14ac:dyDescent="0.2">
      <c r="A276" s="41">
        <v>39120</v>
      </c>
      <c r="B276" s="42">
        <v>75.56</v>
      </c>
      <c r="D276" s="42"/>
      <c r="E276" s="40">
        <v>734</v>
      </c>
      <c r="F276" s="43">
        <v>82.87</v>
      </c>
      <c r="G276" s="40">
        <f t="shared" si="8"/>
        <v>-5.5393721314046455E-2</v>
      </c>
      <c r="H276" s="40">
        <v>48.167999999999999</v>
      </c>
      <c r="I276">
        <f t="shared" si="9"/>
        <v>-2.7722115120764373E-2</v>
      </c>
    </row>
    <row r="277" spans="1:9" x14ac:dyDescent="0.2">
      <c r="A277" s="41">
        <v>39148</v>
      </c>
      <c r="B277" s="42">
        <v>74.63</v>
      </c>
      <c r="D277" s="42"/>
      <c r="E277" s="40">
        <v>733</v>
      </c>
      <c r="F277" s="43">
        <v>87.59</v>
      </c>
      <c r="G277" s="40">
        <f t="shared" si="8"/>
        <v>-2.3246363876144253E-2</v>
      </c>
      <c r="H277" s="40">
        <v>49.521999999999998</v>
      </c>
      <c r="I277">
        <f t="shared" si="9"/>
        <v>0</v>
      </c>
    </row>
    <row r="278" spans="1:9" x14ac:dyDescent="0.2">
      <c r="A278" s="41">
        <v>39209</v>
      </c>
      <c r="B278" s="42">
        <v>75.86</v>
      </c>
      <c r="D278" s="42"/>
      <c r="E278" s="40">
        <v>732</v>
      </c>
      <c r="F278" s="43">
        <v>89.65</v>
      </c>
      <c r="G278" s="40">
        <f t="shared" si="8"/>
        <v>1.755418092943763E-2</v>
      </c>
      <c r="H278" s="40">
        <v>49.521999999999998</v>
      </c>
      <c r="I278">
        <f t="shared" si="9"/>
        <v>2.1225207333725521E-3</v>
      </c>
    </row>
    <row r="279" spans="1:9" x14ac:dyDescent="0.2">
      <c r="A279" s="41">
        <v>39240</v>
      </c>
      <c r="B279" s="42">
        <v>74.849999999999994</v>
      </c>
      <c r="D279" s="42"/>
      <c r="E279" s="40">
        <v>731</v>
      </c>
      <c r="F279" s="43">
        <v>88.09</v>
      </c>
      <c r="G279" s="40">
        <f t="shared" si="8"/>
        <v>1.2910776308750444E-2</v>
      </c>
      <c r="H279" s="40">
        <v>49.417000000000002</v>
      </c>
      <c r="I279">
        <f t="shared" si="9"/>
        <v>2.7964677379560938E-3</v>
      </c>
    </row>
    <row r="280" spans="1:9" x14ac:dyDescent="0.2">
      <c r="A280" s="41">
        <v>39332</v>
      </c>
      <c r="B280" s="42">
        <v>73.05</v>
      </c>
      <c r="D280" s="42"/>
      <c r="E280" s="40">
        <v>730</v>
      </c>
      <c r="F280" s="43">
        <v>86.96</v>
      </c>
      <c r="G280" s="40">
        <f t="shared" si="8"/>
        <v>3.1097059324050207E-3</v>
      </c>
      <c r="H280" s="40">
        <v>49.279000000000003</v>
      </c>
      <c r="I280">
        <f t="shared" si="9"/>
        <v>9.1531487380137472E-3</v>
      </c>
    </row>
    <row r="281" spans="1:9" x14ac:dyDescent="0.2">
      <c r="A281" s="41">
        <v>39362</v>
      </c>
      <c r="B281" s="42">
        <v>79.989999999999995</v>
      </c>
      <c r="D281" s="42"/>
      <c r="E281" s="40">
        <v>729</v>
      </c>
      <c r="F281" s="43">
        <v>86.69</v>
      </c>
      <c r="G281" s="40">
        <f t="shared" si="8"/>
        <v>5.4363675615604484E-3</v>
      </c>
      <c r="H281" s="40">
        <v>48.83</v>
      </c>
      <c r="I281">
        <f t="shared" si="9"/>
        <v>-3.2713175769146555E-3</v>
      </c>
    </row>
    <row r="282" spans="1:9" x14ac:dyDescent="0.2">
      <c r="A282" s="41">
        <v>39393</v>
      </c>
      <c r="B282" s="42">
        <v>81.55</v>
      </c>
      <c r="D282" s="42"/>
      <c r="E282" s="40">
        <v>728</v>
      </c>
      <c r="F282" s="43">
        <v>86.22</v>
      </c>
      <c r="G282" s="40">
        <f t="shared" si="8"/>
        <v>-3.0272458431395293E-2</v>
      </c>
      <c r="H282" s="40">
        <v>48.99</v>
      </c>
      <c r="I282">
        <f t="shared" si="9"/>
        <v>1.8105354455701973E-2</v>
      </c>
    </row>
    <row r="283" spans="1:9" x14ac:dyDescent="0.2">
      <c r="A283" s="41">
        <v>39423</v>
      </c>
      <c r="B283" s="42">
        <v>76.599999999999994</v>
      </c>
      <c r="D283" s="42"/>
      <c r="E283" s="40">
        <v>727</v>
      </c>
      <c r="F283" s="43">
        <v>88.87</v>
      </c>
      <c r="G283" s="40">
        <f t="shared" si="8"/>
        <v>2.8170619790404972E-3</v>
      </c>
      <c r="H283" s="40">
        <v>48.110999999999997</v>
      </c>
      <c r="I283">
        <f t="shared" si="9"/>
        <v>-3.0560634445744483E-2</v>
      </c>
    </row>
    <row r="284" spans="1:9" x14ac:dyDescent="0.2">
      <c r="A284" s="40" t="s">
        <v>218</v>
      </c>
      <c r="B284" s="42">
        <v>76.650000000000006</v>
      </c>
      <c r="D284" s="42"/>
      <c r="E284" s="40">
        <v>726</v>
      </c>
      <c r="F284" s="43">
        <v>88.62</v>
      </c>
      <c r="G284" s="40">
        <f t="shared" si="8"/>
        <v>-1.3784047458224468E-2</v>
      </c>
      <c r="H284" s="40">
        <v>49.603999999999999</v>
      </c>
      <c r="I284">
        <f t="shared" si="9"/>
        <v>-9.4903452036371096E-3</v>
      </c>
    </row>
    <row r="285" spans="1:9" x14ac:dyDescent="0.2">
      <c r="A285" s="40" t="s">
        <v>219</v>
      </c>
      <c r="B285" s="42">
        <v>72.56</v>
      </c>
      <c r="D285" s="42"/>
      <c r="E285" s="40">
        <v>725</v>
      </c>
      <c r="F285" s="43">
        <v>89.85</v>
      </c>
      <c r="G285" s="40">
        <f t="shared" si="8"/>
        <v>-2.5601574062794341E-2</v>
      </c>
      <c r="H285" s="40">
        <v>50.076999999999998</v>
      </c>
      <c r="I285">
        <f t="shared" si="9"/>
        <v>2.3988944253608712E-2</v>
      </c>
    </row>
    <row r="286" spans="1:9" x14ac:dyDescent="0.2">
      <c r="A286" s="40" t="s">
        <v>220</v>
      </c>
      <c r="B286" s="42">
        <v>72.41</v>
      </c>
      <c r="D286" s="42"/>
      <c r="E286" s="40">
        <v>724</v>
      </c>
      <c r="F286" s="43">
        <v>92.18</v>
      </c>
      <c r="G286" s="40">
        <f t="shared" si="8"/>
        <v>3.76944322121344E-2</v>
      </c>
      <c r="H286" s="40">
        <v>48.89</v>
      </c>
      <c r="I286">
        <f t="shared" si="9"/>
        <v>1.1106654691250913E-2</v>
      </c>
    </row>
    <row r="287" spans="1:9" x14ac:dyDescent="0.2">
      <c r="A287" s="40" t="s">
        <v>221</v>
      </c>
      <c r="B287" s="42">
        <v>73.569999999999993</v>
      </c>
      <c r="D287" s="42"/>
      <c r="E287" s="40">
        <v>723</v>
      </c>
      <c r="F287" s="43">
        <v>88.77</v>
      </c>
      <c r="G287" s="40">
        <f t="shared" si="8"/>
        <v>1.1271416883122101E-3</v>
      </c>
      <c r="H287" s="40">
        <v>48.35</v>
      </c>
      <c r="I287">
        <f t="shared" si="9"/>
        <v>5.4335561624425004E-3</v>
      </c>
    </row>
    <row r="288" spans="1:9" x14ac:dyDescent="0.2">
      <c r="A288" s="40" t="s">
        <v>222</v>
      </c>
      <c r="B288" s="42">
        <v>72.02</v>
      </c>
      <c r="D288" s="42"/>
      <c r="E288" s="40">
        <v>722</v>
      </c>
      <c r="F288" s="43">
        <v>88.67</v>
      </c>
      <c r="G288" s="40">
        <f t="shared" si="8"/>
        <v>7.1303567336547437E-3</v>
      </c>
      <c r="H288" s="40">
        <v>48.088000000000001</v>
      </c>
      <c r="I288">
        <f t="shared" si="9"/>
        <v>9.0031419139939145E-3</v>
      </c>
    </row>
    <row r="289" spans="1:9" x14ac:dyDescent="0.2">
      <c r="A289" s="40" t="s">
        <v>223</v>
      </c>
      <c r="B289" s="42">
        <v>73.760000000000005</v>
      </c>
      <c r="D289" s="42"/>
      <c r="E289" s="40">
        <v>721</v>
      </c>
      <c r="F289" s="43">
        <v>88.04</v>
      </c>
      <c r="G289" s="40">
        <f t="shared" si="8"/>
        <v>8.5443072912508106E-2</v>
      </c>
      <c r="H289" s="40">
        <v>47.656999999999996</v>
      </c>
      <c r="I289">
        <f t="shared" si="9"/>
        <v>2.1849751336511191E-2</v>
      </c>
    </row>
    <row r="290" spans="1:9" x14ac:dyDescent="0.2">
      <c r="A290" s="40" t="s">
        <v>224</v>
      </c>
      <c r="B290" s="42">
        <v>74.56</v>
      </c>
      <c r="D290" s="42"/>
      <c r="E290" s="40">
        <v>720</v>
      </c>
      <c r="F290" s="43">
        <v>80.83</v>
      </c>
      <c r="G290" s="40">
        <f t="shared" si="8"/>
        <v>0</v>
      </c>
      <c r="H290" s="40">
        <v>46.627000000000002</v>
      </c>
      <c r="I290">
        <f t="shared" si="9"/>
        <v>-1.8676246366545853E-2</v>
      </c>
    </row>
    <row r="291" spans="1:9" x14ac:dyDescent="0.2">
      <c r="A291" s="40" t="s">
        <v>225</v>
      </c>
      <c r="B291" s="42">
        <v>79.319999999999993</v>
      </c>
      <c r="D291" s="42"/>
      <c r="E291" s="40">
        <v>719</v>
      </c>
      <c r="F291" s="43">
        <v>80.83</v>
      </c>
      <c r="G291" s="40">
        <f t="shared" si="8"/>
        <v>-3.2977375323276374E-2</v>
      </c>
      <c r="H291" s="40">
        <v>47.506</v>
      </c>
      <c r="I291">
        <f t="shared" si="9"/>
        <v>1.9341318315371111E-2</v>
      </c>
    </row>
    <row r="292" spans="1:9" x14ac:dyDescent="0.2">
      <c r="A292" s="40" t="s">
        <v>226</v>
      </c>
      <c r="B292" s="42">
        <v>75.31</v>
      </c>
      <c r="D292" s="42"/>
      <c r="E292" s="40">
        <v>718</v>
      </c>
      <c r="F292" s="43">
        <v>83.54</v>
      </c>
      <c r="G292" s="40">
        <f t="shared" si="8"/>
        <v>1.434710244538007E-2</v>
      </c>
      <c r="H292" s="40">
        <v>46.595999999999997</v>
      </c>
      <c r="I292">
        <f t="shared" si="9"/>
        <v>2.3736442688246644E-2</v>
      </c>
    </row>
    <row r="293" spans="1:9" x14ac:dyDescent="0.2">
      <c r="A293" s="40" t="s">
        <v>227</v>
      </c>
      <c r="B293" s="42">
        <v>87.38</v>
      </c>
      <c r="D293" s="42"/>
      <c r="E293" s="40">
        <v>717</v>
      </c>
      <c r="F293" s="43">
        <v>82.35</v>
      </c>
      <c r="G293" s="40">
        <f t="shared" si="8"/>
        <v>1.5172198541395947E-2</v>
      </c>
      <c r="H293" s="40">
        <v>45.503</v>
      </c>
      <c r="I293">
        <f t="shared" si="9"/>
        <v>-2.3092403250772966E-2</v>
      </c>
    </row>
    <row r="294" spans="1:9" x14ac:dyDescent="0.2">
      <c r="A294" s="40" t="s">
        <v>228</v>
      </c>
      <c r="B294" s="42">
        <v>97.23</v>
      </c>
      <c r="D294" s="42"/>
      <c r="E294" s="40">
        <v>716</v>
      </c>
      <c r="F294" s="43">
        <v>81.11</v>
      </c>
      <c r="G294" s="40">
        <f t="shared" si="8"/>
        <v>-5.8541038171254375E-2</v>
      </c>
      <c r="H294" s="40">
        <v>46.566000000000003</v>
      </c>
      <c r="I294">
        <f t="shared" si="9"/>
        <v>2.2938579071506243E-2</v>
      </c>
    </row>
    <row r="295" spans="1:9" x14ac:dyDescent="0.2">
      <c r="A295" s="40" t="s">
        <v>229</v>
      </c>
      <c r="B295" s="42">
        <v>97.45</v>
      </c>
      <c r="D295" s="42"/>
      <c r="E295" s="40">
        <v>715</v>
      </c>
      <c r="F295" s="43">
        <v>86</v>
      </c>
      <c r="G295" s="40">
        <f t="shared" si="8"/>
        <v>-9.8351964336061068E-3</v>
      </c>
      <c r="H295" s="40">
        <v>45.51</v>
      </c>
      <c r="I295">
        <f t="shared" si="9"/>
        <v>-2.7202977857963793E-2</v>
      </c>
    </row>
    <row r="296" spans="1:9" x14ac:dyDescent="0.2">
      <c r="A296" s="40" t="s">
        <v>230</v>
      </c>
      <c r="B296" s="42">
        <v>104.08</v>
      </c>
      <c r="D296" s="42"/>
      <c r="E296" s="40">
        <v>714</v>
      </c>
      <c r="F296" s="43">
        <v>86.85</v>
      </c>
      <c r="G296" s="40">
        <f t="shared" si="8"/>
        <v>1.2629795364622005E-2</v>
      </c>
      <c r="H296" s="40">
        <v>46.765000000000001</v>
      </c>
      <c r="I296">
        <f t="shared" si="9"/>
        <v>-1.06911851280596E-4</v>
      </c>
    </row>
    <row r="297" spans="1:9" x14ac:dyDescent="0.2">
      <c r="A297" s="41">
        <v>39090</v>
      </c>
      <c r="B297" s="42">
        <v>108.86</v>
      </c>
      <c r="D297" s="42"/>
      <c r="E297" s="40">
        <v>713</v>
      </c>
      <c r="F297" s="43">
        <v>85.76</v>
      </c>
      <c r="G297" s="40">
        <f t="shared" si="8"/>
        <v>-2.3053118644482996E-2</v>
      </c>
      <c r="H297" s="40">
        <v>46.77</v>
      </c>
      <c r="I297">
        <f t="shared" si="9"/>
        <v>-2.8871460617131042E-2</v>
      </c>
    </row>
    <row r="298" spans="1:9" x14ac:dyDescent="0.2">
      <c r="A298" s="41">
        <v>39121</v>
      </c>
      <c r="B298" s="42">
        <v>100.8</v>
      </c>
      <c r="D298" s="42"/>
      <c r="E298" s="40">
        <v>712</v>
      </c>
      <c r="F298" s="43">
        <v>87.76</v>
      </c>
      <c r="G298" s="40">
        <f t="shared" si="8"/>
        <v>2.1421986976765103E-2</v>
      </c>
      <c r="H298" s="40">
        <v>48.14</v>
      </c>
      <c r="I298">
        <f t="shared" si="9"/>
        <v>6.6485587909899911E-3</v>
      </c>
    </row>
    <row r="299" spans="1:9" x14ac:dyDescent="0.2">
      <c r="A299" s="41">
        <v>39149</v>
      </c>
      <c r="B299" s="42">
        <v>104.05</v>
      </c>
      <c r="D299" s="42"/>
      <c r="E299" s="40">
        <v>711</v>
      </c>
      <c r="F299" s="43">
        <v>85.9</v>
      </c>
      <c r="G299" s="40">
        <f t="shared" si="8"/>
        <v>-9.3853883988592179E-3</v>
      </c>
      <c r="H299" s="40">
        <v>47.820999999999998</v>
      </c>
      <c r="I299">
        <f t="shared" si="9"/>
        <v>-8.7651373653957632E-3</v>
      </c>
    </row>
    <row r="300" spans="1:9" x14ac:dyDescent="0.2">
      <c r="A300" s="41">
        <v>39241</v>
      </c>
      <c r="B300" s="42">
        <v>95.22</v>
      </c>
      <c r="D300" s="42"/>
      <c r="E300" s="40">
        <v>710</v>
      </c>
      <c r="F300" s="43">
        <v>86.71</v>
      </c>
      <c r="G300" s="40">
        <f t="shared" si="8"/>
        <v>-1.2378381549048445E-2</v>
      </c>
      <c r="H300" s="40">
        <v>48.241999999999997</v>
      </c>
      <c r="I300">
        <f t="shared" si="9"/>
        <v>9.7065895725517454E-3</v>
      </c>
    </row>
    <row r="301" spans="1:9" x14ac:dyDescent="0.2">
      <c r="A301" s="41">
        <v>39271</v>
      </c>
      <c r="B301" s="42">
        <v>85.96</v>
      </c>
      <c r="D301" s="42"/>
      <c r="E301" s="40">
        <v>709</v>
      </c>
      <c r="F301" s="43">
        <v>87.79</v>
      </c>
      <c r="G301" s="40">
        <f t="shared" si="8"/>
        <v>3.065063853811115E-2</v>
      </c>
      <c r="H301" s="40">
        <v>47.776000000000003</v>
      </c>
      <c r="I301">
        <f t="shared" si="9"/>
        <v>-1.948409686808409E-2</v>
      </c>
    </row>
    <row r="302" spans="1:9" x14ac:dyDescent="0.2">
      <c r="A302" s="41">
        <v>39302</v>
      </c>
      <c r="B302" s="42">
        <v>82.52</v>
      </c>
      <c r="D302" s="42"/>
      <c r="E302" s="40">
        <v>708</v>
      </c>
      <c r="F302" s="43">
        <v>85.14</v>
      </c>
      <c r="G302" s="40">
        <f t="shared" si="8"/>
        <v>-1.17446708691026E-4</v>
      </c>
      <c r="H302" s="40">
        <v>48.716000000000001</v>
      </c>
      <c r="I302">
        <f t="shared" si="9"/>
        <v>-2.4894859534578921E-2</v>
      </c>
    </row>
    <row r="303" spans="1:9" x14ac:dyDescent="0.2">
      <c r="A303" s="41">
        <v>39333</v>
      </c>
      <c r="B303" s="42">
        <v>99.87</v>
      </c>
      <c r="D303" s="42"/>
      <c r="E303" s="40">
        <v>707</v>
      </c>
      <c r="F303" s="43">
        <v>85.15</v>
      </c>
      <c r="G303" s="40">
        <f t="shared" si="8"/>
        <v>2.557379931209933E-2</v>
      </c>
      <c r="H303" s="40">
        <v>49.944000000000003</v>
      </c>
      <c r="I303">
        <f t="shared" si="9"/>
        <v>-9.2673528044716173E-3</v>
      </c>
    </row>
    <row r="304" spans="1:9" x14ac:dyDescent="0.2">
      <c r="A304" s="41">
        <v>39363</v>
      </c>
      <c r="B304" s="42">
        <v>108.91</v>
      </c>
      <c r="D304" s="42"/>
      <c r="E304" s="40">
        <v>706</v>
      </c>
      <c r="F304" s="43">
        <v>83</v>
      </c>
      <c r="G304" s="40">
        <f t="shared" si="8"/>
        <v>-4.5678646560529034E-3</v>
      </c>
      <c r="H304" s="40">
        <v>50.408999999999999</v>
      </c>
      <c r="I304">
        <f t="shared" si="9"/>
        <v>2.228621828949014E-2</v>
      </c>
    </row>
    <row r="305" spans="1:9" x14ac:dyDescent="0.2">
      <c r="A305" s="40" t="s">
        <v>231</v>
      </c>
      <c r="B305" s="42">
        <v>108.57</v>
      </c>
      <c r="D305" s="42"/>
      <c r="E305" s="40">
        <v>705</v>
      </c>
      <c r="F305" s="43">
        <v>83.38</v>
      </c>
      <c r="G305" s="40">
        <f t="shared" si="8"/>
        <v>1.9498044278764989E-2</v>
      </c>
      <c r="H305" s="40">
        <v>49.298000000000002</v>
      </c>
      <c r="I305">
        <f t="shared" si="9"/>
        <v>-3.6850352498627031E-3</v>
      </c>
    </row>
    <row r="306" spans="1:9" x14ac:dyDescent="0.2">
      <c r="A306" s="40" t="s">
        <v>232</v>
      </c>
      <c r="B306" s="42">
        <v>114.96</v>
      </c>
      <c r="D306" s="42"/>
      <c r="E306" s="40">
        <v>704</v>
      </c>
      <c r="F306" s="43">
        <v>81.77</v>
      </c>
      <c r="G306" s="40">
        <f t="shared" si="8"/>
        <v>-4.8905735172103163E-4</v>
      </c>
      <c r="H306" s="40">
        <v>49.48</v>
      </c>
      <c r="I306">
        <f t="shared" si="9"/>
        <v>1.2036579931672722E-2</v>
      </c>
    </row>
    <row r="307" spans="1:9" x14ac:dyDescent="0.2">
      <c r="A307" s="40" t="s">
        <v>233</v>
      </c>
      <c r="B307" s="42">
        <v>121.67</v>
      </c>
      <c r="D307" s="42"/>
      <c r="E307" s="40">
        <v>703</v>
      </c>
      <c r="F307" s="43">
        <v>81.81</v>
      </c>
      <c r="G307" s="40">
        <f t="shared" si="8"/>
        <v>-2.4443901368347801E-4</v>
      </c>
      <c r="H307" s="40">
        <v>48.887999999999998</v>
      </c>
      <c r="I307">
        <f t="shared" si="9"/>
        <v>-1.5587261518737279E-2</v>
      </c>
    </row>
    <row r="308" spans="1:9" x14ac:dyDescent="0.2">
      <c r="A308" s="40" t="s">
        <v>234</v>
      </c>
      <c r="B308" s="42">
        <v>142.99</v>
      </c>
      <c r="D308" s="42"/>
      <c r="E308" s="40">
        <v>702</v>
      </c>
      <c r="F308" s="43">
        <v>81.83</v>
      </c>
      <c r="G308" s="40">
        <f t="shared" si="8"/>
        <v>-1.696393521871346E-2</v>
      </c>
      <c r="H308" s="40">
        <v>49.655999999999999</v>
      </c>
      <c r="I308">
        <f t="shared" si="9"/>
        <v>2.108426022337442E-2</v>
      </c>
    </row>
    <row r="309" spans="1:9" x14ac:dyDescent="0.2">
      <c r="A309" s="40" t="s">
        <v>235</v>
      </c>
      <c r="B309" s="42">
        <v>133.87</v>
      </c>
      <c r="D309" s="42"/>
      <c r="E309" s="40">
        <v>701</v>
      </c>
      <c r="F309" s="43">
        <v>83.23</v>
      </c>
      <c r="G309" s="40">
        <f t="shared" si="8"/>
        <v>-1.998401225326819E-2</v>
      </c>
      <c r="H309" s="40">
        <v>48.62</v>
      </c>
      <c r="I309">
        <f t="shared" si="9"/>
        <v>5.8790329714084131E-3</v>
      </c>
    </row>
    <row r="310" spans="1:9" x14ac:dyDescent="0.2">
      <c r="A310" s="40" t="s">
        <v>236</v>
      </c>
      <c r="B310" s="42">
        <v>125.04</v>
      </c>
      <c r="D310" s="42"/>
      <c r="E310" s="40">
        <v>700</v>
      </c>
      <c r="F310" s="43">
        <v>84.91</v>
      </c>
      <c r="G310" s="40">
        <f t="shared" si="8"/>
        <v>1.3516923845553919E-2</v>
      </c>
      <c r="H310" s="40">
        <v>48.335000000000001</v>
      </c>
      <c r="I310">
        <f t="shared" si="9"/>
        <v>2.9072730262296842E-2</v>
      </c>
    </row>
    <row r="311" spans="1:9" x14ac:dyDescent="0.2">
      <c r="A311" s="40" t="s">
        <v>237</v>
      </c>
      <c r="B311" s="42">
        <v>122.6</v>
      </c>
      <c r="D311" s="42"/>
      <c r="E311" s="40">
        <v>699</v>
      </c>
      <c r="F311" s="43">
        <v>83.77</v>
      </c>
      <c r="G311" s="40">
        <f t="shared" si="8"/>
        <v>-2.055838000214593E-2</v>
      </c>
      <c r="H311" s="40">
        <v>46.95</v>
      </c>
      <c r="I311">
        <f t="shared" si="9"/>
        <v>8.0407601432280953E-3</v>
      </c>
    </row>
    <row r="312" spans="1:9" x14ac:dyDescent="0.2">
      <c r="A312" s="40" t="s">
        <v>238</v>
      </c>
      <c r="B312" s="42">
        <v>117.47</v>
      </c>
      <c r="D312" s="42"/>
      <c r="E312" s="40">
        <v>698</v>
      </c>
      <c r="F312" s="43">
        <v>85.51</v>
      </c>
      <c r="G312" s="40">
        <f t="shared" si="8"/>
        <v>-1.7526440193608853E-3</v>
      </c>
      <c r="H312" s="40">
        <v>46.573999999999998</v>
      </c>
      <c r="I312">
        <f t="shared" si="9"/>
        <v>1.3379788700971128E-2</v>
      </c>
    </row>
    <row r="313" spans="1:9" x14ac:dyDescent="0.2">
      <c r="A313" s="40" t="s">
        <v>239</v>
      </c>
      <c r="B313" s="42">
        <v>117.42</v>
      </c>
      <c r="D313" s="42"/>
      <c r="E313" s="40">
        <v>697</v>
      </c>
      <c r="F313" s="43">
        <v>85.66</v>
      </c>
      <c r="G313" s="40">
        <f t="shared" si="8"/>
        <v>-3.5324773763538465E-2</v>
      </c>
      <c r="H313" s="40">
        <v>45.954999999999998</v>
      </c>
      <c r="I313">
        <f t="shared" si="9"/>
        <v>4.4490074039262011E-3</v>
      </c>
    </row>
    <row r="314" spans="1:9" x14ac:dyDescent="0.2">
      <c r="A314" s="40" t="s">
        <v>240</v>
      </c>
      <c r="B314" s="42">
        <v>111.95</v>
      </c>
      <c r="D314" s="42"/>
      <c r="E314" s="40">
        <v>696</v>
      </c>
      <c r="F314" s="43">
        <v>88.74</v>
      </c>
      <c r="G314" s="40">
        <f t="shared" si="8"/>
        <v>4.2589011917070721E-2</v>
      </c>
      <c r="H314" s="40">
        <v>45.750999999999998</v>
      </c>
      <c r="I314">
        <f t="shared" si="9"/>
        <v>1.6440054697098038E-2</v>
      </c>
    </row>
    <row r="315" spans="1:9" x14ac:dyDescent="0.2">
      <c r="A315" s="40" t="s">
        <v>241</v>
      </c>
      <c r="B315" s="42">
        <v>115.24</v>
      </c>
      <c r="D315" s="42"/>
      <c r="E315" s="40">
        <v>695</v>
      </c>
      <c r="F315" s="43">
        <v>85.04</v>
      </c>
      <c r="G315" s="40">
        <f t="shared" si="8"/>
        <v>1.911377711970931E-2</v>
      </c>
      <c r="H315" s="40">
        <v>45.005000000000003</v>
      </c>
      <c r="I315">
        <f t="shared" si="9"/>
        <v>3.3874735091537878E-2</v>
      </c>
    </row>
    <row r="316" spans="1:9" x14ac:dyDescent="0.2">
      <c r="A316" s="40" t="s">
        <v>242</v>
      </c>
      <c r="B316" s="42">
        <v>119.79</v>
      </c>
      <c r="D316" s="42"/>
      <c r="E316" s="40">
        <v>694</v>
      </c>
      <c r="F316" s="43">
        <v>83.43</v>
      </c>
      <c r="G316" s="40">
        <f t="shared" si="8"/>
        <v>-1.0729716672566966E-2</v>
      </c>
      <c r="H316" s="40">
        <v>43.506</v>
      </c>
      <c r="I316">
        <f t="shared" si="9"/>
        <v>2.7520931598311517E-2</v>
      </c>
    </row>
    <row r="317" spans="1:9" x14ac:dyDescent="0.2">
      <c r="A317" s="40" t="s">
        <v>243</v>
      </c>
      <c r="B317" s="42">
        <v>113.22</v>
      </c>
      <c r="D317" s="42"/>
      <c r="E317" s="40">
        <v>693</v>
      </c>
      <c r="F317" s="43">
        <v>84.33</v>
      </c>
      <c r="G317" s="40">
        <f t="shared" si="8"/>
        <v>1.7947358976377434E-2</v>
      </c>
      <c r="H317" s="40">
        <v>42.325000000000003</v>
      </c>
      <c r="I317">
        <f t="shared" si="9"/>
        <v>3.7186162872889832E-2</v>
      </c>
    </row>
    <row r="318" spans="1:9" x14ac:dyDescent="0.2">
      <c r="A318" s="40" t="s">
        <v>244</v>
      </c>
      <c r="B318" s="42">
        <v>112.66</v>
      </c>
      <c r="D318" s="42"/>
      <c r="E318" s="40">
        <v>692</v>
      </c>
      <c r="F318" s="43">
        <v>82.83</v>
      </c>
      <c r="G318" s="40">
        <f t="shared" si="8"/>
        <v>-4.9376869152609158E-3</v>
      </c>
      <c r="H318" s="40">
        <v>40.78</v>
      </c>
      <c r="I318">
        <f t="shared" si="9"/>
        <v>-9.2994409568691559E-3</v>
      </c>
    </row>
    <row r="319" spans="1:9" x14ac:dyDescent="0.2">
      <c r="A319" s="40" t="s">
        <v>245</v>
      </c>
      <c r="B319" s="42">
        <v>109.27</v>
      </c>
      <c r="D319" s="42"/>
      <c r="E319" s="40">
        <v>691</v>
      </c>
      <c r="F319" s="43">
        <v>83.24</v>
      </c>
      <c r="G319" s="40">
        <f t="shared" si="8"/>
        <v>-2.1863988806602844E-2</v>
      </c>
      <c r="H319" s="40">
        <v>41.161000000000001</v>
      </c>
      <c r="I319">
        <f t="shared" si="9"/>
        <v>1.6189231990684977E-2</v>
      </c>
    </row>
    <row r="320" spans="1:9" x14ac:dyDescent="0.2">
      <c r="A320" s="41">
        <v>39181</v>
      </c>
      <c r="B320" s="42">
        <v>104.87</v>
      </c>
      <c r="D320" s="42"/>
      <c r="E320" s="40">
        <v>690</v>
      </c>
      <c r="F320" s="43">
        <v>85.08</v>
      </c>
      <c r="G320" s="40">
        <f t="shared" si="8"/>
        <v>-3.3062773420627585E-2</v>
      </c>
      <c r="H320" s="40">
        <v>40.5</v>
      </c>
      <c r="I320">
        <f t="shared" si="9"/>
        <v>4.3055518966097278E-3</v>
      </c>
    </row>
    <row r="321" spans="1:9" x14ac:dyDescent="0.2">
      <c r="A321" s="41">
        <v>39211</v>
      </c>
      <c r="B321" s="42">
        <v>107.91</v>
      </c>
      <c r="D321" s="42"/>
      <c r="E321" s="40">
        <v>689</v>
      </c>
      <c r="F321" s="43">
        <v>87.94</v>
      </c>
      <c r="G321" s="40">
        <f t="shared" si="8"/>
        <v>-7.9640254453290593E-2</v>
      </c>
      <c r="H321" s="40">
        <v>40.326000000000001</v>
      </c>
      <c r="I321">
        <f t="shared" si="9"/>
        <v>-3.5397398729011827E-2</v>
      </c>
    </row>
    <row r="322" spans="1:9" x14ac:dyDescent="0.2">
      <c r="A322" s="41">
        <v>39242</v>
      </c>
      <c r="B322" s="42">
        <v>106.6</v>
      </c>
      <c r="D322" s="42"/>
      <c r="E322" s="40">
        <v>688</v>
      </c>
      <c r="F322" s="43">
        <v>95.23</v>
      </c>
      <c r="G322" s="40">
        <f t="shared" si="8"/>
        <v>-6.9069875067656078E-2</v>
      </c>
      <c r="H322" s="40">
        <v>41.779000000000003</v>
      </c>
      <c r="I322">
        <f t="shared" si="9"/>
        <v>-4.4107240596864328E-2</v>
      </c>
    </row>
    <row r="323" spans="1:9" x14ac:dyDescent="0.2">
      <c r="A323" s="41">
        <v>39272</v>
      </c>
      <c r="B323" s="42">
        <v>108.22</v>
      </c>
      <c r="D323" s="42"/>
      <c r="E323" s="40">
        <v>687</v>
      </c>
      <c r="F323" s="43">
        <v>102.04</v>
      </c>
      <c r="G323" s="40">
        <f t="shared" ref="G323:G386" si="10">LN(F323/F324)</f>
        <v>6.8624089747649293E-4</v>
      </c>
      <c r="H323" s="40">
        <v>43.662999999999997</v>
      </c>
      <c r="I323">
        <f t="shared" ref="I323:I386" si="11">LN(H323/H324)</f>
        <v>1.5882510272846897E-2</v>
      </c>
    </row>
    <row r="324" spans="1:9" x14ac:dyDescent="0.2">
      <c r="A324" s="41">
        <v>39364</v>
      </c>
      <c r="B324" s="42">
        <v>107.07</v>
      </c>
      <c r="D324" s="42"/>
      <c r="E324" s="40">
        <v>686</v>
      </c>
      <c r="F324" s="43">
        <v>101.97</v>
      </c>
      <c r="G324" s="40">
        <f t="shared" si="10"/>
        <v>-9.2733350374091163E-3</v>
      </c>
      <c r="H324" s="40">
        <v>42.975000000000001</v>
      </c>
      <c r="I324">
        <f t="shared" si="11"/>
        <v>3.7651729410837019E-2</v>
      </c>
    </row>
    <row r="325" spans="1:9" x14ac:dyDescent="0.2">
      <c r="A325" s="41">
        <v>39395</v>
      </c>
      <c r="B325" s="42">
        <v>103.75</v>
      </c>
      <c r="D325" s="42"/>
      <c r="E325" s="40">
        <v>685</v>
      </c>
      <c r="F325" s="43">
        <v>102.92</v>
      </c>
      <c r="G325" s="40">
        <f t="shared" si="10"/>
        <v>4.3489430297726381E-2</v>
      </c>
      <c r="H325" s="40">
        <v>41.387</v>
      </c>
      <c r="I325">
        <f t="shared" si="11"/>
        <v>-1.7104671517283555E-2</v>
      </c>
    </row>
    <row r="326" spans="1:9" x14ac:dyDescent="0.2">
      <c r="A326" s="41">
        <v>39425</v>
      </c>
      <c r="B326" s="42">
        <v>106.95</v>
      </c>
      <c r="D326" s="42"/>
      <c r="E326" s="40">
        <v>684</v>
      </c>
      <c r="F326" s="43">
        <v>98.54</v>
      </c>
      <c r="G326" s="40">
        <f t="shared" si="10"/>
        <v>-0.10088532511332657</v>
      </c>
      <c r="H326" s="40">
        <v>42.100999999999999</v>
      </c>
      <c r="I326">
        <f t="shared" si="11"/>
        <v>-2.2539364442027156E-3</v>
      </c>
    </row>
    <row r="327" spans="1:9" x14ac:dyDescent="0.2">
      <c r="A327" s="40" t="s">
        <v>246</v>
      </c>
      <c r="B327" s="42">
        <v>104.63</v>
      </c>
      <c r="D327" s="42"/>
      <c r="E327" s="40">
        <v>683</v>
      </c>
      <c r="F327" s="43">
        <v>109</v>
      </c>
      <c r="G327" s="40">
        <f t="shared" si="10"/>
        <v>-5.7316403397677164E-2</v>
      </c>
      <c r="H327" s="40">
        <v>42.195999999999998</v>
      </c>
      <c r="I327">
        <f t="shared" si="11"/>
        <v>-4.0454119487425527E-2</v>
      </c>
    </row>
    <row r="328" spans="1:9" x14ac:dyDescent="0.2">
      <c r="A328" s="40" t="s">
        <v>247</v>
      </c>
      <c r="B328" s="42">
        <v>104.39</v>
      </c>
      <c r="D328" s="42"/>
      <c r="E328" s="40">
        <v>682</v>
      </c>
      <c r="F328" s="43">
        <v>115.43</v>
      </c>
      <c r="G328" s="40">
        <f t="shared" si="10"/>
        <v>-8.9694434877395281E-3</v>
      </c>
      <c r="H328" s="40">
        <v>43.938000000000002</v>
      </c>
      <c r="I328">
        <f t="shared" si="11"/>
        <v>-4.7924934943569836E-2</v>
      </c>
    </row>
    <row r="329" spans="1:9" x14ac:dyDescent="0.2">
      <c r="A329" s="40" t="s">
        <v>248</v>
      </c>
      <c r="B329" s="42">
        <v>102.22</v>
      </c>
      <c r="D329" s="42"/>
      <c r="E329" s="40">
        <v>681</v>
      </c>
      <c r="F329" s="43">
        <v>116.47</v>
      </c>
      <c r="G329" s="40">
        <f t="shared" si="10"/>
        <v>9.5232909672197372E-2</v>
      </c>
      <c r="H329" s="40">
        <v>46.094999999999999</v>
      </c>
      <c r="I329">
        <f t="shared" si="11"/>
        <v>1.384966870778208E-2</v>
      </c>
    </row>
    <row r="330" spans="1:9" x14ac:dyDescent="0.2">
      <c r="A330" s="40" t="s">
        <v>249</v>
      </c>
      <c r="B330" s="42">
        <v>92.33</v>
      </c>
      <c r="D330" s="42"/>
      <c r="E330" s="40">
        <v>680</v>
      </c>
      <c r="F330" s="43">
        <v>105.89</v>
      </c>
      <c r="G330" s="40">
        <f t="shared" si="10"/>
        <v>0.10013813446554826</v>
      </c>
      <c r="H330" s="40">
        <v>45.460999999999999</v>
      </c>
      <c r="I330">
        <f t="shared" si="11"/>
        <v>-3.2121888167735313E-2</v>
      </c>
    </row>
    <row r="331" spans="1:9" x14ac:dyDescent="0.2">
      <c r="A331" s="40" t="s">
        <v>250</v>
      </c>
      <c r="B331" s="42">
        <v>97.7</v>
      </c>
      <c r="D331" s="42"/>
      <c r="E331" s="40">
        <v>679</v>
      </c>
      <c r="F331" s="43">
        <v>95.8</v>
      </c>
      <c r="G331" s="40">
        <f t="shared" si="10"/>
        <v>1.1488851856433799E-3</v>
      </c>
      <c r="H331" s="40">
        <v>46.945</v>
      </c>
      <c r="I331">
        <f t="shared" si="11"/>
        <v>2.9653038762797027E-3</v>
      </c>
    </row>
    <row r="332" spans="1:9" x14ac:dyDescent="0.2">
      <c r="A332" s="40" t="s">
        <v>251</v>
      </c>
      <c r="B332" s="42">
        <v>97.38</v>
      </c>
      <c r="D332" s="42"/>
      <c r="E332" s="40">
        <v>678</v>
      </c>
      <c r="F332" s="43">
        <v>95.69</v>
      </c>
      <c r="G332" s="40">
        <f t="shared" si="10"/>
        <v>-0.12194292485399107</v>
      </c>
      <c r="H332" s="40">
        <v>46.805999999999997</v>
      </c>
      <c r="I332">
        <f t="shared" si="11"/>
        <v>2.1770977789842671E-2</v>
      </c>
    </row>
    <row r="333" spans="1:9" x14ac:dyDescent="0.2">
      <c r="A333" s="40" t="s">
        <v>252</v>
      </c>
      <c r="B333" s="42">
        <v>98.14</v>
      </c>
      <c r="D333" s="42"/>
      <c r="E333" s="40">
        <v>677</v>
      </c>
      <c r="F333" s="43">
        <v>108.1</v>
      </c>
      <c r="G333" s="40">
        <f t="shared" si="10"/>
        <v>0.16268219036178738</v>
      </c>
      <c r="H333" s="40">
        <v>45.798000000000002</v>
      </c>
      <c r="I333">
        <f t="shared" si="11"/>
        <v>1.1529593739865238E-2</v>
      </c>
    </row>
    <row r="334" spans="1:9" x14ac:dyDescent="0.2">
      <c r="A334" s="40" t="s">
        <v>253</v>
      </c>
      <c r="B334" s="42">
        <v>94.27</v>
      </c>
      <c r="D334" s="42"/>
      <c r="E334" s="40">
        <v>676</v>
      </c>
      <c r="F334" s="43">
        <v>91.87</v>
      </c>
      <c r="G334" s="40">
        <f t="shared" si="10"/>
        <v>1.4251501896518127E-2</v>
      </c>
      <c r="H334" s="40">
        <v>45.273000000000003</v>
      </c>
      <c r="I334">
        <f t="shared" si="11"/>
        <v>-1.0743224105633362E-2</v>
      </c>
    </row>
    <row r="335" spans="1:9" x14ac:dyDescent="0.2">
      <c r="A335" s="40" t="s">
        <v>254</v>
      </c>
      <c r="B335" s="42">
        <v>94.33</v>
      </c>
      <c r="D335" s="42"/>
      <c r="E335" s="40">
        <v>675</v>
      </c>
      <c r="F335" s="43">
        <v>90.57</v>
      </c>
      <c r="G335" s="40">
        <f t="shared" si="10"/>
        <v>5.2028677725648228E-3</v>
      </c>
      <c r="H335" s="40">
        <v>45.762</v>
      </c>
      <c r="I335">
        <f t="shared" si="11"/>
        <v>2.3749043207335539E-2</v>
      </c>
    </row>
    <row r="336" spans="1:9" x14ac:dyDescent="0.2">
      <c r="A336" s="40" t="s">
        <v>255</v>
      </c>
      <c r="B336" s="42">
        <v>89.49</v>
      </c>
      <c r="D336" s="42"/>
      <c r="E336" s="40">
        <v>674</v>
      </c>
      <c r="F336" s="43">
        <v>90.1</v>
      </c>
      <c r="G336" s="40">
        <f t="shared" si="10"/>
        <v>-2.1194446236473347E-2</v>
      </c>
      <c r="H336" s="40">
        <v>44.688000000000002</v>
      </c>
      <c r="I336">
        <f t="shared" si="11"/>
        <v>1.4583990975797418E-2</v>
      </c>
    </row>
    <row r="337" spans="1:9" x14ac:dyDescent="0.2">
      <c r="A337" s="40" t="s">
        <v>256</v>
      </c>
      <c r="B337" s="42">
        <v>87.57</v>
      </c>
      <c r="D337" s="42"/>
      <c r="E337" s="40">
        <v>673</v>
      </c>
      <c r="F337" s="43">
        <v>92.03</v>
      </c>
      <c r="G337" s="40">
        <f t="shared" si="10"/>
        <v>9.4984064732820481E-3</v>
      </c>
      <c r="H337" s="40">
        <v>44.040999999999997</v>
      </c>
      <c r="I337">
        <f t="shared" si="11"/>
        <v>1.196935187891097E-2</v>
      </c>
    </row>
    <row r="338" spans="1:9" x14ac:dyDescent="0.2">
      <c r="A338" s="40" t="s">
        <v>257</v>
      </c>
      <c r="B338" s="42">
        <v>87.13</v>
      </c>
      <c r="D338" s="42"/>
      <c r="E338" s="40">
        <v>672</v>
      </c>
      <c r="F338" s="43">
        <v>91.16</v>
      </c>
      <c r="G338" s="40">
        <f t="shared" si="10"/>
        <v>-4.7452007698187727E-2</v>
      </c>
      <c r="H338" s="40">
        <v>43.517000000000003</v>
      </c>
      <c r="I338">
        <f t="shared" si="11"/>
        <v>-2.865460662103406E-2</v>
      </c>
    </row>
    <row r="339" spans="1:9" x14ac:dyDescent="0.2">
      <c r="A339" s="41">
        <v>39092</v>
      </c>
      <c r="B339" s="42">
        <v>84.48</v>
      </c>
      <c r="D339" s="42"/>
      <c r="E339" s="40">
        <v>671</v>
      </c>
      <c r="F339" s="43">
        <v>95.59</v>
      </c>
      <c r="G339" s="40">
        <f t="shared" si="10"/>
        <v>1.0461892565909478E-4</v>
      </c>
      <c r="H339" s="40">
        <v>44.781999999999996</v>
      </c>
      <c r="I339">
        <f t="shared" si="11"/>
        <v>2.9068323644495121E-2</v>
      </c>
    </row>
    <row r="340" spans="1:9" x14ac:dyDescent="0.2">
      <c r="A340" s="41">
        <v>39123</v>
      </c>
      <c r="B340" s="42">
        <v>88.74</v>
      </c>
      <c r="D340" s="42"/>
      <c r="E340" s="40">
        <v>670</v>
      </c>
      <c r="F340" s="43">
        <v>95.58</v>
      </c>
      <c r="G340" s="40">
        <f t="shared" si="10"/>
        <v>-8.8170292270194864E-2</v>
      </c>
      <c r="H340" s="40">
        <v>43.499000000000002</v>
      </c>
      <c r="I340">
        <f t="shared" si="11"/>
        <v>9.4702052068563539E-3</v>
      </c>
    </row>
    <row r="341" spans="1:9" x14ac:dyDescent="0.2">
      <c r="A341" s="41">
        <v>39151</v>
      </c>
      <c r="B341" s="42">
        <v>87.65</v>
      </c>
      <c r="D341" s="42"/>
      <c r="E341" s="40">
        <v>669</v>
      </c>
      <c r="F341" s="43">
        <v>104.39</v>
      </c>
      <c r="G341" s="40">
        <f t="shared" si="10"/>
        <v>9.0160134263090386E-2</v>
      </c>
      <c r="H341" s="40">
        <v>43.088999999999999</v>
      </c>
      <c r="I341">
        <f t="shared" si="11"/>
        <v>1.4516892966468603E-2</v>
      </c>
    </row>
    <row r="342" spans="1:9" x14ac:dyDescent="0.2">
      <c r="A342" s="41">
        <v>39182</v>
      </c>
      <c r="B342" s="42">
        <v>89.38</v>
      </c>
      <c r="D342" s="42"/>
      <c r="E342" s="40">
        <v>668</v>
      </c>
      <c r="F342" s="43">
        <v>95.39</v>
      </c>
      <c r="G342" s="40">
        <f t="shared" si="10"/>
        <v>1.361570456578285E-2</v>
      </c>
      <c r="H342" s="40">
        <v>42.468000000000004</v>
      </c>
      <c r="I342">
        <f t="shared" si="11"/>
        <v>1.3202528845225547E-2</v>
      </c>
    </row>
    <row r="343" spans="1:9" x14ac:dyDescent="0.2">
      <c r="A343" s="41">
        <v>39212</v>
      </c>
      <c r="B343" s="42">
        <v>83.91</v>
      </c>
      <c r="D343" s="42"/>
      <c r="E343" s="40">
        <v>667</v>
      </c>
      <c r="F343" s="43">
        <v>94.1</v>
      </c>
      <c r="G343" s="40">
        <f t="shared" si="10"/>
        <v>4.0464329517389307E-3</v>
      </c>
      <c r="H343" s="40">
        <v>41.911000000000001</v>
      </c>
      <c r="I343">
        <f t="shared" si="11"/>
        <v>-7.3930899063656616E-3</v>
      </c>
    </row>
    <row r="344" spans="1:9" x14ac:dyDescent="0.2">
      <c r="A344" s="41">
        <v>39304</v>
      </c>
      <c r="B344" s="42">
        <v>84.96</v>
      </c>
      <c r="D344" s="42"/>
      <c r="E344" s="40">
        <v>666</v>
      </c>
      <c r="F344" s="43">
        <v>93.72</v>
      </c>
      <c r="G344" s="40">
        <f t="shared" si="10"/>
        <v>-3.5326769742458672E-2</v>
      </c>
      <c r="H344" s="40">
        <v>42.222000000000001</v>
      </c>
      <c r="I344">
        <f t="shared" si="11"/>
        <v>1.4600889217616979E-2</v>
      </c>
    </row>
    <row r="345" spans="1:9" x14ac:dyDescent="0.2">
      <c r="A345" s="41">
        <v>39335</v>
      </c>
      <c r="B345" s="42">
        <v>79.930000000000007</v>
      </c>
      <c r="D345" s="42"/>
      <c r="E345" s="40">
        <v>665</v>
      </c>
      <c r="F345" s="43">
        <v>97.09</v>
      </c>
      <c r="G345" s="40">
        <f t="shared" si="10"/>
        <v>-5.9478878973990013E-2</v>
      </c>
      <c r="H345" s="40">
        <v>41.61</v>
      </c>
      <c r="I345">
        <f t="shared" si="11"/>
        <v>1.4353908081184084E-2</v>
      </c>
    </row>
    <row r="346" spans="1:9" x14ac:dyDescent="0.2">
      <c r="A346" s="41">
        <v>39365</v>
      </c>
      <c r="B346" s="42">
        <v>87.46</v>
      </c>
      <c r="D346" s="42"/>
      <c r="E346" s="40">
        <v>664</v>
      </c>
      <c r="F346" s="43">
        <v>103.04</v>
      </c>
      <c r="G346" s="40">
        <f t="shared" si="10"/>
        <v>0.11615877318701771</v>
      </c>
      <c r="H346" s="40">
        <v>41.017000000000003</v>
      </c>
      <c r="I346">
        <f t="shared" si="11"/>
        <v>-2.9357349961676597E-2</v>
      </c>
    </row>
    <row r="347" spans="1:9" x14ac:dyDescent="0.2">
      <c r="A347" s="41">
        <v>39396</v>
      </c>
      <c r="B347" s="42">
        <v>95.78</v>
      </c>
      <c r="D347" s="42"/>
      <c r="E347" s="40">
        <v>663</v>
      </c>
      <c r="F347" s="43">
        <v>91.74</v>
      </c>
      <c r="G347" s="40">
        <f t="shared" si="10"/>
        <v>1.3166747161213351E-2</v>
      </c>
      <c r="H347" s="40">
        <v>42.238999999999997</v>
      </c>
      <c r="I347">
        <f t="shared" si="11"/>
        <v>-2.9876637672344795E-2</v>
      </c>
    </row>
    <row r="348" spans="1:9" x14ac:dyDescent="0.2">
      <c r="A348" s="41">
        <v>39426</v>
      </c>
      <c r="B348" s="42">
        <v>90.63</v>
      </c>
      <c r="D348" s="42"/>
      <c r="E348" s="40">
        <v>662</v>
      </c>
      <c r="F348" s="43">
        <v>90.54</v>
      </c>
      <c r="G348" s="40">
        <f t="shared" si="10"/>
        <v>-4.2172970209499561E-2</v>
      </c>
      <c r="H348" s="40">
        <v>43.52</v>
      </c>
      <c r="I348">
        <f t="shared" si="11"/>
        <v>-1.019600539023807E-2</v>
      </c>
    </row>
    <row r="349" spans="1:9" x14ac:dyDescent="0.2">
      <c r="A349" s="40" t="s">
        <v>258</v>
      </c>
      <c r="B349" s="42">
        <v>86.18</v>
      </c>
      <c r="D349" s="42"/>
      <c r="E349" s="40">
        <v>661</v>
      </c>
      <c r="F349" s="43">
        <v>94.44</v>
      </c>
      <c r="G349" s="40">
        <f t="shared" si="10"/>
        <v>7.0059877275097049E-2</v>
      </c>
      <c r="H349" s="40">
        <v>43.966000000000001</v>
      </c>
      <c r="I349">
        <f t="shared" si="11"/>
        <v>1.5022878567996221E-3</v>
      </c>
    </row>
    <row r="350" spans="1:9" x14ac:dyDescent="0.2">
      <c r="A350" s="40" t="s">
        <v>259</v>
      </c>
      <c r="B350" s="42">
        <v>91.47</v>
      </c>
      <c r="D350" s="42"/>
      <c r="E350" s="40">
        <v>660</v>
      </c>
      <c r="F350" s="43">
        <v>88.05</v>
      </c>
      <c r="G350" s="40">
        <f t="shared" si="10"/>
        <v>5.257927587318581E-2</v>
      </c>
      <c r="H350" s="40">
        <v>43.9</v>
      </c>
      <c r="I350">
        <f t="shared" si="11"/>
        <v>-3.7576642942872385E-2</v>
      </c>
    </row>
    <row r="351" spans="1:9" x14ac:dyDescent="0.2">
      <c r="A351" s="40" t="s">
        <v>260</v>
      </c>
      <c r="B351" s="42">
        <v>89.48</v>
      </c>
      <c r="D351" s="42"/>
      <c r="E351" s="40">
        <v>659</v>
      </c>
      <c r="F351" s="43">
        <v>83.54</v>
      </c>
      <c r="G351" s="40">
        <f t="shared" si="10"/>
        <v>-1.4616147551284766E-2</v>
      </c>
      <c r="H351" s="40">
        <v>45.581000000000003</v>
      </c>
      <c r="I351">
        <f t="shared" si="11"/>
        <v>2.1083617499729613E-3</v>
      </c>
    </row>
    <row r="352" spans="1:9" x14ac:dyDescent="0.2">
      <c r="A352" s="40" t="s">
        <v>261</v>
      </c>
      <c r="B352" s="42">
        <v>83.37</v>
      </c>
      <c r="D352" s="42"/>
      <c r="E352" s="40">
        <v>658</v>
      </c>
      <c r="F352" s="43">
        <v>84.77</v>
      </c>
      <c r="G352" s="40">
        <f t="shared" si="10"/>
        <v>-8.2542307616754681E-4</v>
      </c>
      <c r="H352" s="40">
        <v>45.484999999999999</v>
      </c>
      <c r="I352">
        <f t="shared" si="11"/>
        <v>1.3613181286133341E-2</v>
      </c>
    </row>
    <row r="353" spans="1:9" x14ac:dyDescent="0.2">
      <c r="A353" s="40" t="s">
        <v>262</v>
      </c>
      <c r="B353" s="42">
        <v>91.56</v>
      </c>
      <c r="D353" s="42"/>
      <c r="E353" s="40">
        <v>657</v>
      </c>
      <c r="F353" s="43">
        <v>84.84</v>
      </c>
      <c r="G353" s="40">
        <f t="shared" si="10"/>
        <v>2.8211289987777124E-2</v>
      </c>
      <c r="H353" s="40">
        <v>44.87</v>
      </c>
      <c r="I353">
        <f t="shared" si="11"/>
        <v>-6.840822697191367E-3</v>
      </c>
    </row>
    <row r="354" spans="1:9" x14ac:dyDescent="0.2">
      <c r="A354" s="40" t="s">
        <v>263</v>
      </c>
      <c r="B354" s="42">
        <v>88.17</v>
      </c>
      <c r="D354" s="42"/>
      <c r="E354" s="40">
        <v>656</v>
      </c>
      <c r="F354" s="43">
        <v>82.48</v>
      </c>
      <c r="G354" s="40">
        <f t="shared" si="10"/>
        <v>-2.9742413306745472E-2</v>
      </c>
      <c r="H354" s="40">
        <v>45.177999999999997</v>
      </c>
      <c r="I354">
        <f t="shared" si="11"/>
        <v>-8.683250150786052E-3</v>
      </c>
    </row>
    <row r="355" spans="1:9" x14ac:dyDescent="0.2">
      <c r="A355" s="40" t="s">
        <v>264</v>
      </c>
      <c r="B355" s="42">
        <v>86.42</v>
      </c>
      <c r="D355" s="42"/>
      <c r="E355" s="40">
        <v>655</v>
      </c>
      <c r="F355" s="43">
        <v>84.97</v>
      </c>
      <c r="G355" s="40">
        <f t="shared" si="10"/>
        <v>-7.737436022650636E-3</v>
      </c>
      <c r="H355" s="40">
        <v>45.572000000000003</v>
      </c>
      <c r="I355">
        <f t="shared" si="11"/>
        <v>-1.4573357591985543E-2</v>
      </c>
    </row>
    <row r="356" spans="1:9" x14ac:dyDescent="0.2">
      <c r="A356" s="40" t="s">
        <v>265</v>
      </c>
      <c r="B356" s="42">
        <v>89.14</v>
      </c>
      <c r="D356" s="42"/>
      <c r="E356" s="40">
        <v>654</v>
      </c>
      <c r="F356" s="43">
        <v>85.63</v>
      </c>
      <c r="G356" s="40">
        <f t="shared" si="10"/>
        <v>5.1516329833516212E-3</v>
      </c>
      <c r="H356" s="40">
        <v>46.241</v>
      </c>
      <c r="I356">
        <f t="shared" si="11"/>
        <v>-1.7577782114358096E-2</v>
      </c>
    </row>
    <row r="357" spans="1:9" x14ac:dyDescent="0.2">
      <c r="A357" s="40" t="s">
        <v>266</v>
      </c>
      <c r="B357" s="42">
        <v>90.82</v>
      </c>
      <c r="D357" s="42"/>
      <c r="E357" s="40">
        <v>653</v>
      </c>
      <c r="F357" s="43">
        <v>85.19</v>
      </c>
      <c r="G357" s="40">
        <f t="shared" si="10"/>
        <v>-9.3863669920906387E-4</v>
      </c>
      <c r="H357" s="40">
        <v>47.061</v>
      </c>
      <c r="I357">
        <f t="shared" si="11"/>
        <v>-3.1108366701902108E-2</v>
      </c>
    </row>
    <row r="358" spans="1:9" x14ac:dyDescent="0.2">
      <c r="A358" s="40" t="s">
        <v>267</v>
      </c>
      <c r="B358" s="42">
        <v>95.36</v>
      </c>
      <c r="D358" s="42"/>
      <c r="E358" s="40">
        <v>652</v>
      </c>
      <c r="F358" s="43">
        <v>85.27</v>
      </c>
      <c r="G358" s="40">
        <f t="shared" si="10"/>
        <v>-2.7528918613285443E-2</v>
      </c>
      <c r="H358" s="40">
        <v>48.548000000000002</v>
      </c>
      <c r="I358">
        <f t="shared" si="11"/>
        <v>8.036515057962835E-4</v>
      </c>
    </row>
    <row r="359" spans="1:9" x14ac:dyDescent="0.2">
      <c r="A359" s="40" t="s">
        <v>268</v>
      </c>
      <c r="B359" s="42">
        <v>95.01</v>
      </c>
      <c r="D359" s="42"/>
      <c r="E359" s="40">
        <v>651</v>
      </c>
      <c r="F359" s="43">
        <v>87.65</v>
      </c>
      <c r="G359" s="40">
        <f t="shared" si="10"/>
        <v>-2.2792032658625477E-3</v>
      </c>
      <c r="H359" s="40">
        <v>48.509</v>
      </c>
      <c r="I359">
        <f t="shared" si="11"/>
        <v>-1.7289730131532354E-2</v>
      </c>
    </row>
    <row r="360" spans="1:9" x14ac:dyDescent="0.2">
      <c r="A360" s="40" t="s">
        <v>269</v>
      </c>
      <c r="B360" s="42">
        <v>100.37</v>
      </c>
      <c r="D360" s="42"/>
      <c r="E360" s="40">
        <v>650</v>
      </c>
      <c r="F360" s="43">
        <v>87.85</v>
      </c>
      <c r="G360" s="40">
        <f t="shared" si="10"/>
        <v>1.6295976868559176E-2</v>
      </c>
      <c r="H360" s="40">
        <v>49.354999999999997</v>
      </c>
      <c r="I360">
        <f t="shared" si="11"/>
        <v>1.8454866877065552E-3</v>
      </c>
    </row>
    <row r="361" spans="1:9" x14ac:dyDescent="0.2">
      <c r="A361" s="40" t="s">
        <v>270</v>
      </c>
      <c r="B361" s="42">
        <v>93.62</v>
      </c>
      <c r="D361" s="42"/>
      <c r="E361" s="40">
        <v>649</v>
      </c>
      <c r="F361" s="43">
        <v>86.43</v>
      </c>
      <c r="G361" s="40">
        <f t="shared" si="10"/>
        <v>4.4720013497513554E-2</v>
      </c>
      <c r="H361" s="40">
        <v>49.264000000000003</v>
      </c>
      <c r="I361">
        <f t="shared" si="11"/>
        <v>9.791200936245751E-3</v>
      </c>
    </row>
    <row r="362" spans="1:9" x14ac:dyDescent="0.2">
      <c r="A362" s="41">
        <v>39093</v>
      </c>
      <c r="B362" s="42">
        <v>97.53</v>
      </c>
      <c r="D362" s="42"/>
      <c r="E362" s="40">
        <v>648</v>
      </c>
      <c r="F362" s="43">
        <v>82.65</v>
      </c>
      <c r="G362" s="40">
        <f t="shared" si="10"/>
        <v>2.2637858739983672E-2</v>
      </c>
      <c r="H362" s="40">
        <v>48.783999999999999</v>
      </c>
      <c r="I362">
        <f t="shared" si="11"/>
        <v>4.0771603584804993E-2</v>
      </c>
    </row>
    <row r="363" spans="1:9" x14ac:dyDescent="0.2">
      <c r="A363" s="41">
        <v>39124</v>
      </c>
      <c r="B363" s="42">
        <v>97.46</v>
      </c>
      <c r="D363" s="42"/>
      <c r="E363" s="40">
        <v>647</v>
      </c>
      <c r="F363" s="43">
        <v>80.8</v>
      </c>
      <c r="G363" s="40">
        <f t="shared" si="10"/>
        <v>2.7223659523625019E-2</v>
      </c>
      <c r="H363" s="40">
        <v>46.835000000000001</v>
      </c>
      <c r="I363">
        <f t="shared" si="11"/>
        <v>1.7598162363753032E-2</v>
      </c>
    </row>
    <row r="364" spans="1:9" x14ac:dyDescent="0.2">
      <c r="A364" s="41">
        <v>39213</v>
      </c>
      <c r="B364" s="42">
        <v>97.29</v>
      </c>
      <c r="D364" s="42"/>
      <c r="E364" s="40">
        <v>646</v>
      </c>
      <c r="F364" s="43">
        <v>78.63</v>
      </c>
      <c r="G364" s="40">
        <f t="shared" si="10"/>
        <v>-5.3272576520564125E-3</v>
      </c>
      <c r="H364" s="40">
        <v>46.018000000000001</v>
      </c>
      <c r="I364">
        <f t="shared" si="11"/>
        <v>-2.4577062580145515E-2</v>
      </c>
    </row>
    <row r="365" spans="1:9" x14ac:dyDescent="0.2">
      <c r="A365" s="41">
        <v>39244</v>
      </c>
      <c r="B365" s="42">
        <v>92.7</v>
      </c>
      <c r="D365" s="42"/>
      <c r="E365" s="40">
        <v>645</v>
      </c>
      <c r="F365" s="43">
        <v>79.05</v>
      </c>
      <c r="G365" s="40">
        <f t="shared" si="10"/>
        <v>-3.9439635327323225E-2</v>
      </c>
      <c r="H365" s="40">
        <v>47.162999999999997</v>
      </c>
      <c r="I365">
        <f t="shared" si="11"/>
        <v>9.9704078094845026E-4</v>
      </c>
    </row>
    <row r="366" spans="1:9" x14ac:dyDescent="0.2">
      <c r="A366" s="41">
        <v>39274</v>
      </c>
      <c r="B366" s="42">
        <v>98.17</v>
      </c>
      <c r="D366" s="42"/>
      <c r="E366" s="40">
        <v>644</v>
      </c>
      <c r="F366" s="43">
        <v>82.23</v>
      </c>
      <c r="G366" s="40">
        <f t="shared" si="10"/>
        <v>-2.509888581024796E-2</v>
      </c>
      <c r="H366" s="40">
        <v>47.116</v>
      </c>
      <c r="I366">
        <f t="shared" si="11"/>
        <v>3.1214812282457424E-2</v>
      </c>
    </row>
    <row r="367" spans="1:9" x14ac:dyDescent="0.2">
      <c r="A367" s="41">
        <v>39305</v>
      </c>
      <c r="B367" s="42">
        <v>97.36</v>
      </c>
      <c r="D367" s="42"/>
      <c r="E367" s="40">
        <v>643</v>
      </c>
      <c r="F367" s="43">
        <v>84.32</v>
      </c>
      <c r="G367" s="40">
        <f t="shared" si="10"/>
        <v>-8.9015613212520786E-2</v>
      </c>
      <c r="H367" s="40">
        <v>45.667999999999999</v>
      </c>
      <c r="I367">
        <f t="shared" si="11"/>
        <v>-2.8047393629338363E-2</v>
      </c>
    </row>
    <row r="368" spans="1:9" x14ac:dyDescent="0.2">
      <c r="A368" s="41">
        <v>39336</v>
      </c>
      <c r="B368" s="42">
        <v>97.86</v>
      </c>
      <c r="D368" s="42"/>
      <c r="E368" s="40">
        <v>642</v>
      </c>
      <c r="F368" s="43">
        <v>92.17</v>
      </c>
      <c r="G368" s="40">
        <f t="shared" si="10"/>
        <v>3.5110694136802172E-2</v>
      </c>
      <c r="H368" s="40">
        <v>46.966999999999999</v>
      </c>
      <c r="I368">
        <f t="shared" si="11"/>
        <v>8.1315687389882985E-2</v>
      </c>
    </row>
    <row r="369" spans="1:9" x14ac:dyDescent="0.2">
      <c r="A369" s="41">
        <v>39427</v>
      </c>
      <c r="B369" s="42">
        <v>98.09</v>
      </c>
      <c r="D369" s="42"/>
      <c r="E369" s="40">
        <v>641</v>
      </c>
      <c r="F369" s="43">
        <v>88.99</v>
      </c>
      <c r="G369" s="40">
        <f t="shared" si="10"/>
        <v>-3.9981097183835176E-2</v>
      </c>
      <c r="H369" s="40">
        <v>43.298999999999999</v>
      </c>
      <c r="I369">
        <f t="shared" si="11"/>
        <v>-1.0272096006667232E-3</v>
      </c>
    </row>
    <row r="370" spans="1:9" x14ac:dyDescent="0.2">
      <c r="A370" s="40" t="s">
        <v>271</v>
      </c>
      <c r="B370" s="42">
        <v>92.58</v>
      </c>
      <c r="D370" s="42"/>
      <c r="E370" s="40">
        <v>640</v>
      </c>
      <c r="F370" s="43">
        <v>92.62</v>
      </c>
      <c r="G370" s="40">
        <f t="shared" si="10"/>
        <v>-2.7894920566056018E-2</v>
      </c>
      <c r="H370" s="40">
        <v>43.343499999999999</v>
      </c>
      <c r="I370">
        <f t="shared" si="11"/>
        <v>-3.2822975586642334E-3</v>
      </c>
    </row>
    <row r="371" spans="1:9" x14ac:dyDescent="0.2">
      <c r="A371" s="40" t="s">
        <v>272</v>
      </c>
      <c r="B371" s="42">
        <v>94.39</v>
      </c>
      <c r="D371" s="42"/>
      <c r="E371" s="40">
        <v>639</v>
      </c>
      <c r="F371" s="43">
        <v>95.24</v>
      </c>
      <c r="G371" s="40">
        <f t="shared" si="10"/>
        <v>-2.1193396599194888E-2</v>
      </c>
      <c r="H371" s="40">
        <v>43.485999999999997</v>
      </c>
      <c r="I371">
        <f t="shared" si="11"/>
        <v>-1.0386019743597093E-2</v>
      </c>
    </row>
    <row r="372" spans="1:9" x14ac:dyDescent="0.2">
      <c r="A372" s="40" t="s">
        <v>273</v>
      </c>
      <c r="B372" s="42">
        <v>92.96</v>
      </c>
      <c r="D372" s="42"/>
      <c r="E372" s="40">
        <v>638</v>
      </c>
      <c r="F372" s="43">
        <v>97.28</v>
      </c>
      <c r="G372" s="40">
        <f t="shared" si="10"/>
        <v>-9.2802552687941894E-2</v>
      </c>
      <c r="H372" s="40">
        <v>43.94</v>
      </c>
      <c r="I372">
        <f t="shared" si="11"/>
        <v>4.2648850751822263E-3</v>
      </c>
    </row>
    <row r="373" spans="1:9" x14ac:dyDescent="0.2">
      <c r="A373" s="40" t="s">
        <v>274</v>
      </c>
      <c r="B373" s="42">
        <v>92.8</v>
      </c>
      <c r="D373" s="42"/>
      <c r="E373" s="40">
        <v>637</v>
      </c>
      <c r="F373" s="43">
        <v>106.74</v>
      </c>
      <c r="G373" s="40">
        <f t="shared" si="10"/>
        <v>2.0826197621022818E-2</v>
      </c>
      <c r="H373" s="40">
        <v>43.753</v>
      </c>
      <c r="I373">
        <f t="shared" si="11"/>
        <v>6.8530969044611312E-2</v>
      </c>
    </row>
    <row r="374" spans="1:9" x14ac:dyDescent="0.2">
      <c r="A374" s="40" t="s">
        <v>275</v>
      </c>
      <c r="B374" s="42">
        <v>91.13</v>
      </c>
      <c r="D374" s="42"/>
      <c r="E374" s="40">
        <v>636</v>
      </c>
      <c r="F374" s="43">
        <v>104.54</v>
      </c>
      <c r="G374" s="40">
        <f t="shared" si="10"/>
        <v>1.2126026746388739E-2</v>
      </c>
      <c r="H374" s="40">
        <v>40.854999999999997</v>
      </c>
      <c r="I374">
        <f t="shared" si="11"/>
        <v>-3.6836090475918792E-2</v>
      </c>
    </row>
    <row r="375" spans="1:9" x14ac:dyDescent="0.2">
      <c r="A375" s="40" t="s">
        <v>276</v>
      </c>
      <c r="B375" s="42">
        <v>91.34</v>
      </c>
      <c r="D375" s="42"/>
      <c r="E375" s="40">
        <v>635</v>
      </c>
      <c r="F375" s="43">
        <v>103.28</v>
      </c>
      <c r="G375" s="40">
        <f t="shared" si="10"/>
        <v>8.0099190032900308E-2</v>
      </c>
      <c r="H375" s="40">
        <v>42.387999999999998</v>
      </c>
      <c r="I375">
        <f t="shared" si="11"/>
        <v>-3.9085543389365679E-3</v>
      </c>
    </row>
    <row r="376" spans="1:9" x14ac:dyDescent="0.2">
      <c r="A376" s="40" t="s">
        <v>277</v>
      </c>
      <c r="B376" s="42">
        <v>94.49</v>
      </c>
      <c r="D376" s="42"/>
      <c r="E376" s="40">
        <v>634</v>
      </c>
      <c r="F376" s="43">
        <v>95.33</v>
      </c>
      <c r="G376" s="40">
        <f t="shared" si="10"/>
        <v>-1.4061999329795547E-2</v>
      </c>
      <c r="H376" s="40">
        <v>42.554000000000002</v>
      </c>
      <c r="I376">
        <f t="shared" si="11"/>
        <v>-4.8393950356533211E-2</v>
      </c>
    </row>
    <row r="377" spans="1:9" x14ac:dyDescent="0.2">
      <c r="A377" s="40" t="s">
        <v>278</v>
      </c>
      <c r="B377" s="42">
        <v>89.62</v>
      </c>
      <c r="D377" s="42"/>
      <c r="E377" s="40">
        <v>633</v>
      </c>
      <c r="F377" s="43">
        <v>96.68</v>
      </c>
      <c r="G377" s="40">
        <f t="shared" si="10"/>
        <v>-3.156120659760904E-2</v>
      </c>
      <c r="H377" s="40">
        <v>44.664000000000001</v>
      </c>
      <c r="I377">
        <f t="shared" si="11"/>
        <v>-1.6707667135680317E-2</v>
      </c>
    </row>
    <row r="378" spans="1:9" x14ac:dyDescent="0.2">
      <c r="A378" s="40" t="s">
        <v>279</v>
      </c>
      <c r="B378" s="42">
        <v>91.55</v>
      </c>
      <c r="D378" s="42"/>
      <c r="E378" s="40">
        <v>632</v>
      </c>
      <c r="F378" s="43">
        <v>99.78</v>
      </c>
      <c r="G378" s="40">
        <f t="shared" si="10"/>
        <v>2.3833590995641425E-2</v>
      </c>
      <c r="H378" s="40">
        <v>45.416499999999999</v>
      </c>
      <c r="I378">
        <f t="shared" si="11"/>
        <v>1.6349500942739643E-2</v>
      </c>
    </row>
    <row r="379" spans="1:9" x14ac:dyDescent="0.2">
      <c r="A379" s="40" t="s">
        <v>280</v>
      </c>
      <c r="B379" s="42">
        <v>90.7</v>
      </c>
      <c r="D379" s="42"/>
      <c r="E379" s="40">
        <v>631</v>
      </c>
      <c r="F379" s="43">
        <v>97.43</v>
      </c>
      <c r="G379" s="40">
        <f t="shared" si="10"/>
        <v>2.6205097294849152E-2</v>
      </c>
      <c r="H379" s="40">
        <v>44.68</v>
      </c>
      <c r="I379">
        <f t="shared" si="11"/>
        <v>3.6997631753653663E-3</v>
      </c>
    </row>
    <row r="380" spans="1:9" x14ac:dyDescent="0.2">
      <c r="A380" s="40" t="s">
        <v>281</v>
      </c>
      <c r="B380" s="42">
        <v>91.62</v>
      </c>
      <c r="D380" s="42"/>
      <c r="E380" s="40">
        <v>630</v>
      </c>
      <c r="F380" s="43">
        <v>94.91</v>
      </c>
      <c r="G380" s="40">
        <f t="shared" si="10"/>
        <v>2.0437113652294871E-2</v>
      </c>
      <c r="H380" s="40">
        <v>44.515000000000001</v>
      </c>
      <c r="I380">
        <f t="shared" si="11"/>
        <v>5.5415531972049271E-3</v>
      </c>
    </row>
    <row r="381" spans="1:9" x14ac:dyDescent="0.2">
      <c r="A381" s="40" t="s">
        <v>282</v>
      </c>
      <c r="B381" s="42">
        <v>91.08</v>
      </c>
      <c r="D381" s="42"/>
      <c r="E381" s="40">
        <v>629</v>
      </c>
      <c r="F381" s="43">
        <v>92.99</v>
      </c>
      <c r="G381" s="40">
        <f t="shared" si="10"/>
        <v>-6.8971363566659019E-2</v>
      </c>
      <c r="H381" s="40">
        <v>44.268999999999998</v>
      </c>
      <c r="I381">
        <f t="shared" si="11"/>
        <v>-4.9318181069636903E-2</v>
      </c>
    </row>
    <row r="382" spans="1:9" x14ac:dyDescent="0.2">
      <c r="A382" s="40" t="s">
        <v>283</v>
      </c>
      <c r="B382" s="42">
        <v>88.88</v>
      </c>
      <c r="D382" s="42"/>
      <c r="E382" s="40">
        <v>628</v>
      </c>
      <c r="F382" s="43">
        <v>99.63</v>
      </c>
      <c r="G382" s="40">
        <f t="shared" si="10"/>
        <v>5.774310038489594E-2</v>
      </c>
      <c r="H382" s="40">
        <v>46.506999999999998</v>
      </c>
      <c r="I382">
        <f t="shared" si="11"/>
        <v>-4.7621180560847454E-3</v>
      </c>
    </row>
    <row r="383" spans="1:9" x14ac:dyDescent="0.2">
      <c r="A383" s="41">
        <v>39153</v>
      </c>
      <c r="B383" s="42">
        <v>87.45</v>
      </c>
      <c r="D383" s="42"/>
      <c r="E383" s="40">
        <v>627</v>
      </c>
      <c r="F383" s="43">
        <v>94.04</v>
      </c>
      <c r="G383" s="40">
        <f t="shared" si="10"/>
        <v>-2.2709133999792047E-2</v>
      </c>
      <c r="H383" s="40">
        <v>46.728999999999999</v>
      </c>
      <c r="I383">
        <f t="shared" si="11"/>
        <v>-4.4929878054472097E-4</v>
      </c>
    </row>
    <row r="384" spans="1:9" x14ac:dyDescent="0.2">
      <c r="A384" s="41">
        <v>39184</v>
      </c>
      <c r="B384" s="42">
        <v>86.85</v>
      </c>
      <c r="D384" s="42"/>
      <c r="E384" s="40">
        <v>626</v>
      </c>
      <c r="F384" s="43">
        <v>96.2</v>
      </c>
      <c r="G384" s="40">
        <f t="shared" si="10"/>
        <v>9.490485655348771E-2</v>
      </c>
      <c r="H384" s="40">
        <v>46.75</v>
      </c>
      <c r="I384">
        <f t="shared" si="11"/>
        <v>1.8349138668196617E-2</v>
      </c>
    </row>
    <row r="385" spans="1:9" x14ac:dyDescent="0.2">
      <c r="A385" s="41">
        <v>39214</v>
      </c>
      <c r="B385" s="42">
        <v>83.08</v>
      </c>
      <c r="D385" s="42"/>
      <c r="E385" s="40">
        <v>625</v>
      </c>
      <c r="F385" s="43">
        <v>87.49</v>
      </c>
      <c r="G385" s="40">
        <f t="shared" si="10"/>
        <v>9.3013244500147804E-3</v>
      </c>
      <c r="H385" s="40">
        <v>45.9</v>
      </c>
      <c r="I385">
        <f t="shared" si="11"/>
        <v>9.8082930107369296E-3</v>
      </c>
    </row>
    <row r="386" spans="1:9" x14ac:dyDescent="0.2">
      <c r="A386" s="41">
        <v>39245</v>
      </c>
      <c r="B386" s="42">
        <v>81.510000000000005</v>
      </c>
      <c r="D386" s="42"/>
      <c r="E386" s="40">
        <v>624</v>
      </c>
      <c r="F386" s="43">
        <v>86.68</v>
      </c>
      <c r="G386" s="40">
        <f t="shared" si="10"/>
        <v>-8.0432468551313776E-3</v>
      </c>
      <c r="H386" s="40">
        <v>45.451999999999998</v>
      </c>
      <c r="I386">
        <f t="shared" si="11"/>
        <v>-4.9818496338077363E-3</v>
      </c>
    </row>
    <row r="387" spans="1:9" x14ac:dyDescent="0.2">
      <c r="A387" s="41">
        <v>39275</v>
      </c>
      <c r="B387" s="42">
        <v>82.47</v>
      </c>
      <c r="D387" s="42"/>
      <c r="E387" s="40">
        <v>623</v>
      </c>
      <c r="F387" s="43">
        <v>87.38</v>
      </c>
      <c r="G387" s="40">
        <f t="shared" ref="G387:G450" si="12">LN(F387/F388)</f>
        <v>-7.3560132223749575E-2</v>
      </c>
      <c r="H387" s="40">
        <v>45.679000000000002</v>
      </c>
      <c r="I387">
        <f t="shared" ref="I387:I450" si="13">LN(H387/H388)</f>
        <v>2.3635792557279683E-2</v>
      </c>
    </row>
    <row r="388" spans="1:9" x14ac:dyDescent="0.2">
      <c r="A388" s="41">
        <v>39367</v>
      </c>
      <c r="B388" s="42">
        <v>81.5</v>
      </c>
      <c r="D388" s="42"/>
      <c r="E388" s="40">
        <v>622</v>
      </c>
      <c r="F388" s="43">
        <v>94.05</v>
      </c>
      <c r="G388" s="40">
        <f t="shared" si="12"/>
        <v>9.6714674417223409E-2</v>
      </c>
      <c r="H388" s="40">
        <v>44.612000000000002</v>
      </c>
      <c r="I388">
        <f t="shared" si="13"/>
        <v>6.8150644445735264E-3</v>
      </c>
    </row>
    <row r="389" spans="1:9" x14ac:dyDescent="0.2">
      <c r="A389" s="41">
        <v>39398</v>
      </c>
      <c r="B389" s="42">
        <v>82.58</v>
      </c>
      <c r="D389" s="42"/>
      <c r="E389" s="40">
        <v>621</v>
      </c>
      <c r="F389" s="43">
        <v>85.38</v>
      </c>
      <c r="G389" s="40">
        <f t="shared" si="12"/>
        <v>-5.2697789000449073E-2</v>
      </c>
      <c r="H389" s="40">
        <v>44.308999999999997</v>
      </c>
      <c r="I389">
        <f t="shared" si="13"/>
        <v>-2.6963973130358466E-2</v>
      </c>
    </row>
    <row r="390" spans="1:9" x14ac:dyDescent="0.2">
      <c r="A390" s="41">
        <v>39428</v>
      </c>
      <c r="B390" s="42">
        <v>89.41</v>
      </c>
      <c r="D390" s="42"/>
      <c r="E390" s="40">
        <v>620</v>
      </c>
      <c r="F390" s="43">
        <v>90</v>
      </c>
      <c r="G390" s="40">
        <f t="shared" si="12"/>
        <v>-1.9148818838760788E-2</v>
      </c>
      <c r="H390" s="40">
        <v>45.52</v>
      </c>
      <c r="I390">
        <f t="shared" si="13"/>
        <v>-3.3632769218306886E-2</v>
      </c>
    </row>
    <row r="391" spans="1:9" x14ac:dyDescent="0.2">
      <c r="A391" s="40" t="s">
        <v>284</v>
      </c>
      <c r="B391" s="42">
        <v>88.19</v>
      </c>
      <c r="D391" s="42"/>
      <c r="E391" s="40">
        <v>619</v>
      </c>
      <c r="F391" s="43">
        <v>91.74</v>
      </c>
      <c r="G391" s="40">
        <f t="shared" si="12"/>
        <v>-1.75044988092747E-2</v>
      </c>
      <c r="H391" s="40">
        <v>47.076999999999998</v>
      </c>
      <c r="I391">
        <f t="shared" si="13"/>
        <v>-8.8188282362281992E-3</v>
      </c>
    </row>
    <row r="392" spans="1:9" x14ac:dyDescent="0.2">
      <c r="A392" s="40" t="s">
        <v>285</v>
      </c>
      <c r="B392" s="42">
        <v>85.82</v>
      </c>
      <c r="D392" s="42"/>
      <c r="E392" s="40">
        <v>618</v>
      </c>
      <c r="F392" s="43">
        <v>93.36</v>
      </c>
      <c r="G392" s="40">
        <f t="shared" si="12"/>
        <v>-7.4698885386013771E-3</v>
      </c>
      <c r="H392" s="40">
        <v>47.494</v>
      </c>
      <c r="I392">
        <f t="shared" si="13"/>
        <v>2.1990136270463565E-2</v>
      </c>
    </row>
    <row r="393" spans="1:9" x14ac:dyDescent="0.2">
      <c r="A393" s="40" t="s">
        <v>286</v>
      </c>
      <c r="B393" s="42">
        <v>85.38</v>
      </c>
      <c r="D393" s="42"/>
      <c r="E393" s="40">
        <v>617</v>
      </c>
      <c r="F393" s="43">
        <v>94.06</v>
      </c>
      <c r="G393" s="40">
        <f t="shared" si="12"/>
        <v>5.223057229080539E-3</v>
      </c>
      <c r="H393" s="40">
        <v>46.460999999999999</v>
      </c>
      <c r="I393">
        <f t="shared" si="13"/>
        <v>2.1582475929609289E-2</v>
      </c>
    </row>
    <row r="394" spans="1:9" x14ac:dyDescent="0.2">
      <c r="A394" s="40" t="s">
        <v>287</v>
      </c>
      <c r="B394" s="42">
        <v>80.83</v>
      </c>
      <c r="D394" s="42"/>
      <c r="E394" s="40">
        <v>616</v>
      </c>
      <c r="F394" s="43">
        <v>93.57</v>
      </c>
      <c r="G394" s="40">
        <f t="shared" si="12"/>
        <v>6.2178587977156216E-3</v>
      </c>
      <c r="H394" s="40">
        <v>45.469000000000001</v>
      </c>
      <c r="I394">
        <f t="shared" si="13"/>
        <v>-1.1110496374874851E-2</v>
      </c>
    </row>
    <row r="395" spans="1:9" x14ac:dyDescent="0.2">
      <c r="A395" s="40" t="s">
        <v>288</v>
      </c>
      <c r="B395" s="42">
        <v>83.47</v>
      </c>
      <c r="D395" s="42"/>
      <c r="E395" s="40">
        <v>615</v>
      </c>
      <c r="F395" s="43">
        <v>92.99</v>
      </c>
      <c r="G395" s="40">
        <f t="shared" si="12"/>
        <v>-3.1647875939993686E-2</v>
      </c>
      <c r="H395" s="40">
        <v>45.976999999999997</v>
      </c>
      <c r="I395">
        <f t="shared" si="13"/>
        <v>4.6181394317464701E-2</v>
      </c>
    </row>
    <row r="396" spans="1:9" x14ac:dyDescent="0.2">
      <c r="A396" s="40" t="s">
        <v>289</v>
      </c>
      <c r="B396" s="42">
        <v>79.44</v>
      </c>
      <c r="D396" s="42"/>
      <c r="E396" s="40">
        <v>614</v>
      </c>
      <c r="F396" s="43">
        <v>95.98</v>
      </c>
      <c r="G396" s="40">
        <f t="shared" si="12"/>
        <v>1.1421510444432289E-2</v>
      </c>
      <c r="H396" s="40">
        <v>43.902000000000001</v>
      </c>
      <c r="I396">
        <f t="shared" si="13"/>
        <v>3.4693597316284623E-2</v>
      </c>
    </row>
    <row r="397" spans="1:9" x14ac:dyDescent="0.2">
      <c r="A397" s="40" t="s">
        <v>290</v>
      </c>
      <c r="B397" s="42">
        <v>82.87</v>
      </c>
      <c r="D397" s="42"/>
      <c r="E397" s="40">
        <v>613</v>
      </c>
      <c r="F397" s="43">
        <v>94.89</v>
      </c>
      <c r="G397" s="40">
        <f t="shared" si="12"/>
        <v>-1.6099030536625893E-2</v>
      </c>
      <c r="H397" s="40">
        <v>42.405000000000001</v>
      </c>
      <c r="I397">
        <f t="shared" si="13"/>
        <v>5.3201047630349104E-3</v>
      </c>
    </row>
    <row r="398" spans="1:9" x14ac:dyDescent="0.2">
      <c r="A398" s="40" t="s">
        <v>291</v>
      </c>
      <c r="B398" s="42">
        <v>79.849999999999994</v>
      </c>
      <c r="D398" s="42"/>
      <c r="E398" s="40">
        <v>612</v>
      </c>
      <c r="F398" s="43">
        <v>96.43</v>
      </c>
      <c r="G398" s="40">
        <f t="shared" si="12"/>
        <v>6.0328870306397501E-3</v>
      </c>
      <c r="H398" s="40">
        <v>42.18</v>
      </c>
      <c r="I398">
        <f t="shared" si="13"/>
        <v>-7.6284866238044615E-3</v>
      </c>
    </row>
    <row r="399" spans="1:9" x14ac:dyDescent="0.2">
      <c r="A399" s="40" t="s">
        <v>292</v>
      </c>
      <c r="B399" s="42">
        <v>80.790000000000006</v>
      </c>
      <c r="D399" s="42"/>
      <c r="E399" s="40">
        <v>611</v>
      </c>
      <c r="F399" s="43">
        <v>95.85</v>
      </c>
      <c r="G399" s="40">
        <f t="shared" si="12"/>
        <v>6.6994911940534219E-3</v>
      </c>
      <c r="H399" s="40">
        <v>42.503</v>
      </c>
      <c r="I399">
        <f t="shared" si="13"/>
        <v>9.4556646175291276E-3</v>
      </c>
    </row>
    <row r="400" spans="1:9" x14ac:dyDescent="0.2">
      <c r="A400" s="40" t="s">
        <v>293</v>
      </c>
      <c r="B400" s="42">
        <v>84.36</v>
      </c>
      <c r="D400" s="42"/>
      <c r="E400" s="40">
        <v>610</v>
      </c>
      <c r="F400" s="43">
        <v>95.21</v>
      </c>
      <c r="G400" s="40">
        <f t="shared" si="12"/>
        <v>-1.2595782078867993E-3</v>
      </c>
      <c r="H400" s="40">
        <v>42.103000000000002</v>
      </c>
      <c r="I400">
        <f t="shared" si="13"/>
        <v>-5.0698995116247357E-3</v>
      </c>
    </row>
    <row r="401" spans="1:9" x14ac:dyDescent="0.2">
      <c r="A401" s="40" t="s">
        <v>294</v>
      </c>
      <c r="B401" s="42">
        <v>84.03</v>
      </c>
      <c r="D401" s="42"/>
      <c r="E401" s="40">
        <v>609</v>
      </c>
      <c r="F401" s="43">
        <v>95.33</v>
      </c>
      <c r="G401" s="40">
        <f t="shared" si="12"/>
        <v>8.8505477109522401E-3</v>
      </c>
      <c r="H401" s="40">
        <v>42.317</v>
      </c>
      <c r="I401">
        <f t="shared" si="13"/>
        <v>-2.2660224496365636E-3</v>
      </c>
    </row>
    <row r="402" spans="1:9" x14ac:dyDescent="0.2">
      <c r="A402" s="40" t="s">
        <v>295</v>
      </c>
      <c r="B402" s="42">
        <v>82.19</v>
      </c>
      <c r="D402" s="42"/>
      <c r="E402" s="40">
        <v>608</v>
      </c>
      <c r="F402" s="43">
        <v>94.49</v>
      </c>
      <c r="G402" s="40">
        <f t="shared" si="12"/>
        <v>-8.5358018656218997E-3</v>
      </c>
      <c r="H402" s="40">
        <v>42.412999999999997</v>
      </c>
      <c r="I402">
        <f t="shared" si="13"/>
        <v>2.6205527597824908E-3</v>
      </c>
    </row>
    <row r="403" spans="1:9" x14ac:dyDescent="0.2">
      <c r="A403" s="41">
        <v>39479</v>
      </c>
      <c r="B403" s="42">
        <v>80.58</v>
      </c>
      <c r="D403" s="42"/>
      <c r="E403" s="40">
        <v>607</v>
      </c>
      <c r="F403" s="43">
        <v>95.3</v>
      </c>
      <c r="G403" s="40">
        <f t="shared" si="12"/>
        <v>8.2423994693181554E-2</v>
      </c>
      <c r="H403" s="40">
        <v>42.302</v>
      </c>
      <c r="I403">
        <f t="shared" si="13"/>
        <v>3.5613214486531888E-2</v>
      </c>
    </row>
    <row r="404" spans="1:9" x14ac:dyDescent="0.2">
      <c r="A404" s="41">
        <v>39508</v>
      </c>
      <c r="B404" s="42">
        <v>79.33</v>
      </c>
      <c r="D404" s="42"/>
      <c r="E404" s="40">
        <v>606</v>
      </c>
      <c r="F404" s="43">
        <v>87.76</v>
      </c>
      <c r="G404" s="40">
        <f t="shared" si="12"/>
        <v>4.1767252743490017E-2</v>
      </c>
      <c r="H404" s="40">
        <v>40.822000000000003</v>
      </c>
      <c r="I404">
        <f t="shared" si="13"/>
        <v>-7.2005095151092399E-3</v>
      </c>
    </row>
    <row r="405" spans="1:9" x14ac:dyDescent="0.2">
      <c r="A405" s="41">
        <v>39539</v>
      </c>
      <c r="B405" s="42">
        <v>81.459999999999994</v>
      </c>
      <c r="D405" s="42"/>
      <c r="E405" s="40">
        <v>605</v>
      </c>
      <c r="F405" s="43">
        <v>84.17</v>
      </c>
      <c r="G405" s="40">
        <f t="shared" si="12"/>
        <v>1.2673531658549758E-2</v>
      </c>
      <c r="H405" s="40">
        <v>41.116999999999997</v>
      </c>
      <c r="I405">
        <f t="shared" si="13"/>
        <v>-1.8291209170148311E-2</v>
      </c>
    </row>
    <row r="406" spans="1:9" x14ac:dyDescent="0.2">
      <c r="A406" s="41">
        <v>39630</v>
      </c>
      <c r="B406" s="42">
        <v>79.510000000000005</v>
      </c>
      <c r="D406" s="42"/>
      <c r="E406" s="40">
        <v>604</v>
      </c>
      <c r="F406" s="43">
        <v>83.11</v>
      </c>
      <c r="G406" s="40">
        <f t="shared" si="12"/>
        <v>-2.5540379772129414E-2</v>
      </c>
      <c r="H406" s="40">
        <v>41.875999999999998</v>
      </c>
      <c r="I406">
        <f t="shared" si="13"/>
        <v>3.0156936958164543E-2</v>
      </c>
    </row>
    <row r="407" spans="1:9" x14ac:dyDescent="0.2">
      <c r="A407" s="41">
        <v>39661</v>
      </c>
      <c r="B407" s="42">
        <v>79.59</v>
      </c>
      <c r="D407" s="42"/>
      <c r="E407" s="40">
        <v>603</v>
      </c>
      <c r="F407" s="43">
        <v>85.26</v>
      </c>
      <c r="G407" s="40">
        <f t="shared" si="12"/>
        <v>-6.1970382478095838E-3</v>
      </c>
      <c r="H407" s="40">
        <v>40.631999999999998</v>
      </c>
      <c r="I407">
        <f t="shared" si="13"/>
        <v>-3.807753494635862E-2</v>
      </c>
    </row>
    <row r="408" spans="1:9" x14ac:dyDescent="0.2">
      <c r="A408" s="41">
        <v>39692</v>
      </c>
      <c r="B408" s="42">
        <v>89.37</v>
      </c>
      <c r="D408" s="42"/>
      <c r="E408" s="40">
        <v>602</v>
      </c>
      <c r="F408" s="43">
        <v>85.79</v>
      </c>
      <c r="G408" s="40">
        <f t="shared" si="12"/>
        <v>-6.2576871118713642E-2</v>
      </c>
      <c r="H408" s="40">
        <v>42.209000000000003</v>
      </c>
      <c r="I408">
        <f t="shared" si="13"/>
        <v>-1.914787365230065E-2</v>
      </c>
    </row>
    <row r="409" spans="1:9" x14ac:dyDescent="0.2">
      <c r="A409" s="41">
        <v>39722</v>
      </c>
      <c r="B409" s="42">
        <v>84.98</v>
      </c>
      <c r="D409" s="42"/>
      <c r="E409" s="40">
        <v>601</v>
      </c>
      <c r="F409" s="43">
        <v>91.33</v>
      </c>
      <c r="G409" s="40">
        <f t="shared" si="12"/>
        <v>-4.3808879384373438E-2</v>
      </c>
      <c r="H409" s="40">
        <v>43.024999999999999</v>
      </c>
      <c r="I409">
        <f t="shared" si="13"/>
        <v>-4.6473801231494054E-4</v>
      </c>
    </row>
    <row r="410" spans="1:9" x14ac:dyDescent="0.2">
      <c r="A410" s="41">
        <v>39753</v>
      </c>
      <c r="B410" s="42">
        <v>84.66</v>
      </c>
      <c r="D410" s="42"/>
      <c r="E410" s="40">
        <v>600</v>
      </c>
      <c r="F410" s="43">
        <v>95.42</v>
      </c>
      <c r="G410" s="40">
        <f t="shared" si="12"/>
        <v>3.2810783009118126E-2</v>
      </c>
      <c r="H410" s="40">
        <v>43.045000000000002</v>
      </c>
      <c r="I410">
        <f t="shared" si="13"/>
        <v>-1.7570368996120429E-2</v>
      </c>
    </row>
    <row r="411" spans="1:9" x14ac:dyDescent="0.2">
      <c r="A411" s="40" t="s">
        <v>296</v>
      </c>
      <c r="B411" s="42">
        <v>86.96</v>
      </c>
      <c r="D411" s="42"/>
      <c r="E411" s="40">
        <v>599</v>
      </c>
      <c r="F411" s="43">
        <v>92.34</v>
      </c>
      <c r="G411" s="40">
        <f t="shared" si="12"/>
        <v>1.8581800359092064E-2</v>
      </c>
      <c r="H411" s="40">
        <v>43.808</v>
      </c>
      <c r="I411">
        <f t="shared" si="13"/>
        <v>2.5804900054319943E-2</v>
      </c>
    </row>
    <row r="412" spans="1:9" x14ac:dyDescent="0.2">
      <c r="A412" s="40" t="s">
        <v>297</v>
      </c>
      <c r="B412" s="42">
        <v>81.13</v>
      </c>
      <c r="D412" s="42"/>
      <c r="E412" s="40">
        <v>598</v>
      </c>
      <c r="F412" s="43">
        <v>90.64</v>
      </c>
      <c r="G412" s="40">
        <f t="shared" si="12"/>
        <v>-2.2796428092383796E-2</v>
      </c>
      <c r="H412" s="40">
        <v>42.692</v>
      </c>
      <c r="I412">
        <f t="shared" si="13"/>
        <v>9.1393761121722459E-4</v>
      </c>
    </row>
    <row r="413" spans="1:9" x14ac:dyDescent="0.2">
      <c r="A413" s="40" t="s">
        <v>298</v>
      </c>
      <c r="B413" s="42">
        <v>80.510000000000005</v>
      </c>
      <c r="D413" s="42"/>
      <c r="E413" s="40">
        <v>597</v>
      </c>
      <c r="F413" s="43">
        <v>92.73</v>
      </c>
      <c r="G413" s="40">
        <f t="shared" si="12"/>
        <v>-3.736081906282869E-2</v>
      </c>
      <c r="H413" s="40">
        <v>42.652999999999999</v>
      </c>
      <c r="I413">
        <f t="shared" si="13"/>
        <v>-8.0327343773394563E-3</v>
      </c>
    </row>
    <row r="414" spans="1:9" x14ac:dyDescent="0.2">
      <c r="A414" s="40" t="s">
        <v>299</v>
      </c>
      <c r="B414" s="42">
        <v>84.99</v>
      </c>
      <c r="D414" s="42"/>
      <c r="E414" s="40">
        <v>596</v>
      </c>
      <c r="F414" s="43">
        <v>96.26</v>
      </c>
      <c r="G414" s="40">
        <f t="shared" si="12"/>
        <v>5.9605766415487094E-2</v>
      </c>
      <c r="H414" s="40">
        <v>42.997</v>
      </c>
      <c r="I414">
        <f t="shared" si="13"/>
        <v>4.7021837658128847E-2</v>
      </c>
    </row>
    <row r="415" spans="1:9" x14ac:dyDescent="0.2">
      <c r="A415" s="40" t="s">
        <v>300</v>
      </c>
      <c r="B415" s="42">
        <v>77.239999999999995</v>
      </c>
      <c r="D415" s="42"/>
      <c r="E415" s="40">
        <v>595</v>
      </c>
      <c r="F415" s="43">
        <v>90.69</v>
      </c>
      <c r="G415" s="40">
        <f t="shared" si="12"/>
        <v>-3.5315628399998002E-2</v>
      </c>
      <c r="H415" s="40">
        <v>41.021999999999998</v>
      </c>
      <c r="I415">
        <f t="shared" si="13"/>
        <v>3.8263636316235687E-2</v>
      </c>
    </row>
    <row r="416" spans="1:9" x14ac:dyDescent="0.2">
      <c r="A416" s="40" t="s">
        <v>301</v>
      </c>
      <c r="B416" s="42">
        <v>86.58</v>
      </c>
      <c r="D416" s="42"/>
      <c r="E416" s="40">
        <v>594</v>
      </c>
      <c r="F416" s="43">
        <v>93.95</v>
      </c>
      <c r="G416" s="40">
        <f t="shared" si="12"/>
        <v>2.195288848945633E-2</v>
      </c>
      <c r="H416" s="40">
        <v>39.481999999999999</v>
      </c>
      <c r="I416">
        <f t="shared" si="13"/>
        <v>1.8198120160638293E-2</v>
      </c>
    </row>
    <row r="417" spans="1:9" x14ac:dyDescent="0.2">
      <c r="A417" s="40" t="s">
        <v>302</v>
      </c>
      <c r="B417" s="42">
        <v>82.68</v>
      </c>
      <c r="D417" s="42"/>
      <c r="E417" s="40">
        <v>593</v>
      </c>
      <c r="F417" s="43">
        <v>91.91</v>
      </c>
      <c r="G417" s="40">
        <f t="shared" si="12"/>
        <v>-2.0651058912429933E-3</v>
      </c>
      <c r="H417" s="40">
        <v>38.770000000000003</v>
      </c>
      <c r="I417">
        <f t="shared" si="13"/>
        <v>6.7288038560202766E-3</v>
      </c>
    </row>
    <row r="418" spans="1:9" x14ac:dyDescent="0.2">
      <c r="A418" s="40" t="s">
        <v>303</v>
      </c>
      <c r="B418" s="42">
        <v>81.31</v>
      </c>
      <c r="D418" s="42"/>
      <c r="E418" s="40">
        <v>592</v>
      </c>
      <c r="F418" s="43">
        <v>92.1</v>
      </c>
      <c r="G418" s="40">
        <f t="shared" si="12"/>
        <v>-7.8949201505800603E-3</v>
      </c>
      <c r="H418" s="40">
        <v>38.51</v>
      </c>
      <c r="I418">
        <f t="shared" si="13"/>
        <v>2.7243903838155961E-2</v>
      </c>
    </row>
    <row r="419" spans="1:9" x14ac:dyDescent="0.2">
      <c r="A419" s="40" t="s">
        <v>304</v>
      </c>
      <c r="B419" s="42">
        <v>79</v>
      </c>
      <c r="D419" s="42"/>
      <c r="E419" s="40">
        <v>591</v>
      </c>
      <c r="F419" s="43">
        <v>92.83</v>
      </c>
      <c r="G419" s="40">
        <f t="shared" si="12"/>
        <v>3.429909434709065E-2</v>
      </c>
      <c r="H419" s="40">
        <v>37.475000000000001</v>
      </c>
      <c r="I419">
        <f t="shared" si="13"/>
        <v>-3.0976218574614595E-2</v>
      </c>
    </row>
    <row r="420" spans="1:9" x14ac:dyDescent="0.2">
      <c r="A420" s="40" t="s">
        <v>305</v>
      </c>
      <c r="B420" s="42">
        <v>76.430000000000007</v>
      </c>
      <c r="D420" s="42"/>
      <c r="E420" s="40">
        <v>590</v>
      </c>
      <c r="F420" s="43">
        <v>89.7</v>
      </c>
      <c r="G420" s="40">
        <f t="shared" si="12"/>
        <v>2.3347363996991322E-2</v>
      </c>
      <c r="H420" s="40">
        <v>38.654000000000003</v>
      </c>
      <c r="I420">
        <f t="shared" si="13"/>
        <v>-1.3286414530735157E-2</v>
      </c>
    </row>
    <row r="421" spans="1:9" x14ac:dyDescent="0.2">
      <c r="A421" s="40" t="s">
        <v>306</v>
      </c>
      <c r="B421" s="42">
        <v>77.459999999999994</v>
      </c>
      <c r="D421" s="42"/>
      <c r="E421" s="40">
        <v>589</v>
      </c>
      <c r="F421" s="43">
        <v>87.63</v>
      </c>
      <c r="G421" s="40">
        <f t="shared" si="12"/>
        <v>4.2306606224445611E-2</v>
      </c>
      <c r="H421" s="40">
        <v>39.170999999999999</v>
      </c>
      <c r="I421">
        <f t="shared" si="13"/>
        <v>-3.9746287897705962E-3</v>
      </c>
    </row>
    <row r="422" spans="1:9" x14ac:dyDescent="0.2">
      <c r="A422" s="40" t="s">
        <v>307</v>
      </c>
      <c r="B422" s="42">
        <v>76.41</v>
      </c>
      <c r="D422" s="42"/>
      <c r="E422" s="40">
        <v>588</v>
      </c>
      <c r="F422" s="43">
        <v>84</v>
      </c>
      <c r="G422" s="40">
        <f t="shared" si="12"/>
        <v>-2.0502662326517374E-2</v>
      </c>
      <c r="H422" s="40">
        <v>39.326999999999998</v>
      </c>
      <c r="I422">
        <f t="shared" si="13"/>
        <v>-1.1201553335817509E-2</v>
      </c>
    </row>
    <row r="423" spans="1:9" x14ac:dyDescent="0.2">
      <c r="A423" s="40" t="s">
        <v>308</v>
      </c>
      <c r="B423" s="42">
        <v>75.209999999999994</v>
      </c>
      <c r="D423" s="42"/>
      <c r="E423" s="40">
        <v>587</v>
      </c>
      <c r="F423" s="43">
        <v>85.74</v>
      </c>
      <c r="G423" s="40">
        <f t="shared" si="12"/>
        <v>-3.4983383249905615E-4</v>
      </c>
      <c r="H423" s="40">
        <v>39.770000000000003</v>
      </c>
      <c r="I423">
        <f t="shared" si="13"/>
        <v>4.990468997612775E-2</v>
      </c>
    </row>
    <row r="424" spans="1:9" x14ac:dyDescent="0.2">
      <c r="A424" s="41">
        <v>39449</v>
      </c>
      <c r="B424" s="42">
        <v>73.94</v>
      </c>
      <c r="D424" s="42"/>
      <c r="E424" s="40">
        <v>586</v>
      </c>
      <c r="F424" s="43">
        <v>85.77</v>
      </c>
      <c r="G424" s="40">
        <f t="shared" si="12"/>
        <v>-4.5367378458030403E-3</v>
      </c>
      <c r="H424" s="40">
        <v>37.834000000000003</v>
      </c>
      <c r="I424">
        <f t="shared" si="13"/>
        <v>-5.8442441666250657E-2</v>
      </c>
    </row>
    <row r="425" spans="1:9" x14ac:dyDescent="0.2">
      <c r="A425" s="41">
        <v>39540</v>
      </c>
      <c r="B425" s="42">
        <v>73.900000000000006</v>
      </c>
      <c r="D425" s="42"/>
      <c r="E425" s="40">
        <v>585</v>
      </c>
      <c r="F425" s="43">
        <v>86.16</v>
      </c>
      <c r="G425" s="40">
        <f t="shared" si="12"/>
        <v>1.2731585860340212E-2</v>
      </c>
      <c r="H425" s="40">
        <v>40.110999999999997</v>
      </c>
      <c r="I425">
        <f t="shared" si="13"/>
        <v>2.9474539630335785E-2</v>
      </c>
    </row>
    <row r="426" spans="1:9" x14ac:dyDescent="0.2">
      <c r="A426" s="41">
        <v>39570</v>
      </c>
      <c r="B426" s="42">
        <v>75.06</v>
      </c>
      <c r="D426" s="42"/>
      <c r="E426" s="40">
        <v>584</v>
      </c>
      <c r="F426" s="43">
        <v>85.07</v>
      </c>
      <c r="G426" s="40">
        <f t="shared" si="12"/>
        <v>-7.1661616296317399E-2</v>
      </c>
      <c r="H426" s="40">
        <v>38.945999999999998</v>
      </c>
      <c r="I426">
        <f t="shared" si="13"/>
        <v>2.511636589524676E-2</v>
      </c>
    </row>
    <row r="427" spans="1:9" x14ac:dyDescent="0.2">
      <c r="A427" s="41">
        <v>39601</v>
      </c>
      <c r="B427" s="42">
        <v>74.63</v>
      </c>
      <c r="D427" s="42"/>
      <c r="E427" s="40">
        <v>583</v>
      </c>
      <c r="F427" s="43">
        <v>91.39</v>
      </c>
      <c r="G427" s="40">
        <f t="shared" si="12"/>
        <v>-5.6737740859078246E-3</v>
      </c>
      <c r="H427" s="40">
        <v>37.979999999999997</v>
      </c>
      <c r="I427">
        <f t="shared" si="13"/>
        <v>0.21808789562281974</v>
      </c>
    </row>
    <row r="428" spans="1:9" x14ac:dyDescent="0.2">
      <c r="A428" s="41">
        <v>39631</v>
      </c>
      <c r="B428" s="42">
        <v>72</v>
      </c>
      <c r="D428" s="42"/>
      <c r="E428" s="40">
        <v>582</v>
      </c>
      <c r="F428" s="43">
        <v>91.91</v>
      </c>
      <c r="G428" s="40">
        <f t="shared" si="12"/>
        <v>-5.9760231749840458E-2</v>
      </c>
      <c r="H428" s="40">
        <v>30.538</v>
      </c>
      <c r="I428">
        <f t="shared" si="13"/>
        <v>-4.8998889397077411E-3</v>
      </c>
    </row>
    <row r="429" spans="1:9" x14ac:dyDescent="0.2">
      <c r="A429" s="41">
        <v>39662</v>
      </c>
      <c r="B429" s="42">
        <v>72.599999999999994</v>
      </c>
      <c r="D429" s="42"/>
      <c r="E429" s="40">
        <v>581</v>
      </c>
      <c r="F429" s="43">
        <v>97.57</v>
      </c>
      <c r="G429" s="40">
        <f t="shared" si="12"/>
        <v>-6.2666317674688998E-2</v>
      </c>
      <c r="H429" s="40">
        <v>30.687999999999999</v>
      </c>
      <c r="I429">
        <f t="shared" si="13"/>
        <v>-1.5776869335380379E-2</v>
      </c>
    </row>
    <row r="430" spans="1:9" x14ac:dyDescent="0.2">
      <c r="A430" s="41">
        <v>39754</v>
      </c>
      <c r="B430" s="42">
        <v>71.41</v>
      </c>
      <c r="D430" s="42"/>
      <c r="E430" s="40">
        <v>580</v>
      </c>
      <c r="F430" s="43">
        <v>103.88</v>
      </c>
      <c r="G430" s="40">
        <f t="shared" si="12"/>
        <v>-2.5096374151183803E-2</v>
      </c>
      <c r="H430" s="40">
        <v>31.175999999999998</v>
      </c>
      <c r="I430">
        <f t="shared" si="13"/>
        <v>-2.8187078239641653E-3</v>
      </c>
    </row>
    <row r="431" spans="1:9" x14ac:dyDescent="0.2">
      <c r="A431" s="41">
        <v>39784</v>
      </c>
      <c r="B431" s="42">
        <v>72.52</v>
      </c>
      <c r="D431" s="42"/>
      <c r="E431" s="40">
        <v>579</v>
      </c>
      <c r="F431" s="43">
        <v>106.52</v>
      </c>
      <c r="G431" s="40">
        <f t="shared" si="12"/>
        <v>4.4242690105129316E-2</v>
      </c>
      <c r="H431" s="40">
        <v>31.263999999999999</v>
      </c>
      <c r="I431">
        <f t="shared" si="13"/>
        <v>-1.3155157779856362E-2</v>
      </c>
    </row>
    <row r="432" spans="1:9" x14ac:dyDescent="0.2">
      <c r="A432" s="40" t="s">
        <v>309</v>
      </c>
      <c r="B432" s="42">
        <v>71.44</v>
      </c>
      <c r="D432" s="42"/>
      <c r="E432" s="40">
        <v>578</v>
      </c>
      <c r="F432" s="43">
        <v>101.91</v>
      </c>
      <c r="G432" s="40">
        <f t="shared" si="12"/>
        <v>4.280282531584291E-2</v>
      </c>
      <c r="H432" s="40">
        <v>31.678000000000001</v>
      </c>
      <c r="I432">
        <f t="shared" si="13"/>
        <v>4.8509251548768895E-2</v>
      </c>
    </row>
    <row r="433" spans="1:9" x14ac:dyDescent="0.2">
      <c r="A433" s="40" t="s">
        <v>310</v>
      </c>
      <c r="B433" s="42">
        <v>69.23</v>
      </c>
      <c r="D433" s="42"/>
      <c r="E433" s="40">
        <v>577</v>
      </c>
      <c r="F433" s="43">
        <v>97.64</v>
      </c>
      <c r="G433" s="40">
        <f t="shared" si="12"/>
        <v>2.9834342042655889E-2</v>
      </c>
      <c r="H433" s="40">
        <v>30.178000000000001</v>
      </c>
      <c r="I433">
        <f t="shared" si="13"/>
        <v>3.2499366412326314E-2</v>
      </c>
    </row>
    <row r="434" spans="1:9" x14ac:dyDescent="0.2">
      <c r="A434" s="40" t="s">
        <v>311</v>
      </c>
      <c r="B434" s="42">
        <v>74.72</v>
      </c>
      <c r="D434" s="42"/>
      <c r="E434" s="40">
        <v>576</v>
      </c>
      <c r="F434" s="43">
        <v>94.77</v>
      </c>
      <c r="G434" s="40">
        <f t="shared" si="12"/>
        <v>6.2142603588547174E-2</v>
      </c>
      <c r="H434" s="40">
        <v>29.213000000000001</v>
      </c>
      <c r="I434">
        <f t="shared" si="13"/>
        <v>8.939990086024566E-3</v>
      </c>
    </row>
    <row r="435" spans="1:9" x14ac:dyDescent="0.2">
      <c r="A435" s="40" t="s">
        <v>312</v>
      </c>
      <c r="B435" s="42">
        <v>69.599999999999994</v>
      </c>
      <c r="D435" s="42"/>
      <c r="E435" s="40">
        <v>575</v>
      </c>
      <c r="F435" s="43">
        <v>89.06</v>
      </c>
      <c r="G435" s="40">
        <f t="shared" si="12"/>
        <v>-4.0705212493774637E-2</v>
      </c>
      <c r="H435" s="40">
        <v>28.952999999999999</v>
      </c>
      <c r="I435">
        <f t="shared" si="13"/>
        <v>2.1399591330574178E-2</v>
      </c>
    </row>
    <row r="436" spans="1:9" x14ac:dyDescent="0.2">
      <c r="A436" s="40" t="s">
        <v>313</v>
      </c>
      <c r="B436" s="42">
        <v>71.290000000000006</v>
      </c>
      <c r="D436" s="42"/>
      <c r="E436" s="40">
        <v>574</v>
      </c>
      <c r="F436" s="43">
        <v>92.76</v>
      </c>
      <c r="G436" s="40">
        <f t="shared" si="12"/>
        <v>-5.1169310850249096E-2</v>
      </c>
      <c r="H436" s="40">
        <v>28.34</v>
      </c>
      <c r="I436">
        <f t="shared" si="13"/>
        <v>-8.3629567842439592E-3</v>
      </c>
    </row>
    <row r="437" spans="1:9" x14ac:dyDescent="0.2">
      <c r="A437" s="40" t="s">
        <v>314</v>
      </c>
      <c r="B437" s="42">
        <v>69.650000000000006</v>
      </c>
      <c r="D437" s="42"/>
      <c r="E437" s="40">
        <v>573</v>
      </c>
      <c r="F437" s="43">
        <v>97.63</v>
      </c>
      <c r="G437" s="40">
        <f t="shared" si="12"/>
        <v>3.0998945582248048E-2</v>
      </c>
      <c r="H437" s="40">
        <v>28.577999999999999</v>
      </c>
      <c r="I437">
        <f t="shared" si="13"/>
        <v>-1.068523818645056E-2</v>
      </c>
    </row>
    <row r="438" spans="1:9" x14ac:dyDescent="0.2">
      <c r="A438" s="40" t="s">
        <v>315</v>
      </c>
      <c r="B438" s="42">
        <v>65.47</v>
      </c>
      <c r="D438" s="42"/>
      <c r="E438" s="40">
        <v>572</v>
      </c>
      <c r="F438" s="43">
        <v>94.65</v>
      </c>
      <c r="G438" s="40">
        <f t="shared" si="12"/>
        <v>-6.0369780609097312E-2</v>
      </c>
      <c r="H438" s="40">
        <v>28.885000000000002</v>
      </c>
      <c r="I438">
        <f t="shared" si="13"/>
        <v>1.0930211853006661E-2</v>
      </c>
    </row>
    <row r="439" spans="1:9" x14ac:dyDescent="0.2">
      <c r="A439" s="40" t="s">
        <v>316</v>
      </c>
      <c r="B439" s="42">
        <v>68.92</v>
      </c>
      <c r="D439" s="42"/>
      <c r="E439" s="40">
        <v>571</v>
      </c>
      <c r="F439" s="43">
        <v>100.54</v>
      </c>
      <c r="G439" s="40">
        <f t="shared" si="12"/>
        <v>3.2551140349107367E-2</v>
      </c>
      <c r="H439" s="40">
        <v>28.571000000000002</v>
      </c>
      <c r="I439">
        <f t="shared" si="13"/>
        <v>-2.0097000145189375E-2</v>
      </c>
    </row>
    <row r="440" spans="1:9" x14ac:dyDescent="0.2">
      <c r="A440" s="40" t="s">
        <v>317</v>
      </c>
      <c r="B440" s="42">
        <v>68.59</v>
      </c>
      <c r="D440" s="42"/>
      <c r="E440" s="40">
        <v>570</v>
      </c>
      <c r="F440" s="43">
        <v>97.32</v>
      </c>
      <c r="G440" s="40">
        <f t="shared" si="12"/>
        <v>-2.1555050686018454E-3</v>
      </c>
      <c r="H440" s="40">
        <v>29.151</v>
      </c>
      <c r="I440">
        <f t="shared" si="13"/>
        <v>1.6289201793991934E-2</v>
      </c>
    </row>
    <row r="441" spans="1:9" x14ac:dyDescent="0.2">
      <c r="A441" s="40" t="s">
        <v>318</v>
      </c>
      <c r="B441" s="42">
        <v>67.56</v>
      </c>
      <c r="D441" s="42"/>
      <c r="E441" s="40">
        <v>569</v>
      </c>
      <c r="F441" s="43">
        <v>97.53</v>
      </c>
      <c r="G441" s="40">
        <f t="shared" si="12"/>
        <v>5.3492065150789705E-2</v>
      </c>
      <c r="H441" s="40">
        <v>28.68</v>
      </c>
      <c r="I441">
        <f t="shared" si="13"/>
        <v>3.9762003278466365E-2</v>
      </c>
    </row>
    <row r="442" spans="1:9" x14ac:dyDescent="0.2">
      <c r="A442" s="40" t="s">
        <v>319</v>
      </c>
      <c r="B442" s="42">
        <v>66.61</v>
      </c>
      <c r="D442" s="42"/>
      <c r="E442" s="40">
        <v>568</v>
      </c>
      <c r="F442" s="43">
        <v>92.45</v>
      </c>
      <c r="G442" s="40">
        <f t="shared" si="12"/>
        <v>5.0967957213561227E-3</v>
      </c>
      <c r="H442" s="40">
        <v>27.562000000000001</v>
      </c>
      <c r="I442">
        <f t="shared" si="13"/>
        <v>-8.6699481019477231E-3</v>
      </c>
    </row>
    <row r="443" spans="1:9" x14ac:dyDescent="0.2">
      <c r="A443" s="40" t="s">
        <v>320</v>
      </c>
      <c r="B443" s="42">
        <v>69.81</v>
      </c>
      <c r="D443" s="42"/>
      <c r="E443" s="40">
        <v>567</v>
      </c>
      <c r="F443" s="43">
        <v>91.98</v>
      </c>
      <c r="G443" s="40">
        <f t="shared" si="12"/>
        <v>1.9588644853329716E-3</v>
      </c>
      <c r="H443" s="40">
        <v>27.802</v>
      </c>
      <c r="I443">
        <f t="shared" si="13"/>
        <v>-1.456856445900407E-2</v>
      </c>
    </row>
    <row r="444" spans="1:9" x14ac:dyDescent="0.2">
      <c r="A444" s="41">
        <v>39510</v>
      </c>
      <c r="B444" s="42">
        <v>71.02</v>
      </c>
      <c r="D444" s="42"/>
      <c r="E444" s="40">
        <v>566</v>
      </c>
      <c r="F444" s="43">
        <v>91.8</v>
      </c>
      <c r="G444" s="40">
        <f t="shared" si="12"/>
        <v>-7.287783520427199E-2</v>
      </c>
      <c r="H444" s="40">
        <v>28.21</v>
      </c>
      <c r="I444">
        <f t="shared" si="13"/>
        <v>-2.4511031014349805E-2</v>
      </c>
    </row>
    <row r="445" spans="1:9" x14ac:dyDescent="0.2">
      <c r="A445" s="41">
        <v>39541</v>
      </c>
      <c r="B445" s="42">
        <v>69.95</v>
      </c>
      <c r="D445" s="42"/>
      <c r="E445" s="40">
        <v>565</v>
      </c>
      <c r="F445" s="43">
        <v>98.74</v>
      </c>
      <c r="G445" s="40">
        <f t="shared" si="12"/>
        <v>7.5714097605220604E-2</v>
      </c>
      <c r="H445" s="40">
        <v>28.91</v>
      </c>
      <c r="I445">
        <f t="shared" si="13"/>
        <v>4.0987752521160825E-2</v>
      </c>
    </row>
    <row r="446" spans="1:9" x14ac:dyDescent="0.2">
      <c r="A446" s="41">
        <v>39571</v>
      </c>
      <c r="B446" s="42">
        <v>68.510000000000005</v>
      </c>
      <c r="D446" s="42"/>
      <c r="E446" s="40">
        <v>564</v>
      </c>
      <c r="F446" s="43">
        <v>91.54</v>
      </c>
      <c r="G446" s="40">
        <f t="shared" si="12"/>
        <v>8.7431699558713745E-4</v>
      </c>
      <c r="H446" s="40">
        <v>27.748999999999999</v>
      </c>
      <c r="I446">
        <f t="shared" si="13"/>
        <v>1.9027404416812683E-2</v>
      </c>
    </row>
    <row r="447" spans="1:9" x14ac:dyDescent="0.2">
      <c r="A447" s="41">
        <v>39602</v>
      </c>
      <c r="B447" s="42">
        <v>74.53</v>
      </c>
      <c r="D447" s="42"/>
      <c r="E447" s="40">
        <v>563</v>
      </c>
      <c r="F447" s="43">
        <v>91.46</v>
      </c>
      <c r="G447" s="40">
        <f t="shared" si="12"/>
        <v>3.6181382959233573E-2</v>
      </c>
      <c r="H447" s="40">
        <v>27.225999999999999</v>
      </c>
      <c r="I447">
        <f t="shared" si="13"/>
        <v>9.9664920063107683E-3</v>
      </c>
    </row>
    <row r="448" spans="1:9" x14ac:dyDescent="0.2">
      <c r="A448" s="41">
        <v>39632</v>
      </c>
      <c r="B448" s="42">
        <v>76.02</v>
      </c>
      <c r="D448" s="42"/>
      <c r="E448" s="40">
        <v>562</v>
      </c>
      <c r="F448" s="43">
        <v>88.21</v>
      </c>
      <c r="G448" s="40">
        <f t="shared" si="12"/>
        <v>1.4962302999329012E-2</v>
      </c>
      <c r="H448" s="40">
        <v>26.956</v>
      </c>
      <c r="I448">
        <f t="shared" si="13"/>
        <v>2.6882833978142943E-2</v>
      </c>
    </row>
    <row r="449" spans="1:9" x14ac:dyDescent="0.2">
      <c r="A449" s="41">
        <v>39724</v>
      </c>
      <c r="B449" s="42">
        <v>77.45</v>
      </c>
      <c r="D449" s="42"/>
      <c r="E449" s="40">
        <v>561</v>
      </c>
      <c r="F449" s="43">
        <v>86.9</v>
      </c>
      <c r="G449" s="40">
        <f t="shared" si="12"/>
        <v>1.2855582686472413E-2</v>
      </c>
      <c r="H449" s="40">
        <v>26.241</v>
      </c>
      <c r="I449">
        <f t="shared" si="13"/>
        <v>-3.0068139830738708E-2</v>
      </c>
    </row>
    <row r="450" spans="1:9" x14ac:dyDescent="0.2">
      <c r="A450" s="41">
        <v>39755</v>
      </c>
      <c r="B450" s="42">
        <v>73.760000000000005</v>
      </c>
      <c r="D450" s="42"/>
      <c r="E450" s="40">
        <v>560</v>
      </c>
      <c r="F450" s="43">
        <v>85.79</v>
      </c>
      <c r="G450" s="40">
        <f t="shared" si="12"/>
        <v>-5.5103487615986199E-2</v>
      </c>
      <c r="H450" s="40">
        <v>27.042000000000002</v>
      </c>
      <c r="I450">
        <f t="shared" si="13"/>
        <v>-2.8433762994547872E-3</v>
      </c>
    </row>
    <row r="451" spans="1:9" x14ac:dyDescent="0.2">
      <c r="A451" s="41">
        <v>39785</v>
      </c>
      <c r="B451" s="42">
        <v>73.94</v>
      </c>
      <c r="D451" s="42"/>
      <c r="E451" s="40">
        <v>559</v>
      </c>
      <c r="F451" s="43">
        <v>90.65</v>
      </c>
      <c r="G451" s="40">
        <f t="shared" ref="G451:G514" si="14">LN(F451/F452)</f>
        <v>-4.0005334613699019E-2</v>
      </c>
      <c r="H451" s="40">
        <v>27.119</v>
      </c>
      <c r="I451">
        <f t="shared" ref="I451:I514" si="15">LN(H451/H452)</f>
        <v>5.532707663772785E-4</v>
      </c>
    </row>
    <row r="452" spans="1:9" x14ac:dyDescent="0.2">
      <c r="A452" s="40" t="s">
        <v>321</v>
      </c>
      <c r="B452" s="42">
        <v>75.56</v>
      </c>
      <c r="D452" s="42"/>
      <c r="E452" s="40">
        <v>558</v>
      </c>
      <c r="F452" s="43">
        <v>94.35</v>
      </c>
      <c r="G452" s="40">
        <f t="shared" si="14"/>
        <v>4.1421120238472504E-3</v>
      </c>
      <c r="H452" s="40">
        <v>27.103999999999999</v>
      </c>
      <c r="I452">
        <f t="shared" si="15"/>
        <v>-3.0055864641703237E-2</v>
      </c>
    </row>
    <row r="453" spans="1:9" x14ac:dyDescent="0.2">
      <c r="A453" s="40" t="s">
        <v>322</v>
      </c>
      <c r="B453" s="42">
        <v>80.989999999999995</v>
      </c>
      <c r="D453" s="42"/>
      <c r="E453" s="40">
        <v>557</v>
      </c>
      <c r="F453" s="43">
        <v>93.96</v>
      </c>
      <c r="G453" s="40">
        <f t="shared" si="14"/>
        <v>-3.1223070626517985E-2</v>
      </c>
      <c r="H453" s="40">
        <v>27.931000000000001</v>
      </c>
      <c r="I453">
        <f t="shared" si="15"/>
        <v>9.4968158626666504E-3</v>
      </c>
    </row>
    <row r="454" spans="1:9" x14ac:dyDescent="0.2">
      <c r="A454" s="40" t="s">
        <v>323</v>
      </c>
      <c r="B454" s="42">
        <v>80.709999999999994</v>
      </c>
      <c r="D454" s="42"/>
      <c r="E454" s="40">
        <v>556</v>
      </c>
      <c r="F454" s="43">
        <v>96.94</v>
      </c>
      <c r="G454" s="40">
        <f t="shared" si="14"/>
        <v>-1.5558143912824543E-2</v>
      </c>
      <c r="H454" s="40">
        <v>27.667000000000002</v>
      </c>
      <c r="I454">
        <f t="shared" si="15"/>
        <v>2.4329429913626223E-2</v>
      </c>
    </row>
    <row r="455" spans="1:9" x14ac:dyDescent="0.2">
      <c r="A455" s="40" t="s">
        <v>324</v>
      </c>
      <c r="B455" s="42">
        <v>72.97</v>
      </c>
      <c r="D455" s="42"/>
      <c r="E455" s="40">
        <v>555</v>
      </c>
      <c r="F455" s="43">
        <v>98.46</v>
      </c>
      <c r="G455" s="40">
        <f t="shared" si="14"/>
        <v>3.535251871571965E-2</v>
      </c>
      <c r="H455" s="40">
        <v>27.001999999999999</v>
      </c>
      <c r="I455">
        <f t="shared" si="15"/>
        <v>9.0774432836268869E-3</v>
      </c>
    </row>
    <row r="456" spans="1:9" x14ac:dyDescent="0.2">
      <c r="A456" s="40" t="s">
        <v>325</v>
      </c>
      <c r="B456" s="42">
        <v>70.5</v>
      </c>
      <c r="D456" s="42"/>
      <c r="E456" s="40">
        <v>554</v>
      </c>
      <c r="F456" s="43">
        <v>95.04</v>
      </c>
      <c r="G456" s="40">
        <f t="shared" si="14"/>
        <v>7.6847411228614368E-2</v>
      </c>
      <c r="H456" s="40">
        <v>26.757999999999999</v>
      </c>
      <c r="I456">
        <f t="shared" si="15"/>
        <v>1.1085963106687854E-2</v>
      </c>
    </row>
    <row r="457" spans="1:9" x14ac:dyDescent="0.2">
      <c r="A457" s="40" t="s">
        <v>326</v>
      </c>
      <c r="B457" s="42">
        <v>66.97</v>
      </c>
      <c r="D457" s="42"/>
      <c r="E457" s="40">
        <v>553</v>
      </c>
      <c r="F457" s="43">
        <v>88.01</v>
      </c>
      <c r="G457" s="40">
        <f t="shared" si="14"/>
        <v>5.6804238746783739E-2</v>
      </c>
      <c r="H457" s="40">
        <v>26.463000000000001</v>
      </c>
      <c r="I457">
        <f t="shared" si="15"/>
        <v>-1.2085049999858662E-3</v>
      </c>
    </row>
    <row r="458" spans="1:9" x14ac:dyDescent="0.2">
      <c r="A458" s="40" t="s">
        <v>327</v>
      </c>
      <c r="B458" s="42">
        <v>68.819999999999993</v>
      </c>
      <c r="D458" s="42"/>
      <c r="E458" s="40">
        <v>552</v>
      </c>
      <c r="F458" s="43">
        <v>83.15</v>
      </c>
      <c r="G458" s="40">
        <f t="shared" si="14"/>
        <v>-1.0289633737819064E-2</v>
      </c>
      <c r="H458" s="40">
        <v>26.495000000000001</v>
      </c>
      <c r="I458">
        <f t="shared" si="15"/>
        <v>-2.5120581516236116E-2</v>
      </c>
    </row>
    <row r="459" spans="1:9" x14ac:dyDescent="0.2">
      <c r="A459" s="40" t="s">
        <v>328</v>
      </c>
      <c r="B459" s="42">
        <v>68.650000000000006</v>
      </c>
      <c r="D459" s="42"/>
      <c r="E459" s="40">
        <v>551</v>
      </c>
      <c r="F459" s="43">
        <v>84.01</v>
      </c>
      <c r="G459" s="40">
        <f t="shared" si="14"/>
        <v>-8.5338908336169365E-3</v>
      </c>
      <c r="H459" s="40">
        <v>27.169</v>
      </c>
      <c r="I459">
        <f t="shared" si="15"/>
        <v>-1.497799608876579E-2</v>
      </c>
    </row>
    <row r="460" spans="1:9" x14ac:dyDescent="0.2">
      <c r="A460" s="40" t="s">
        <v>329</v>
      </c>
      <c r="B460" s="42">
        <v>69.56</v>
      </c>
      <c r="D460" s="42"/>
      <c r="E460" s="40">
        <v>550</v>
      </c>
      <c r="F460" s="43">
        <v>84.73</v>
      </c>
      <c r="G460" s="40">
        <f t="shared" si="14"/>
        <v>-2.7127805913778759E-2</v>
      </c>
      <c r="H460" s="40">
        <v>27.579000000000001</v>
      </c>
      <c r="I460">
        <f t="shared" si="15"/>
        <v>1.9848315275571536E-2</v>
      </c>
    </row>
    <row r="461" spans="1:9" x14ac:dyDescent="0.2">
      <c r="A461" s="40" t="s">
        <v>330</v>
      </c>
      <c r="B461" s="42">
        <v>69</v>
      </c>
      <c r="D461" s="42"/>
      <c r="E461" s="40">
        <v>549</v>
      </c>
      <c r="F461" s="43">
        <v>87.06</v>
      </c>
      <c r="G461" s="40">
        <f t="shared" si="14"/>
        <v>1.3180905363596819E-2</v>
      </c>
      <c r="H461" s="40">
        <v>27.036999999999999</v>
      </c>
      <c r="I461">
        <f t="shared" si="15"/>
        <v>5.7865809302459787E-3</v>
      </c>
    </row>
    <row r="462" spans="1:9" x14ac:dyDescent="0.2">
      <c r="A462" s="40" t="s">
        <v>331</v>
      </c>
      <c r="B462" s="42">
        <v>68.790000000000006</v>
      </c>
      <c r="D462" s="42"/>
      <c r="E462" s="40">
        <v>548</v>
      </c>
      <c r="F462" s="43">
        <v>85.92</v>
      </c>
      <c r="G462" s="40">
        <f t="shared" si="14"/>
        <v>-2.3274758629440463E-4</v>
      </c>
      <c r="H462" s="40">
        <v>26.881</v>
      </c>
      <c r="I462">
        <f t="shared" si="15"/>
        <v>-2.105573425744103E-2</v>
      </c>
    </row>
    <row r="463" spans="1:9" x14ac:dyDescent="0.2">
      <c r="A463" s="40" t="s">
        <v>332</v>
      </c>
      <c r="B463" s="42">
        <v>67.64</v>
      </c>
      <c r="D463" s="42"/>
      <c r="E463" s="40">
        <v>547</v>
      </c>
      <c r="F463" s="43">
        <v>85.94</v>
      </c>
      <c r="G463" s="40">
        <f t="shared" si="14"/>
        <v>1.5242410236859861E-2</v>
      </c>
      <c r="H463" s="40">
        <v>27.452999999999999</v>
      </c>
      <c r="I463">
        <f t="shared" si="15"/>
        <v>-1.8478276672200446E-2</v>
      </c>
    </row>
    <row r="464" spans="1:9" x14ac:dyDescent="0.2">
      <c r="A464" s="41">
        <v>39451</v>
      </c>
      <c r="B464" s="42">
        <v>66.959999999999994</v>
      </c>
      <c r="D464" s="42"/>
      <c r="E464" s="40">
        <v>546</v>
      </c>
      <c r="F464" s="43">
        <v>84.64</v>
      </c>
      <c r="G464" s="40">
        <f t="shared" si="14"/>
        <v>-1.5009662650565289E-2</v>
      </c>
      <c r="H464" s="40">
        <v>27.965</v>
      </c>
      <c r="I464">
        <f t="shared" si="15"/>
        <v>6.7453881395314347E-3</v>
      </c>
    </row>
    <row r="465" spans="1:9" x14ac:dyDescent="0.2">
      <c r="A465" s="41">
        <v>39482</v>
      </c>
      <c r="B465" s="42">
        <v>67.61</v>
      </c>
      <c r="D465" s="42"/>
      <c r="E465" s="40">
        <v>545</v>
      </c>
      <c r="F465" s="43">
        <v>85.92</v>
      </c>
      <c r="G465" s="40">
        <f t="shared" si="14"/>
        <v>1.4064929467403675E-2</v>
      </c>
      <c r="H465" s="40">
        <v>27.777000000000001</v>
      </c>
      <c r="I465">
        <f t="shared" si="15"/>
        <v>1.4285957247476652E-2</v>
      </c>
    </row>
    <row r="466" spans="1:9" x14ac:dyDescent="0.2">
      <c r="A466" s="41">
        <v>39511</v>
      </c>
      <c r="B466" s="42">
        <v>66.11</v>
      </c>
      <c r="D466" s="42"/>
      <c r="E466" s="40">
        <v>544</v>
      </c>
      <c r="F466" s="43">
        <v>84.72</v>
      </c>
      <c r="G466" s="40">
        <f t="shared" si="14"/>
        <v>7.7019161459456163E-3</v>
      </c>
      <c r="H466" s="40">
        <v>27.382999999999999</v>
      </c>
      <c r="I466">
        <f t="shared" si="15"/>
        <v>1.4678285127193921E-2</v>
      </c>
    </row>
    <row r="467" spans="1:9" x14ac:dyDescent="0.2">
      <c r="A467" s="41">
        <v>39542</v>
      </c>
      <c r="B467" s="42">
        <v>64.56</v>
      </c>
      <c r="D467" s="42"/>
      <c r="E467" s="40">
        <v>543</v>
      </c>
      <c r="F467" s="43">
        <v>84.07</v>
      </c>
      <c r="G467" s="40">
        <f t="shared" si="14"/>
        <v>-4.0331806597141209E-2</v>
      </c>
      <c r="H467" s="40">
        <v>26.984000000000002</v>
      </c>
      <c r="I467">
        <f t="shared" si="15"/>
        <v>2.1501371450308303E-2</v>
      </c>
    </row>
    <row r="468" spans="1:9" x14ac:dyDescent="0.2">
      <c r="A468" s="41">
        <v>39633</v>
      </c>
      <c r="B468" s="42">
        <v>67.400000000000006</v>
      </c>
      <c r="D468" s="42"/>
      <c r="E468" s="40">
        <v>542</v>
      </c>
      <c r="F468" s="43">
        <v>87.53</v>
      </c>
      <c r="G468" s="40">
        <f t="shared" si="14"/>
        <v>2.5338313984492666E-2</v>
      </c>
      <c r="H468" s="40">
        <v>26.41</v>
      </c>
      <c r="I468">
        <f t="shared" si="15"/>
        <v>-4.5711343077722765E-3</v>
      </c>
    </row>
    <row r="469" spans="1:9" x14ac:dyDescent="0.2">
      <c r="A469" s="41">
        <v>39664</v>
      </c>
      <c r="B469" s="42">
        <v>67.3</v>
      </c>
      <c r="D469" s="42"/>
      <c r="E469" s="40">
        <v>541</v>
      </c>
      <c r="F469" s="43">
        <v>85.34</v>
      </c>
      <c r="G469" s="40">
        <f t="shared" si="14"/>
        <v>-2.8190406500234064E-2</v>
      </c>
      <c r="H469" s="40">
        <v>26.530999999999999</v>
      </c>
      <c r="I469">
        <f t="shared" si="15"/>
        <v>-9.3041376495324388E-3</v>
      </c>
    </row>
    <row r="470" spans="1:9" x14ac:dyDescent="0.2">
      <c r="A470" s="41">
        <v>39695</v>
      </c>
      <c r="B470" s="42">
        <v>75.239999999999995</v>
      </c>
      <c r="D470" s="42"/>
      <c r="E470" s="40">
        <v>540</v>
      </c>
      <c r="F470" s="43">
        <v>87.78</v>
      </c>
      <c r="G470" s="40">
        <f t="shared" si="14"/>
        <v>-4.0521197405639323E-2</v>
      </c>
      <c r="H470" s="40">
        <v>26.779</v>
      </c>
      <c r="I470">
        <f t="shared" si="15"/>
        <v>-1.5268037929020838E-2</v>
      </c>
    </row>
    <row r="471" spans="1:9" x14ac:dyDescent="0.2">
      <c r="A471" s="41">
        <v>39725</v>
      </c>
      <c r="B471" s="42">
        <v>75.47</v>
      </c>
      <c r="D471" s="42"/>
      <c r="E471" s="40">
        <v>539</v>
      </c>
      <c r="F471" s="43">
        <v>91.41</v>
      </c>
      <c r="G471" s="40">
        <f t="shared" si="14"/>
        <v>-3.9258580705211661E-2</v>
      </c>
      <c r="H471" s="40">
        <v>27.190999999999999</v>
      </c>
      <c r="I471">
        <f t="shared" si="15"/>
        <v>2.694958004555327E-2</v>
      </c>
    </row>
    <row r="472" spans="1:9" x14ac:dyDescent="0.2">
      <c r="A472" s="41">
        <v>39756</v>
      </c>
      <c r="B472" s="42">
        <v>74.739999999999995</v>
      </c>
      <c r="D472" s="42"/>
      <c r="E472" s="40">
        <v>538</v>
      </c>
      <c r="F472" s="43">
        <v>95.07</v>
      </c>
      <c r="G472" s="40">
        <f t="shared" si="14"/>
        <v>-4.77527962844181E-2</v>
      </c>
      <c r="H472" s="40">
        <v>26.468</v>
      </c>
      <c r="I472">
        <f t="shared" si="15"/>
        <v>1.0215214050107497E-2</v>
      </c>
    </row>
    <row r="473" spans="1:9" x14ac:dyDescent="0.2">
      <c r="A473" s="40" t="s">
        <v>333</v>
      </c>
      <c r="B473" s="42">
        <v>72.39</v>
      </c>
      <c r="D473" s="42"/>
      <c r="E473" s="40">
        <v>537</v>
      </c>
      <c r="F473" s="43">
        <v>99.72</v>
      </c>
      <c r="G473" s="40">
        <f t="shared" si="14"/>
        <v>-3.1585728758186341E-2</v>
      </c>
      <c r="H473" s="40">
        <v>26.199000000000002</v>
      </c>
      <c r="I473">
        <f t="shared" si="15"/>
        <v>1.1478273394213671E-2</v>
      </c>
    </row>
    <row r="474" spans="1:9" x14ac:dyDescent="0.2">
      <c r="A474" s="40" t="s">
        <v>334</v>
      </c>
      <c r="B474" s="42">
        <v>68.150000000000006</v>
      </c>
      <c r="D474" s="42"/>
      <c r="E474" s="40">
        <v>536</v>
      </c>
      <c r="F474" s="43">
        <v>102.92</v>
      </c>
      <c r="G474" s="40">
        <f t="shared" si="14"/>
        <v>2.7242671061624276E-3</v>
      </c>
      <c r="H474" s="40">
        <v>25.9</v>
      </c>
      <c r="I474">
        <f t="shared" si="15"/>
        <v>6.7796869853785488E-3</v>
      </c>
    </row>
    <row r="475" spans="1:9" x14ac:dyDescent="0.2">
      <c r="A475" s="40" t="s">
        <v>335</v>
      </c>
      <c r="B475" s="42">
        <v>66.36</v>
      </c>
      <c r="D475" s="42"/>
      <c r="E475" s="40">
        <v>535</v>
      </c>
      <c r="F475" s="43">
        <v>102.64</v>
      </c>
      <c r="G475" s="40">
        <f t="shared" si="14"/>
        <v>1.4227782565712489E-2</v>
      </c>
      <c r="H475" s="40">
        <v>25.725000000000001</v>
      </c>
      <c r="I475">
        <f t="shared" si="15"/>
        <v>7.1782776144132584E-3</v>
      </c>
    </row>
    <row r="476" spans="1:9" x14ac:dyDescent="0.2">
      <c r="A476" s="40" t="s">
        <v>336</v>
      </c>
      <c r="B476" s="42">
        <v>65.09</v>
      </c>
      <c r="D476" s="42"/>
      <c r="E476" s="40">
        <v>534</v>
      </c>
      <c r="F476" s="43">
        <v>101.19</v>
      </c>
      <c r="G476" s="40">
        <f t="shared" si="14"/>
        <v>-8.4933916678730806E-2</v>
      </c>
      <c r="H476" s="40">
        <v>25.541</v>
      </c>
      <c r="I476">
        <f t="shared" si="15"/>
        <v>5.277601498699936E-2</v>
      </c>
    </row>
    <row r="477" spans="1:9" x14ac:dyDescent="0.2">
      <c r="A477" s="40" t="s">
        <v>337</v>
      </c>
      <c r="B477" s="42">
        <v>62.09</v>
      </c>
      <c r="D477" s="42"/>
      <c r="E477" s="40">
        <v>533</v>
      </c>
      <c r="F477" s="43">
        <v>110.16</v>
      </c>
      <c r="G477" s="40">
        <f t="shared" si="14"/>
        <v>-0.1243778802112287</v>
      </c>
      <c r="H477" s="40">
        <v>24.228000000000002</v>
      </c>
      <c r="I477">
        <f t="shared" si="15"/>
        <v>6.8335980658036253E-3</v>
      </c>
    </row>
    <row r="478" spans="1:9" x14ac:dyDescent="0.2">
      <c r="A478" s="40" t="s">
        <v>338</v>
      </c>
      <c r="B478" s="42">
        <v>63.43</v>
      </c>
      <c r="D478" s="42"/>
      <c r="E478" s="40">
        <v>532</v>
      </c>
      <c r="F478" s="43">
        <v>124.75</v>
      </c>
      <c r="G478" s="40">
        <f t="shared" si="14"/>
        <v>0.11885575510278665</v>
      </c>
      <c r="H478" s="40">
        <v>24.062999999999999</v>
      </c>
      <c r="I478">
        <f t="shared" si="15"/>
        <v>4.6660529698899486E-2</v>
      </c>
    </row>
    <row r="479" spans="1:9" x14ac:dyDescent="0.2">
      <c r="A479" s="40" t="s">
        <v>339</v>
      </c>
      <c r="B479" s="42">
        <v>62.84</v>
      </c>
      <c r="D479" s="42"/>
      <c r="E479" s="40">
        <v>531</v>
      </c>
      <c r="F479" s="43">
        <v>110.77</v>
      </c>
      <c r="G479" s="40">
        <f t="shared" si="14"/>
        <v>-0.10269378714578858</v>
      </c>
      <c r="H479" s="40">
        <v>22.966000000000001</v>
      </c>
      <c r="I479">
        <f t="shared" si="15"/>
        <v>4.3543576240852831E-5</v>
      </c>
    </row>
    <row r="480" spans="1:9" x14ac:dyDescent="0.2">
      <c r="A480" s="40" t="s">
        <v>340</v>
      </c>
      <c r="B480" s="42">
        <v>59.74</v>
      </c>
      <c r="D480" s="42"/>
      <c r="E480" s="40">
        <v>530</v>
      </c>
      <c r="F480" s="43">
        <v>122.75</v>
      </c>
      <c r="G480" s="40">
        <f t="shared" si="14"/>
        <v>0.15714225127237835</v>
      </c>
      <c r="H480" s="40">
        <v>22.965</v>
      </c>
      <c r="I480">
        <f t="shared" si="15"/>
        <v>-2.0301983904785395E-2</v>
      </c>
    </row>
    <row r="481" spans="1:9" x14ac:dyDescent="0.2">
      <c r="A481" s="40" t="s">
        <v>341</v>
      </c>
      <c r="B481" s="42">
        <v>62.75</v>
      </c>
      <c r="D481" s="42"/>
      <c r="E481" s="40">
        <v>529</v>
      </c>
      <c r="F481" s="43">
        <v>104.9</v>
      </c>
      <c r="G481" s="40">
        <f t="shared" si="14"/>
        <v>-8.7916591563459712E-2</v>
      </c>
      <c r="H481" s="40">
        <v>23.436</v>
      </c>
      <c r="I481">
        <f t="shared" si="15"/>
        <v>-3.1293899141917665E-2</v>
      </c>
    </row>
    <row r="482" spans="1:9" x14ac:dyDescent="0.2">
      <c r="A482" s="40" t="s">
        <v>342</v>
      </c>
      <c r="B482" s="42">
        <v>65.989999999999995</v>
      </c>
      <c r="D482" s="42"/>
      <c r="E482" s="40">
        <v>528</v>
      </c>
      <c r="F482" s="43">
        <v>114.54</v>
      </c>
      <c r="G482" s="40">
        <f t="shared" si="14"/>
        <v>5.3068554359011977E-2</v>
      </c>
      <c r="H482" s="40">
        <v>24.181000000000001</v>
      </c>
      <c r="I482">
        <f t="shared" si="15"/>
        <v>3.7628994381137815E-2</v>
      </c>
    </row>
    <row r="483" spans="1:9" x14ac:dyDescent="0.2">
      <c r="A483" s="40" t="s">
        <v>343</v>
      </c>
      <c r="B483" s="42">
        <v>66.48</v>
      </c>
      <c r="D483" s="42"/>
      <c r="E483" s="40">
        <v>527</v>
      </c>
      <c r="F483" s="43">
        <v>108.62</v>
      </c>
      <c r="G483" s="40">
        <f t="shared" si="14"/>
        <v>0.16563228743953406</v>
      </c>
      <c r="H483" s="40">
        <v>23.288</v>
      </c>
      <c r="I483">
        <f t="shared" si="15"/>
        <v>-1.1357450976034569E-2</v>
      </c>
    </row>
    <row r="484" spans="1:9" x14ac:dyDescent="0.2">
      <c r="A484" s="40" t="s">
        <v>344</v>
      </c>
      <c r="B484" s="42">
        <v>65.42</v>
      </c>
      <c r="D484" s="42"/>
      <c r="E484" s="40">
        <v>526</v>
      </c>
      <c r="F484" s="43">
        <v>92.04</v>
      </c>
      <c r="G484" s="40">
        <f t="shared" si="14"/>
        <v>0.20914486011955488</v>
      </c>
      <c r="H484" s="40">
        <v>23.553999999999998</v>
      </c>
      <c r="I484">
        <f t="shared" si="15"/>
        <v>-1.4164303918361544E-2</v>
      </c>
    </row>
    <row r="485" spans="1:9" x14ac:dyDescent="0.2">
      <c r="A485" s="40" t="s">
        <v>345</v>
      </c>
      <c r="B485" s="42">
        <v>64.69</v>
      </c>
      <c r="D485" s="42"/>
      <c r="E485" s="40">
        <v>525</v>
      </c>
      <c r="F485" s="43">
        <v>74.67</v>
      </c>
      <c r="G485" s="40">
        <f t="shared" si="14"/>
        <v>-5.0529644102253239E-2</v>
      </c>
      <c r="H485" s="40">
        <v>23.89</v>
      </c>
      <c r="I485">
        <f t="shared" si="15"/>
        <v>2.440592284007765E-2</v>
      </c>
    </row>
    <row r="486" spans="1:9" x14ac:dyDescent="0.2">
      <c r="A486" s="41">
        <v>39452</v>
      </c>
      <c r="B486" s="42">
        <v>63.06</v>
      </c>
      <c r="D486" s="42"/>
      <c r="E486" s="40">
        <v>524</v>
      </c>
      <c r="F486" s="43">
        <v>78.540000000000006</v>
      </c>
      <c r="G486" s="40">
        <f t="shared" si="14"/>
        <v>2.7494471490388282E-2</v>
      </c>
      <c r="H486" s="40">
        <v>23.314</v>
      </c>
      <c r="I486">
        <f t="shared" si="15"/>
        <v>2.6777223618693329E-2</v>
      </c>
    </row>
    <row r="487" spans="1:9" x14ac:dyDescent="0.2">
      <c r="A487" s="41">
        <v>39483</v>
      </c>
      <c r="B487" s="42">
        <v>63.68</v>
      </c>
      <c r="D487" s="42"/>
      <c r="E487" s="40">
        <v>523</v>
      </c>
      <c r="F487" s="43">
        <v>76.41</v>
      </c>
      <c r="G487" s="40">
        <f t="shared" si="14"/>
        <v>6.3017144343328725E-3</v>
      </c>
      <c r="H487" s="40">
        <v>22.698</v>
      </c>
      <c r="I487">
        <f t="shared" si="15"/>
        <v>-2.2564881262884841E-2</v>
      </c>
    </row>
    <row r="488" spans="1:9" x14ac:dyDescent="0.2">
      <c r="A488" s="41">
        <v>39573</v>
      </c>
      <c r="B488" s="42">
        <v>70.099999999999994</v>
      </c>
      <c r="D488" s="42"/>
      <c r="E488" s="40">
        <v>522</v>
      </c>
      <c r="F488" s="43">
        <v>75.930000000000007</v>
      </c>
      <c r="G488" s="40">
        <f t="shared" si="14"/>
        <v>-1.8399422954008558E-2</v>
      </c>
      <c r="H488" s="40">
        <v>23.216000000000001</v>
      </c>
      <c r="I488">
        <f t="shared" si="15"/>
        <v>-1.2201277294409287E-2</v>
      </c>
    </row>
    <row r="489" spans="1:9" x14ac:dyDescent="0.2">
      <c r="A489" s="41">
        <v>39604</v>
      </c>
      <c r="B489" s="42">
        <v>69.040000000000006</v>
      </c>
      <c r="D489" s="42"/>
      <c r="E489" s="40">
        <v>521</v>
      </c>
      <c r="F489" s="43">
        <v>77.34</v>
      </c>
      <c r="G489" s="40">
        <f t="shared" si="14"/>
        <v>-4.066682344383226E-2</v>
      </c>
      <c r="H489" s="40">
        <v>23.501000000000001</v>
      </c>
      <c r="I489">
        <f t="shared" si="15"/>
        <v>9.190651821417057E-3</v>
      </c>
    </row>
    <row r="490" spans="1:9" x14ac:dyDescent="0.2">
      <c r="A490" s="41">
        <v>39634</v>
      </c>
      <c r="B490" s="42">
        <v>72.819999999999993</v>
      </c>
      <c r="D490" s="42"/>
      <c r="E490" s="40">
        <v>520</v>
      </c>
      <c r="F490" s="43">
        <v>80.55</v>
      </c>
      <c r="G490" s="40">
        <f t="shared" si="14"/>
        <v>-2.6036838216534634E-3</v>
      </c>
      <c r="H490" s="40">
        <v>23.286000000000001</v>
      </c>
      <c r="I490">
        <f t="shared" si="15"/>
        <v>-1.6102584353619779E-2</v>
      </c>
    </row>
    <row r="491" spans="1:9" x14ac:dyDescent="0.2">
      <c r="A491" s="41">
        <v>39665</v>
      </c>
      <c r="B491" s="42">
        <v>73.45</v>
      </c>
      <c r="D491" s="42"/>
      <c r="E491" s="40">
        <v>519</v>
      </c>
      <c r="F491" s="43">
        <v>80.760000000000005</v>
      </c>
      <c r="G491" s="40">
        <f t="shared" si="14"/>
        <v>-2.9885739467701657E-2</v>
      </c>
      <c r="H491" s="40">
        <v>23.664000000000001</v>
      </c>
      <c r="I491">
        <f t="shared" si="15"/>
        <v>0.1312159067853573</v>
      </c>
    </row>
    <row r="492" spans="1:9" x14ac:dyDescent="0.2">
      <c r="A492" s="41">
        <v>39696</v>
      </c>
      <c r="B492" s="42">
        <v>73.790000000000006</v>
      </c>
      <c r="D492" s="42"/>
      <c r="E492" s="40">
        <v>518</v>
      </c>
      <c r="F492" s="43">
        <v>83.21</v>
      </c>
      <c r="G492" s="40">
        <f t="shared" si="14"/>
        <v>-2.4337878424725904E-2</v>
      </c>
      <c r="H492" s="40">
        <v>20.754000000000001</v>
      </c>
      <c r="I492">
        <f t="shared" si="15"/>
        <v>4.7815783343587159E-3</v>
      </c>
    </row>
    <row r="493" spans="1:9" x14ac:dyDescent="0.2">
      <c r="A493" s="41">
        <v>39787</v>
      </c>
      <c r="B493" s="42">
        <v>72</v>
      </c>
      <c r="D493" s="42"/>
      <c r="E493" s="40">
        <v>517</v>
      </c>
      <c r="F493" s="43">
        <v>85.26</v>
      </c>
      <c r="G493" s="40">
        <f t="shared" si="14"/>
        <v>1.1735713117857068E-3</v>
      </c>
      <c r="H493" s="40">
        <v>20.655000000000001</v>
      </c>
      <c r="I493">
        <f t="shared" si="15"/>
        <v>-3.4872596237757271E-2</v>
      </c>
    </row>
    <row r="494" spans="1:9" x14ac:dyDescent="0.2">
      <c r="A494" s="40" t="s">
        <v>346</v>
      </c>
      <c r="B494" s="42">
        <v>68.62</v>
      </c>
      <c r="D494" s="42"/>
      <c r="E494" s="40">
        <v>516</v>
      </c>
      <c r="F494" s="43">
        <v>85.16</v>
      </c>
      <c r="G494" s="40">
        <f t="shared" si="14"/>
        <v>-6.8961557390908521E-2</v>
      </c>
      <c r="H494" s="40">
        <v>21.388000000000002</v>
      </c>
      <c r="I494">
        <f t="shared" si="15"/>
        <v>-2.8303341230758696E-2</v>
      </c>
    </row>
    <row r="495" spans="1:9" x14ac:dyDescent="0.2">
      <c r="A495" s="40" t="s">
        <v>347</v>
      </c>
      <c r="B495" s="42">
        <v>71.180000000000007</v>
      </c>
      <c r="D495" s="42"/>
      <c r="E495" s="40">
        <v>515</v>
      </c>
      <c r="F495" s="43">
        <v>91.24</v>
      </c>
      <c r="G495" s="40">
        <f t="shared" si="14"/>
        <v>-5.0750621959258273E-2</v>
      </c>
      <c r="H495" s="40">
        <v>22.001999999999999</v>
      </c>
      <c r="I495">
        <f t="shared" si="15"/>
        <v>-3.4046982423633528E-2</v>
      </c>
    </row>
    <row r="496" spans="1:9" x14ac:dyDescent="0.2">
      <c r="A496" s="40" t="s">
        <v>348</v>
      </c>
      <c r="B496" s="42">
        <v>71.16</v>
      </c>
      <c r="D496" s="42"/>
      <c r="E496" s="40">
        <v>514</v>
      </c>
      <c r="F496" s="43">
        <v>95.99</v>
      </c>
      <c r="G496" s="40">
        <f t="shared" si="14"/>
        <v>8.724817211086229E-2</v>
      </c>
      <c r="H496" s="40">
        <v>22.763999999999999</v>
      </c>
      <c r="I496">
        <f t="shared" si="15"/>
        <v>-9.0522100582187039E-3</v>
      </c>
    </row>
    <row r="497" spans="1:9" x14ac:dyDescent="0.2">
      <c r="A497" s="40" t="s">
        <v>349</v>
      </c>
      <c r="B497" s="42">
        <v>75.77</v>
      </c>
      <c r="D497" s="42"/>
      <c r="E497" s="40">
        <v>513</v>
      </c>
      <c r="F497" s="43">
        <v>87.97</v>
      </c>
      <c r="G497" s="40">
        <f t="shared" si="14"/>
        <v>-3.1778485488230344E-3</v>
      </c>
      <c r="H497" s="40">
        <v>22.971</v>
      </c>
      <c r="I497">
        <f t="shared" si="15"/>
        <v>5.2873191277667986E-2</v>
      </c>
    </row>
    <row r="498" spans="1:9" x14ac:dyDescent="0.2">
      <c r="A498" s="40" t="s">
        <v>350</v>
      </c>
      <c r="B498" s="42">
        <v>76.63</v>
      </c>
      <c r="D498" s="42"/>
      <c r="E498" s="40">
        <v>512</v>
      </c>
      <c r="F498" s="43">
        <v>88.25</v>
      </c>
      <c r="G498" s="40">
        <f t="shared" si="14"/>
        <v>3.9760235439797405E-2</v>
      </c>
      <c r="H498" s="40">
        <v>21.788</v>
      </c>
      <c r="I498">
        <f t="shared" si="15"/>
        <v>2.4296830815831227E-2</v>
      </c>
    </row>
    <row r="499" spans="1:9" x14ac:dyDescent="0.2">
      <c r="A499" s="40" t="s">
        <v>351</v>
      </c>
      <c r="B499" s="42">
        <v>79.8</v>
      </c>
      <c r="D499" s="42"/>
      <c r="E499" s="40">
        <v>511</v>
      </c>
      <c r="F499" s="43">
        <v>84.81</v>
      </c>
      <c r="G499" s="40">
        <f t="shared" si="14"/>
        <v>-5.0467579212355076E-2</v>
      </c>
      <c r="H499" s="40">
        <v>21.265000000000001</v>
      </c>
      <c r="I499">
        <f t="shared" si="15"/>
        <v>-4.9181967645822819E-2</v>
      </c>
    </row>
    <row r="500" spans="1:9" x14ac:dyDescent="0.2">
      <c r="A500" s="40" t="s">
        <v>352</v>
      </c>
      <c r="B500" s="42">
        <v>80.12</v>
      </c>
      <c r="D500" s="42"/>
      <c r="E500" s="40">
        <v>510</v>
      </c>
      <c r="F500" s="43">
        <v>89.2</v>
      </c>
      <c r="G500" s="40">
        <f t="shared" si="14"/>
        <v>-5.1881686273510669E-2</v>
      </c>
      <c r="H500" s="40">
        <v>22.337</v>
      </c>
      <c r="I500">
        <f t="shared" si="15"/>
        <v>5.9270076073541606E-3</v>
      </c>
    </row>
    <row r="501" spans="1:9" x14ac:dyDescent="0.2">
      <c r="A501" s="40" t="s">
        <v>353</v>
      </c>
      <c r="B501" s="42">
        <v>83.62</v>
      </c>
      <c r="D501" s="42"/>
      <c r="E501" s="40">
        <v>509</v>
      </c>
      <c r="F501" s="43">
        <v>93.95</v>
      </c>
      <c r="G501" s="40">
        <f t="shared" si="14"/>
        <v>-1.772385250197692E-2</v>
      </c>
      <c r="H501" s="40">
        <v>22.204999999999998</v>
      </c>
      <c r="I501">
        <f t="shared" si="15"/>
        <v>1.4421562732061953E-3</v>
      </c>
    </row>
    <row r="502" spans="1:9" x14ac:dyDescent="0.2">
      <c r="A502" s="40" t="s">
        <v>354</v>
      </c>
      <c r="B502" s="42">
        <v>79.63</v>
      </c>
      <c r="D502" s="42"/>
      <c r="E502" s="40">
        <v>508</v>
      </c>
      <c r="F502" s="43">
        <v>95.63</v>
      </c>
      <c r="G502" s="40">
        <f t="shared" si="14"/>
        <v>-2.4072653722515647E-2</v>
      </c>
      <c r="H502" s="40">
        <v>22.172999999999998</v>
      </c>
      <c r="I502">
        <f t="shared" si="15"/>
        <v>5.0123754941231939E-2</v>
      </c>
    </row>
    <row r="503" spans="1:9" x14ac:dyDescent="0.2">
      <c r="A503" s="40" t="s">
        <v>355</v>
      </c>
      <c r="B503" s="42">
        <v>79.349999999999994</v>
      </c>
      <c r="D503" s="42"/>
      <c r="E503" s="40">
        <v>507</v>
      </c>
      <c r="F503" s="43">
        <v>97.96</v>
      </c>
      <c r="G503" s="40">
        <f t="shared" si="14"/>
        <v>3.2473417188330835E-2</v>
      </c>
      <c r="H503" s="40">
        <v>21.088999999999999</v>
      </c>
      <c r="I503">
        <f t="shared" si="15"/>
        <v>-5.2146295239356786E-4</v>
      </c>
    </row>
    <row r="504" spans="1:9" x14ac:dyDescent="0.2">
      <c r="A504" s="40" t="s">
        <v>356</v>
      </c>
      <c r="B504" s="42">
        <v>77.7</v>
      </c>
      <c r="D504" s="42"/>
      <c r="E504" s="40">
        <v>506</v>
      </c>
      <c r="F504" s="43">
        <v>94.83</v>
      </c>
      <c r="G504" s="40">
        <f t="shared" si="14"/>
        <v>0.11486101975699214</v>
      </c>
      <c r="H504" s="40">
        <v>21.1</v>
      </c>
      <c r="I504">
        <f t="shared" si="15"/>
        <v>-2.8453880624597472E-2</v>
      </c>
    </row>
    <row r="505" spans="1:9" x14ac:dyDescent="0.2">
      <c r="A505" s="40" t="s">
        <v>357</v>
      </c>
      <c r="B505" s="42">
        <v>74.2</v>
      </c>
      <c r="D505" s="42"/>
      <c r="E505" s="40">
        <v>505</v>
      </c>
      <c r="F505" s="43">
        <v>84.54</v>
      </c>
      <c r="G505" s="40">
        <f t="shared" si="14"/>
        <v>-6.6022404406844998E-3</v>
      </c>
      <c r="H505" s="40">
        <v>21.709</v>
      </c>
      <c r="I505">
        <f t="shared" si="15"/>
        <v>3.5922459450244193E-2</v>
      </c>
    </row>
    <row r="506" spans="1:9" x14ac:dyDescent="0.2">
      <c r="A506" s="40" t="s">
        <v>358</v>
      </c>
      <c r="B506" s="42">
        <v>73.459999999999994</v>
      </c>
      <c r="D506" s="42"/>
      <c r="E506" s="40">
        <v>504</v>
      </c>
      <c r="F506" s="43">
        <v>85.1</v>
      </c>
      <c r="G506" s="40">
        <f t="shared" si="14"/>
        <v>1.910017137341943E-2</v>
      </c>
      <c r="H506" s="40">
        <v>20.943000000000001</v>
      </c>
      <c r="I506">
        <f t="shared" si="15"/>
        <v>6.9494358046875676E-2</v>
      </c>
    </row>
    <row r="507" spans="1:9" x14ac:dyDescent="0.2">
      <c r="A507" s="41">
        <v>39484</v>
      </c>
      <c r="B507" s="42">
        <v>78.599999999999994</v>
      </c>
      <c r="D507" s="42"/>
      <c r="E507" s="40">
        <v>503</v>
      </c>
      <c r="F507" s="43">
        <v>83.49</v>
      </c>
      <c r="G507" s="40">
        <f t="shared" si="14"/>
        <v>-1.75713888095409E-2</v>
      </c>
      <c r="H507" s="40">
        <v>19.536999999999999</v>
      </c>
      <c r="I507">
        <f t="shared" si="15"/>
        <v>1.9380952380816784E-2</v>
      </c>
    </row>
    <row r="508" spans="1:9" x14ac:dyDescent="0.2">
      <c r="A508" s="41">
        <v>39513</v>
      </c>
      <c r="B508" s="42">
        <v>79.72</v>
      </c>
      <c r="D508" s="42"/>
      <c r="E508" s="40">
        <v>502</v>
      </c>
      <c r="F508" s="43">
        <v>84.97</v>
      </c>
      <c r="G508" s="40">
        <f t="shared" si="14"/>
        <v>4.5383005847817751E-2</v>
      </c>
      <c r="H508" s="40">
        <v>19.161999999999999</v>
      </c>
      <c r="I508">
        <f t="shared" si="15"/>
        <v>-6.0888589871694307E-2</v>
      </c>
    </row>
    <row r="509" spans="1:9" x14ac:dyDescent="0.2">
      <c r="A509" s="41">
        <v>39544</v>
      </c>
      <c r="B509" s="42">
        <v>81.040000000000006</v>
      </c>
      <c r="D509" s="42"/>
      <c r="E509" s="40">
        <v>501</v>
      </c>
      <c r="F509" s="43">
        <v>81.2</v>
      </c>
      <c r="G509" s="40">
        <f t="shared" si="14"/>
        <v>-3.2710366305528316E-2</v>
      </c>
      <c r="H509" s="40">
        <v>20.364999999999998</v>
      </c>
      <c r="I509">
        <f t="shared" si="15"/>
        <v>2.8034798400052883E-2</v>
      </c>
    </row>
    <row r="510" spans="1:9" x14ac:dyDescent="0.2">
      <c r="A510" s="41">
        <v>39574</v>
      </c>
      <c r="B510" s="42">
        <v>79.349999999999994</v>
      </c>
      <c r="D510" s="42"/>
      <c r="E510" s="40">
        <v>500</v>
      </c>
      <c r="F510" s="43">
        <v>83.9</v>
      </c>
      <c r="G510" s="40">
        <f t="shared" si="14"/>
        <v>-2.6232169327921689E-2</v>
      </c>
      <c r="H510" s="40">
        <v>19.802</v>
      </c>
      <c r="I510">
        <f t="shared" si="15"/>
        <v>2.4486846467459529E-2</v>
      </c>
    </row>
    <row r="511" spans="1:9" x14ac:dyDescent="0.2">
      <c r="A511" s="41">
        <v>39605</v>
      </c>
      <c r="B511" s="42">
        <v>88.78</v>
      </c>
      <c r="D511" s="42"/>
      <c r="E511" s="40">
        <v>499</v>
      </c>
      <c r="F511" s="43">
        <v>86.13</v>
      </c>
      <c r="G511" s="40">
        <f t="shared" si="14"/>
        <v>3.3289192814264339E-2</v>
      </c>
      <c r="H511" s="40">
        <v>19.323</v>
      </c>
      <c r="I511">
        <f t="shared" si="15"/>
        <v>3.0061181547423395E-3</v>
      </c>
    </row>
    <row r="512" spans="1:9" x14ac:dyDescent="0.2">
      <c r="A512" s="41">
        <v>39697</v>
      </c>
      <c r="B512" s="42">
        <v>92.23</v>
      </c>
      <c r="D512" s="42"/>
      <c r="E512" s="40">
        <v>498</v>
      </c>
      <c r="F512" s="43">
        <v>83.31</v>
      </c>
      <c r="G512" s="40">
        <f t="shared" si="14"/>
        <v>2.0739328016756584E-2</v>
      </c>
      <c r="H512" s="40">
        <v>19.265000000000001</v>
      </c>
      <c r="I512">
        <f t="shared" si="15"/>
        <v>3.7443488543798917E-3</v>
      </c>
    </row>
    <row r="513" spans="1:9" x14ac:dyDescent="0.2">
      <c r="A513" s="41">
        <v>39727</v>
      </c>
      <c r="B513" s="42">
        <v>91.98</v>
      </c>
      <c r="D513" s="42"/>
      <c r="E513" s="40">
        <v>497</v>
      </c>
      <c r="F513" s="43">
        <v>81.599999999999994</v>
      </c>
      <c r="G513" s="40">
        <f t="shared" si="14"/>
        <v>1.0595146545266554E-2</v>
      </c>
      <c r="H513" s="40">
        <v>19.193000000000001</v>
      </c>
      <c r="I513">
        <f t="shared" si="15"/>
        <v>7.3158557454610584E-2</v>
      </c>
    </row>
    <row r="514" spans="1:9" x14ac:dyDescent="0.2">
      <c r="A514" s="41">
        <v>39758</v>
      </c>
      <c r="B514" s="42">
        <v>93.87</v>
      </c>
      <c r="D514" s="42"/>
      <c r="E514" s="40">
        <v>496</v>
      </c>
      <c r="F514" s="43">
        <v>80.739999999999995</v>
      </c>
      <c r="G514" s="40">
        <f t="shared" si="14"/>
        <v>1.7113652322010512E-2</v>
      </c>
      <c r="H514" s="40">
        <v>17.838999999999999</v>
      </c>
      <c r="I514">
        <f t="shared" si="15"/>
        <v>6.20936918509385E-2</v>
      </c>
    </row>
    <row r="515" spans="1:9" x14ac:dyDescent="0.2">
      <c r="A515" s="41">
        <v>39788</v>
      </c>
      <c r="B515" s="42">
        <v>92.41</v>
      </c>
      <c r="D515" s="42"/>
      <c r="E515" s="40">
        <v>495</v>
      </c>
      <c r="F515" s="43">
        <v>79.37</v>
      </c>
      <c r="G515" s="40">
        <f t="shared" ref="G515:G578" si="16">LN(F515/F516)</f>
        <v>1.3062134865098997E-2</v>
      </c>
      <c r="H515" s="40">
        <v>16.765000000000001</v>
      </c>
      <c r="I515">
        <f t="shared" ref="I515:I578" si="17">LN(H515/H516)</f>
        <v>-3.585411282192541E-2</v>
      </c>
    </row>
    <row r="516" spans="1:9" x14ac:dyDescent="0.2">
      <c r="A516" s="40" t="s">
        <v>359</v>
      </c>
      <c r="B516" s="42">
        <v>86.91</v>
      </c>
      <c r="D516" s="42"/>
      <c r="E516" s="40">
        <v>494</v>
      </c>
      <c r="F516" s="43">
        <v>78.34</v>
      </c>
      <c r="G516" s="40">
        <f t="shared" si="16"/>
        <v>-3.3761128234948617E-2</v>
      </c>
      <c r="H516" s="40">
        <v>17.376999999999999</v>
      </c>
      <c r="I516">
        <f t="shared" si="17"/>
        <v>-1.8530134806568014E-2</v>
      </c>
    </row>
    <row r="517" spans="1:9" x14ac:dyDescent="0.2">
      <c r="A517" s="40" t="s">
        <v>360</v>
      </c>
      <c r="B517" s="42">
        <v>84.17</v>
      </c>
      <c r="D517" s="42"/>
      <c r="E517" s="40">
        <v>493</v>
      </c>
      <c r="F517" s="43">
        <v>81.03</v>
      </c>
      <c r="G517" s="40">
        <f t="shared" si="16"/>
        <v>-4.9477503927372345E-2</v>
      </c>
      <c r="H517" s="40">
        <v>17.702000000000002</v>
      </c>
      <c r="I517">
        <f t="shared" si="17"/>
        <v>4.6423178965998735E-2</v>
      </c>
    </row>
    <row r="518" spans="1:9" x14ac:dyDescent="0.2">
      <c r="A518" s="40" t="s">
        <v>361</v>
      </c>
      <c r="B518" s="42">
        <v>80.89</v>
      </c>
      <c r="D518" s="42"/>
      <c r="E518" s="40">
        <v>492</v>
      </c>
      <c r="F518" s="43">
        <v>85.14</v>
      </c>
      <c r="G518" s="40">
        <f t="shared" si="16"/>
        <v>-2.2291321484871852E-3</v>
      </c>
      <c r="H518" s="40">
        <v>16.899000000000001</v>
      </c>
      <c r="I518">
        <f t="shared" si="17"/>
        <v>2.3227623130991307E-2</v>
      </c>
    </row>
    <row r="519" spans="1:9" x14ac:dyDescent="0.2">
      <c r="A519" s="40" t="s">
        <v>362</v>
      </c>
      <c r="B519" s="42">
        <v>81.56</v>
      </c>
      <c r="D519" s="42"/>
      <c r="E519" s="40">
        <v>491</v>
      </c>
      <c r="F519" s="43">
        <v>85.33</v>
      </c>
      <c r="G519" s="40">
        <f t="shared" si="16"/>
        <v>2.2398281855976466E-2</v>
      </c>
      <c r="H519" s="40">
        <v>16.510999999999999</v>
      </c>
      <c r="I519">
        <f t="shared" si="17"/>
        <v>3.1375605162957662E-2</v>
      </c>
    </row>
    <row r="520" spans="1:9" x14ac:dyDescent="0.2">
      <c r="A520" s="40" t="s">
        <v>363</v>
      </c>
      <c r="B520" s="42">
        <v>77.91</v>
      </c>
      <c r="D520" s="42"/>
      <c r="E520" s="40">
        <v>490</v>
      </c>
      <c r="F520" s="43">
        <v>83.44</v>
      </c>
      <c r="G520" s="40">
        <f t="shared" si="16"/>
        <v>3.1037603662655792E-2</v>
      </c>
      <c r="H520" s="40">
        <v>16.001000000000001</v>
      </c>
      <c r="I520">
        <f t="shared" si="17"/>
        <v>5.7662334636350296E-3</v>
      </c>
    </row>
    <row r="521" spans="1:9" x14ac:dyDescent="0.2">
      <c r="A521" s="40" t="s">
        <v>364</v>
      </c>
      <c r="B521" s="42">
        <v>78.349999999999994</v>
      </c>
      <c r="D521" s="42"/>
      <c r="E521" s="40">
        <v>489</v>
      </c>
      <c r="F521" s="43">
        <v>80.89</v>
      </c>
      <c r="G521" s="40">
        <f t="shared" si="16"/>
        <v>2.6304121772264523E-2</v>
      </c>
      <c r="H521" s="40">
        <v>15.909000000000001</v>
      </c>
      <c r="I521">
        <f t="shared" si="17"/>
        <v>1.7820809630278496E-2</v>
      </c>
    </row>
    <row r="522" spans="1:9" x14ac:dyDescent="0.2">
      <c r="A522" s="40" t="s">
        <v>365</v>
      </c>
      <c r="B522" s="42">
        <v>78.37</v>
      </c>
      <c r="D522" s="42"/>
      <c r="E522" s="40">
        <v>488</v>
      </c>
      <c r="F522" s="43">
        <v>78.790000000000006</v>
      </c>
      <c r="G522" s="40">
        <f t="shared" si="16"/>
        <v>-1.9019849771042408E-3</v>
      </c>
      <c r="H522" s="40">
        <v>15.628</v>
      </c>
      <c r="I522">
        <f t="shared" si="17"/>
        <v>5.04584349186138E-2</v>
      </c>
    </row>
    <row r="523" spans="1:9" x14ac:dyDescent="0.2">
      <c r="A523" s="40" t="s">
        <v>366</v>
      </c>
      <c r="B523" s="42">
        <v>77.41</v>
      </c>
      <c r="D523" s="42"/>
      <c r="E523" s="40">
        <v>487</v>
      </c>
      <c r="F523" s="43">
        <v>78.94</v>
      </c>
      <c r="G523" s="40">
        <f t="shared" si="16"/>
        <v>3.7691606673598332E-2</v>
      </c>
      <c r="H523" s="40">
        <v>14.859</v>
      </c>
      <c r="I523">
        <f t="shared" si="17"/>
        <v>4.0796757608747028E-2</v>
      </c>
    </row>
    <row r="524" spans="1:9" x14ac:dyDescent="0.2">
      <c r="A524" s="40" t="s">
        <v>367</v>
      </c>
      <c r="B524" s="42">
        <v>76.010000000000005</v>
      </c>
      <c r="D524" s="42"/>
      <c r="E524" s="40">
        <v>486</v>
      </c>
      <c r="F524" s="43">
        <v>76.02</v>
      </c>
      <c r="G524" s="40">
        <f t="shared" si="16"/>
        <v>-1.6309318384389801E-2</v>
      </c>
      <c r="H524" s="40">
        <v>14.265000000000001</v>
      </c>
      <c r="I524">
        <f t="shared" si="17"/>
        <v>-3.3366299211901929E-2</v>
      </c>
    </row>
    <row r="525" spans="1:9" x14ac:dyDescent="0.2">
      <c r="A525" s="40" t="s">
        <v>368</v>
      </c>
      <c r="B525" s="42">
        <v>79.87</v>
      </c>
      <c r="D525" s="42"/>
      <c r="E525" s="40">
        <v>485</v>
      </c>
      <c r="F525" s="43">
        <v>77.27</v>
      </c>
      <c r="G525" s="40">
        <f t="shared" si="16"/>
        <v>4.4863626614453291E-2</v>
      </c>
      <c r="H525" s="40">
        <v>14.749000000000001</v>
      </c>
      <c r="I525">
        <f t="shared" si="17"/>
        <v>2.9867345327286986E-2</v>
      </c>
    </row>
    <row r="526" spans="1:9" x14ac:dyDescent="0.2">
      <c r="A526" s="40" t="s">
        <v>369</v>
      </c>
      <c r="B526" s="42">
        <v>79.540000000000006</v>
      </c>
      <c r="D526" s="42"/>
      <c r="E526" s="40">
        <v>484</v>
      </c>
      <c r="F526" s="43">
        <v>73.88</v>
      </c>
      <c r="G526" s="40">
        <f t="shared" si="16"/>
        <v>-2.7764730613045917E-2</v>
      </c>
      <c r="H526" s="40">
        <v>14.315</v>
      </c>
      <c r="I526">
        <f t="shared" si="17"/>
        <v>-2.067203481894778E-2</v>
      </c>
    </row>
    <row r="527" spans="1:9" x14ac:dyDescent="0.2">
      <c r="A527" s="40" t="s">
        <v>370</v>
      </c>
      <c r="B527" s="42">
        <v>79.66</v>
      </c>
      <c r="D527" s="42"/>
      <c r="E527" s="40">
        <v>483</v>
      </c>
      <c r="F527" s="43">
        <v>75.959999999999994</v>
      </c>
      <c r="G527" s="40">
        <f t="shared" si="16"/>
        <v>-9.0427193737381249E-3</v>
      </c>
      <c r="H527" s="40">
        <v>14.614000000000001</v>
      </c>
      <c r="I527">
        <f t="shared" si="17"/>
        <v>7.5298631069165229E-4</v>
      </c>
    </row>
    <row r="528" spans="1:9" x14ac:dyDescent="0.2">
      <c r="A528" s="41">
        <v>39454</v>
      </c>
      <c r="B528" s="42">
        <v>79.44</v>
      </c>
      <c r="D528" s="42"/>
      <c r="E528" s="40">
        <v>482</v>
      </c>
      <c r="F528" s="43">
        <v>76.650000000000006</v>
      </c>
      <c r="G528" s="40">
        <f t="shared" si="16"/>
        <v>-4.701802361331292E-2</v>
      </c>
      <c r="H528" s="40">
        <v>14.603</v>
      </c>
      <c r="I528">
        <f t="shared" si="17"/>
        <v>3.9601529337365826E-2</v>
      </c>
    </row>
    <row r="529" spans="1:9" x14ac:dyDescent="0.2">
      <c r="A529" s="41">
        <v>39485</v>
      </c>
      <c r="B529" s="42">
        <v>79.19</v>
      </c>
      <c r="D529" s="42"/>
      <c r="E529" s="40">
        <v>481</v>
      </c>
      <c r="F529" s="43">
        <v>80.34</v>
      </c>
      <c r="G529" s="40">
        <f t="shared" si="16"/>
        <v>4.1813067165011479E-2</v>
      </c>
      <c r="H529" s="40">
        <v>14.036</v>
      </c>
      <c r="I529">
        <f t="shared" si="17"/>
        <v>-6.0375933661462738E-3</v>
      </c>
    </row>
    <row r="530" spans="1:9" x14ac:dyDescent="0.2">
      <c r="A530" s="41">
        <v>39514</v>
      </c>
      <c r="B530" s="42">
        <v>76.44</v>
      </c>
      <c r="D530" s="42"/>
      <c r="E530" s="40">
        <v>480</v>
      </c>
      <c r="F530" s="43">
        <v>77.05</v>
      </c>
      <c r="G530" s="40">
        <f t="shared" si="16"/>
        <v>-2.9806281381379008E-3</v>
      </c>
      <c r="H530" s="40">
        <v>14.121</v>
      </c>
      <c r="I530">
        <f t="shared" si="17"/>
        <v>-7.4027035719129927E-2</v>
      </c>
    </row>
    <row r="531" spans="1:9" x14ac:dyDescent="0.2">
      <c r="A531" s="41">
        <v>39636</v>
      </c>
      <c r="B531" s="42">
        <v>75.430000000000007</v>
      </c>
      <c r="D531" s="42"/>
      <c r="E531" s="40">
        <v>479</v>
      </c>
      <c r="F531" s="43">
        <v>77.28</v>
      </c>
      <c r="G531" s="40">
        <f t="shared" si="16"/>
        <v>-3.3340662867966428E-2</v>
      </c>
      <c r="H531" s="40">
        <v>15.206</v>
      </c>
      <c r="I531">
        <f t="shared" si="17"/>
        <v>-8.7085179597270329E-3</v>
      </c>
    </row>
    <row r="532" spans="1:9" x14ac:dyDescent="0.2">
      <c r="A532" s="41">
        <v>39667</v>
      </c>
      <c r="B532" s="42">
        <v>76.03</v>
      </c>
      <c r="D532" s="42"/>
      <c r="E532" s="40">
        <v>478</v>
      </c>
      <c r="F532" s="43">
        <v>79.900000000000006</v>
      </c>
      <c r="G532" s="40">
        <f t="shared" si="16"/>
        <v>1.5768223267942048E-2</v>
      </c>
      <c r="H532" s="40">
        <v>15.339</v>
      </c>
      <c r="I532">
        <f t="shared" si="17"/>
        <v>-7.3022380364696091E-2</v>
      </c>
    </row>
    <row r="533" spans="1:9" x14ac:dyDescent="0.2">
      <c r="A533" s="41">
        <v>39698</v>
      </c>
      <c r="B533" s="42">
        <v>81.69</v>
      </c>
      <c r="D533" s="42"/>
      <c r="E533" s="40">
        <v>477</v>
      </c>
      <c r="F533" s="43">
        <v>78.650000000000006</v>
      </c>
      <c r="G533" s="40">
        <f t="shared" si="16"/>
        <v>-2.4128527802326372E-3</v>
      </c>
      <c r="H533" s="40">
        <v>16.501000000000001</v>
      </c>
      <c r="I533">
        <f t="shared" si="17"/>
        <v>2.5533824439678211E-2</v>
      </c>
    </row>
    <row r="534" spans="1:9" x14ac:dyDescent="0.2">
      <c r="A534" s="41">
        <v>39728</v>
      </c>
      <c r="B534" s="42">
        <v>79.94</v>
      </c>
      <c r="D534" s="42"/>
      <c r="E534" s="40">
        <v>476</v>
      </c>
      <c r="F534" s="43">
        <v>78.84</v>
      </c>
      <c r="G534" s="40">
        <f t="shared" si="16"/>
        <v>-3.8566789834205542E-2</v>
      </c>
      <c r="H534" s="40">
        <v>16.085000000000001</v>
      </c>
      <c r="I534">
        <f t="shared" si="17"/>
        <v>-1.0451871640023432E-2</v>
      </c>
    </row>
    <row r="535" spans="1:9" x14ac:dyDescent="0.2">
      <c r="A535" s="41">
        <v>39759</v>
      </c>
      <c r="B535" s="42">
        <v>77.180000000000007</v>
      </c>
      <c r="D535" s="42"/>
      <c r="E535" s="40">
        <v>475</v>
      </c>
      <c r="F535" s="43">
        <v>81.94</v>
      </c>
      <c r="G535" s="40">
        <f t="shared" si="16"/>
        <v>5.39045138179155E-2</v>
      </c>
      <c r="H535" s="40">
        <v>16.254000000000001</v>
      </c>
      <c r="I535">
        <f t="shared" si="17"/>
        <v>-1.9315147316643706E-2</v>
      </c>
    </row>
    <row r="536" spans="1:9" x14ac:dyDescent="0.2">
      <c r="A536" s="40" t="s">
        <v>371</v>
      </c>
      <c r="B536" s="42">
        <v>78.83</v>
      </c>
      <c r="D536" s="42"/>
      <c r="E536" s="40">
        <v>474</v>
      </c>
      <c r="F536" s="43">
        <v>77.64</v>
      </c>
      <c r="G536" s="40">
        <f t="shared" si="16"/>
        <v>-6.6757849495788363E-2</v>
      </c>
      <c r="H536" s="40">
        <v>16.571000000000002</v>
      </c>
      <c r="I536">
        <f t="shared" si="17"/>
        <v>-2.273164131834118E-2</v>
      </c>
    </row>
    <row r="537" spans="1:9" x14ac:dyDescent="0.2">
      <c r="A537" s="40" t="s">
        <v>372</v>
      </c>
      <c r="B537" s="42">
        <v>73.069999999999993</v>
      </c>
      <c r="D537" s="42"/>
      <c r="E537" s="40">
        <v>473</v>
      </c>
      <c r="F537" s="43">
        <v>83</v>
      </c>
      <c r="G537" s="40">
        <f t="shared" si="16"/>
        <v>-5.3255223966151385E-2</v>
      </c>
      <c r="H537" s="40">
        <v>16.952000000000002</v>
      </c>
      <c r="I537">
        <f t="shared" si="17"/>
        <v>-4.1708812129814546E-2</v>
      </c>
    </row>
    <row r="538" spans="1:9" x14ac:dyDescent="0.2">
      <c r="A538" s="40" t="s">
        <v>373</v>
      </c>
      <c r="B538" s="42">
        <v>73.22</v>
      </c>
      <c r="D538" s="42"/>
      <c r="E538" s="40">
        <v>472</v>
      </c>
      <c r="F538" s="43">
        <v>87.54</v>
      </c>
      <c r="G538" s="40">
        <f t="shared" si="16"/>
        <v>-1.8224512546400156E-2</v>
      </c>
      <c r="H538" s="40">
        <v>17.673999999999999</v>
      </c>
      <c r="I538">
        <f t="shared" si="17"/>
        <v>-2.2269146069889407E-2</v>
      </c>
    </row>
    <row r="539" spans="1:9" x14ac:dyDescent="0.2">
      <c r="A539" s="40" t="s">
        <v>374</v>
      </c>
      <c r="B539" s="42">
        <v>72.459999999999994</v>
      </c>
      <c r="D539" s="42"/>
      <c r="E539" s="40">
        <v>471</v>
      </c>
      <c r="F539" s="43">
        <v>89.15</v>
      </c>
      <c r="G539" s="40">
        <f t="shared" si="16"/>
        <v>-3.4290333820525043E-2</v>
      </c>
      <c r="H539" s="40">
        <v>18.071999999999999</v>
      </c>
      <c r="I539">
        <f t="shared" si="17"/>
        <v>3.0164895573560734E-2</v>
      </c>
    </row>
    <row r="540" spans="1:9" x14ac:dyDescent="0.2">
      <c r="A540" s="40" t="s">
        <v>375</v>
      </c>
      <c r="B540" s="42">
        <v>70.290000000000006</v>
      </c>
      <c r="D540" s="42"/>
      <c r="E540" s="40">
        <v>470</v>
      </c>
      <c r="F540" s="43">
        <v>92.26</v>
      </c>
      <c r="G540" s="40">
        <f t="shared" si="16"/>
        <v>4.330447936396923E-2</v>
      </c>
      <c r="H540" s="40">
        <v>17.535</v>
      </c>
      <c r="I540">
        <f t="shared" si="17"/>
        <v>3.0926717736549519E-2</v>
      </c>
    </row>
    <row r="541" spans="1:9" x14ac:dyDescent="0.2">
      <c r="A541" s="40" t="s">
        <v>376</v>
      </c>
      <c r="B541" s="42">
        <v>71.599999999999994</v>
      </c>
      <c r="D541" s="42"/>
      <c r="E541" s="40">
        <v>469</v>
      </c>
      <c r="F541" s="43">
        <v>88.35</v>
      </c>
      <c r="G541" s="40">
        <f t="shared" si="16"/>
        <v>-4.4045471850579932E-3</v>
      </c>
      <c r="H541" s="40">
        <v>17.001000000000001</v>
      </c>
      <c r="I541">
        <f t="shared" si="17"/>
        <v>-9.8332662394830274E-3</v>
      </c>
    </row>
    <row r="542" spans="1:9" x14ac:dyDescent="0.2">
      <c r="A542" s="40" t="s">
        <v>377</v>
      </c>
      <c r="B542" s="42">
        <v>68.39</v>
      </c>
      <c r="D542" s="42"/>
      <c r="E542" s="40">
        <v>468</v>
      </c>
      <c r="F542" s="43">
        <v>88.74</v>
      </c>
      <c r="G542" s="40">
        <f t="shared" si="16"/>
        <v>-3.313873357080091E-2</v>
      </c>
      <c r="H542" s="40">
        <v>17.169</v>
      </c>
      <c r="I542">
        <f t="shared" si="17"/>
        <v>6.3044695016592545E-2</v>
      </c>
    </row>
    <row r="543" spans="1:9" x14ac:dyDescent="0.2">
      <c r="A543" s="40" t="s">
        <v>378</v>
      </c>
      <c r="B543" s="42">
        <v>67.25</v>
      </c>
      <c r="D543" s="42"/>
      <c r="E543" s="40">
        <v>467</v>
      </c>
      <c r="F543" s="43">
        <v>91.73</v>
      </c>
      <c r="G543" s="40">
        <f t="shared" si="16"/>
        <v>4.9957311826100539E-2</v>
      </c>
      <c r="H543" s="40">
        <v>16.12</v>
      </c>
      <c r="I543">
        <f t="shared" si="17"/>
        <v>8.284845095727307E-3</v>
      </c>
    </row>
    <row r="544" spans="1:9" x14ac:dyDescent="0.2">
      <c r="A544" s="40" t="s">
        <v>379</v>
      </c>
      <c r="B544" s="42">
        <v>74.900000000000006</v>
      </c>
      <c r="D544" s="42"/>
      <c r="E544" s="40">
        <v>466</v>
      </c>
      <c r="F544" s="43">
        <v>87.26</v>
      </c>
      <c r="G544" s="40">
        <f t="shared" si="16"/>
        <v>2.7418074378161846E-2</v>
      </c>
      <c r="H544" s="40">
        <v>15.987</v>
      </c>
      <c r="I544">
        <f t="shared" si="17"/>
        <v>-3.8229031642448591E-2</v>
      </c>
    </row>
    <row r="545" spans="1:9" x14ac:dyDescent="0.2">
      <c r="A545" s="40" t="s">
        <v>380</v>
      </c>
      <c r="B545" s="42">
        <v>73.7</v>
      </c>
      <c r="D545" s="42"/>
      <c r="E545" s="40">
        <v>465</v>
      </c>
      <c r="F545" s="43">
        <v>84.9</v>
      </c>
      <c r="G545" s="40">
        <f t="shared" si="16"/>
        <v>-2.6500853492944964E-2</v>
      </c>
      <c r="H545" s="40">
        <v>16.61</v>
      </c>
      <c r="I545">
        <f t="shared" si="17"/>
        <v>-1.5887570636888809E-2</v>
      </c>
    </row>
    <row r="546" spans="1:9" x14ac:dyDescent="0.2">
      <c r="A546" s="40" t="s">
        <v>381</v>
      </c>
      <c r="B546" s="42">
        <v>74.900000000000006</v>
      </c>
      <c r="D546" s="42"/>
      <c r="E546" s="40">
        <v>464</v>
      </c>
      <c r="F546" s="43">
        <v>87.18</v>
      </c>
      <c r="G546" s="40">
        <f t="shared" si="16"/>
        <v>6.790611350536763E-3</v>
      </c>
      <c r="H546" s="40">
        <v>16.876000000000001</v>
      </c>
      <c r="I546">
        <f t="shared" si="17"/>
        <v>-1.5230661064479924E-2</v>
      </c>
    </row>
    <row r="547" spans="1:9" x14ac:dyDescent="0.2">
      <c r="A547" s="40" t="s">
        <v>382</v>
      </c>
      <c r="B547" s="42">
        <v>71.03</v>
      </c>
      <c r="D547" s="42"/>
      <c r="E547" s="40">
        <v>463</v>
      </c>
      <c r="F547" s="43">
        <v>86.59</v>
      </c>
      <c r="G547" s="40">
        <f t="shared" si="16"/>
        <v>2.1950677016250461E-2</v>
      </c>
      <c r="H547" s="40">
        <v>17.135000000000002</v>
      </c>
      <c r="I547">
        <f t="shared" si="17"/>
        <v>1.2449511900623718E-2</v>
      </c>
    </row>
    <row r="548" spans="1:9" x14ac:dyDescent="0.2">
      <c r="A548" s="40" t="s">
        <v>383</v>
      </c>
      <c r="B548" s="42">
        <v>67.209999999999994</v>
      </c>
      <c r="D548" s="42"/>
      <c r="E548" s="40">
        <v>462</v>
      </c>
      <c r="F548" s="43">
        <v>84.71</v>
      </c>
      <c r="G548" s="40">
        <f t="shared" si="16"/>
        <v>3.7772111130970551E-2</v>
      </c>
      <c r="H548" s="40">
        <v>16.922999999999998</v>
      </c>
      <c r="I548">
        <f t="shared" si="17"/>
        <v>7.8905848971870154E-2</v>
      </c>
    </row>
    <row r="549" spans="1:9" x14ac:dyDescent="0.2">
      <c r="A549" s="40" t="s">
        <v>384</v>
      </c>
      <c r="B549" s="42">
        <v>72.95</v>
      </c>
      <c r="D549" s="42"/>
      <c r="E549" s="40">
        <v>461</v>
      </c>
      <c r="F549" s="43">
        <v>81.569999999999993</v>
      </c>
      <c r="G549" s="40">
        <f t="shared" si="16"/>
        <v>-7.572092847919625E-3</v>
      </c>
      <c r="H549" s="40">
        <v>15.638999999999999</v>
      </c>
      <c r="I549">
        <f t="shared" si="17"/>
        <v>-1.1949547897067522E-2</v>
      </c>
    </row>
    <row r="550" spans="1:9" x14ac:dyDescent="0.2">
      <c r="A550" s="41">
        <v>39455</v>
      </c>
      <c r="B550" s="42">
        <v>72.73</v>
      </c>
      <c r="D550" s="42"/>
      <c r="E550" s="40">
        <v>460</v>
      </c>
      <c r="F550" s="43">
        <v>82.19</v>
      </c>
      <c r="G550" s="40">
        <f t="shared" si="16"/>
        <v>4.8786534135257624E-3</v>
      </c>
      <c r="H550" s="40">
        <v>15.827</v>
      </c>
      <c r="I550">
        <f t="shared" si="17"/>
        <v>-2.7605578879800315E-2</v>
      </c>
    </row>
    <row r="551" spans="1:9" x14ac:dyDescent="0.2">
      <c r="A551" s="41">
        <v>39546</v>
      </c>
      <c r="B551" s="42">
        <v>73.17</v>
      </c>
      <c r="D551" s="42"/>
      <c r="E551" s="40">
        <v>459</v>
      </c>
      <c r="F551" s="43">
        <v>81.790000000000006</v>
      </c>
      <c r="G551" s="40">
        <f t="shared" si="16"/>
        <v>-4.3542340416644496E-2</v>
      </c>
      <c r="H551" s="40">
        <v>16.27</v>
      </c>
      <c r="I551">
        <f t="shared" si="17"/>
        <v>-1.5188312342057132E-2</v>
      </c>
    </row>
    <row r="552" spans="1:9" x14ac:dyDescent="0.2">
      <c r="A552" s="41">
        <v>39576</v>
      </c>
      <c r="B552" s="42">
        <v>70.28</v>
      </c>
      <c r="D552" s="42"/>
      <c r="E552" s="40">
        <v>458</v>
      </c>
      <c r="F552" s="43">
        <v>85.43</v>
      </c>
      <c r="G552" s="40">
        <f t="shared" si="16"/>
        <v>-2.1996719262114117E-2</v>
      </c>
      <c r="H552" s="40">
        <v>16.518999999999998</v>
      </c>
      <c r="I552">
        <f t="shared" si="17"/>
        <v>2.9550327188166536E-2</v>
      </c>
    </row>
    <row r="553" spans="1:9" x14ac:dyDescent="0.2">
      <c r="A553" s="41">
        <v>39607</v>
      </c>
      <c r="B553" s="42">
        <v>71.599999999999994</v>
      </c>
      <c r="D553" s="42"/>
      <c r="E553" s="40">
        <v>457</v>
      </c>
      <c r="F553" s="43">
        <v>87.33</v>
      </c>
      <c r="G553" s="40">
        <f t="shared" si="16"/>
        <v>5.6895753085006162E-2</v>
      </c>
      <c r="H553" s="40">
        <v>16.038</v>
      </c>
      <c r="I553">
        <f t="shared" si="17"/>
        <v>4.599758370242004E-2</v>
      </c>
    </row>
    <row r="554" spans="1:9" x14ac:dyDescent="0.2">
      <c r="A554" s="41">
        <v>39637</v>
      </c>
      <c r="B554" s="42">
        <v>73.11</v>
      </c>
      <c r="D554" s="42"/>
      <c r="E554" s="40">
        <v>456</v>
      </c>
      <c r="F554" s="43">
        <v>82.5</v>
      </c>
      <c r="G554" s="40">
        <f t="shared" si="16"/>
        <v>9.4995233912139564E-3</v>
      </c>
      <c r="H554" s="40">
        <v>15.317</v>
      </c>
      <c r="I554">
        <f t="shared" si="17"/>
        <v>-5.9884316172993902E-3</v>
      </c>
    </row>
    <row r="555" spans="1:9" x14ac:dyDescent="0.2">
      <c r="A555" s="41">
        <v>39668</v>
      </c>
      <c r="B555" s="42">
        <v>73.05</v>
      </c>
      <c r="D555" s="42"/>
      <c r="E555" s="40">
        <v>455</v>
      </c>
      <c r="F555" s="43">
        <v>81.72</v>
      </c>
      <c r="G555" s="40">
        <f t="shared" si="16"/>
        <v>4.9028812320582503E-2</v>
      </c>
      <c r="H555" s="40">
        <v>15.409000000000001</v>
      </c>
      <c r="I555">
        <f t="shared" si="17"/>
        <v>-1.7242915786677564E-2</v>
      </c>
    </row>
    <row r="556" spans="1:9" x14ac:dyDescent="0.2">
      <c r="A556" s="41">
        <v>39760</v>
      </c>
      <c r="B556" s="42">
        <v>75.59</v>
      </c>
      <c r="D556" s="42"/>
      <c r="E556" s="40">
        <v>454</v>
      </c>
      <c r="F556" s="43">
        <v>77.81</v>
      </c>
      <c r="G556" s="40">
        <f t="shared" si="16"/>
        <v>9.0369837839695578E-3</v>
      </c>
      <c r="H556" s="40">
        <v>15.677</v>
      </c>
      <c r="I556">
        <f t="shared" si="17"/>
        <v>-1.4753172263301584E-2</v>
      </c>
    </row>
    <row r="557" spans="1:9" x14ac:dyDescent="0.2">
      <c r="A557" s="41">
        <v>39790</v>
      </c>
      <c r="B557" s="42">
        <v>72.400000000000006</v>
      </c>
      <c r="D557" s="42"/>
      <c r="E557" s="40">
        <v>453</v>
      </c>
      <c r="F557" s="43">
        <v>77.11</v>
      </c>
      <c r="G557" s="40">
        <f t="shared" si="16"/>
        <v>-7.3648501382003149E-3</v>
      </c>
      <c r="H557" s="40">
        <v>15.91</v>
      </c>
      <c r="I557">
        <f t="shared" si="17"/>
        <v>-4.6422873610319555E-2</v>
      </c>
    </row>
    <row r="558" spans="1:9" x14ac:dyDescent="0.2">
      <c r="A558" s="40" t="s">
        <v>385</v>
      </c>
      <c r="B558" s="42">
        <v>79.41</v>
      </c>
      <c r="D558" s="42"/>
      <c r="E558" s="40">
        <v>452</v>
      </c>
      <c r="F558" s="43">
        <v>77.680000000000007</v>
      </c>
      <c r="G558" s="40">
        <f t="shared" si="16"/>
        <v>-4.3824690974544354E-2</v>
      </c>
      <c r="H558" s="40">
        <v>16.666</v>
      </c>
      <c r="I558">
        <f t="shared" si="17"/>
        <v>2.2512403670489994E-2</v>
      </c>
    </row>
    <row r="559" spans="1:9" x14ac:dyDescent="0.2">
      <c r="A559" s="40" t="s">
        <v>386</v>
      </c>
      <c r="B559" s="42">
        <v>74.37</v>
      </c>
      <c r="D559" s="42"/>
      <c r="E559" s="40">
        <v>451</v>
      </c>
      <c r="F559" s="43">
        <v>81.16</v>
      </c>
      <c r="G559" s="40">
        <f t="shared" si="16"/>
        <v>-2.7070276159299272E-3</v>
      </c>
      <c r="H559" s="40">
        <v>16.295000000000002</v>
      </c>
      <c r="I559">
        <f t="shared" si="17"/>
        <v>-1.9618668545024762E-3</v>
      </c>
    </row>
    <row r="560" spans="1:9" x14ac:dyDescent="0.2">
      <c r="A560" s="40" t="s">
        <v>387</v>
      </c>
      <c r="B560" s="42">
        <v>74.099999999999994</v>
      </c>
      <c r="D560" s="42"/>
      <c r="E560" s="40">
        <v>450</v>
      </c>
      <c r="F560" s="43">
        <v>81.38</v>
      </c>
      <c r="G560" s="40">
        <f t="shared" si="16"/>
        <v>-8.17238089071671E-2</v>
      </c>
      <c r="H560" s="40">
        <v>16.327000000000002</v>
      </c>
      <c r="I560">
        <f t="shared" si="17"/>
        <v>3.5979813872385448E-2</v>
      </c>
    </row>
    <row r="561" spans="1:9" x14ac:dyDescent="0.2">
      <c r="A561" s="40" t="s">
        <v>388</v>
      </c>
      <c r="B561" s="42">
        <v>72.849999999999994</v>
      </c>
      <c r="D561" s="42"/>
      <c r="E561" s="40">
        <v>449</v>
      </c>
      <c r="F561" s="43">
        <v>88.31</v>
      </c>
      <c r="G561" s="40">
        <f t="shared" si="16"/>
        <v>4.3273757686579983E-2</v>
      </c>
      <c r="H561" s="40">
        <v>15.75</v>
      </c>
      <c r="I561">
        <f t="shared" si="17"/>
        <v>0.1339124175862671</v>
      </c>
    </row>
    <row r="562" spans="1:9" x14ac:dyDescent="0.2">
      <c r="A562" s="40" t="s">
        <v>389</v>
      </c>
      <c r="B562" s="42">
        <v>77.5</v>
      </c>
      <c r="D562" s="42"/>
      <c r="E562" s="40">
        <v>448</v>
      </c>
      <c r="F562" s="43">
        <v>84.57</v>
      </c>
      <c r="G562" s="40">
        <f t="shared" si="16"/>
        <v>-1.5487813984002573E-2</v>
      </c>
      <c r="H562" s="40">
        <v>13.776</v>
      </c>
      <c r="I562">
        <f t="shared" si="17"/>
        <v>-5.8230557948519106E-2</v>
      </c>
    </row>
    <row r="563" spans="1:9" x14ac:dyDescent="0.2">
      <c r="A563" s="40" t="s">
        <v>390</v>
      </c>
      <c r="B563" s="42">
        <v>73.42</v>
      </c>
      <c r="D563" s="42"/>
      <c r="E563" s="40">
        <v>447</v>
      </c>
      <c r="F563" s="43">
        <v>85.89</v>
      </c>
      <c r="G563" s="40">
        <f t="shared" si="16"/>
        <v>1.2815286893989276E-3</v>
      </c>
      <c r="H563" s="40">
        <v>14.602</v>
      </c>
      <c r="I563">
        <f t="shared" si="17"/>
        <v>2.0829040743095786E-2</v>
      </c>
    </row>
    <row r="564" spans="1:9" x14ac:dyDescent="0.2">
      <c r="A564" s="40" t="s">
        <v>391</v>
      </c>
      <c r="B564" s="42">
        <v>73.75</v>
      </c>
      <c r="D564" s="42"/>
      <c r="E564" s="40">
        <v>446</v>
      </c>
      <c r="F564" s="43">
        <v>85.78</v>
      </c>
      <c r="G564" s="40">
        <f t="shared" si="16"/>
        <v>-4.9245267158211592E-2</v>
      </c>
      <c r="H564" s="40">
        <v>14.301</v>
      </c>
      <c r="I564">
        <f t="shared" si="17"/>
        <v>1.0190902407581233E-2</v>
      </c>
    </row>
    <row r="565" spans="1:9" x14ac:dyDescent="0.2">
      <c r="A565" s="40" t="s">
        <v>392</v>
      </c>
      <c r="B565" s="42">
        <v>73.56</v>
      </c>
      <c r="D565" s="42"/>
      <c r="E565" s="40">
        <v>445</v>
      </c>
      <c r="F565" s="43">
        <v>90.11</v>
      </c>
      <c r="G565" s="40">
        <f t="shared" si="16"/>
        <v>6.3096879634768427E-2</v>
      </c>
      <c r="H565" s="40">
        <v>14.156000000000001</v>
      </c>
      <c r="I565">
        <f t="shared" si="17"/>
        <v>5.3317918067548202E-2</v>
      </c>
    </row>
    <row r="566" spans="1:9" x14ac:dyDescent="0.2">
      <c r="A566" s="40" t="s">
        <v>393</v>
      </c>
      <c r="B566" s="42">
        <v>77.03</v>
      </c>
      <c r="D566" s="42"/>
      <c r="E566" s="40">
        <v>444</v>
      </c>
      <c r="F566" s="43">
        <v>84.6</v>
      </c>
      <c r="G566" s="40">
        <f t="shared" si="16"/>
        <v>5.6532827332214229E-2</v>
      </c>
      <c r="H566" s="40">
        <v>13.420999999999999</v>
      </c>
      <c r="I566">
        <f t="shared" si="17"/>
        <v>1.5165455818406176E-2</v>
      </c>
    </row>
    <row r="567" spans="1:9" x14ac:dyDescent="0.2">
      <c r="A567" s="40" t="s">
        <v>394</v>
      </c>
      <c r="B567" s="42">
        <v>73.14</v>
      </c>
      <c r="D567" s="42"/>
      <c r="E567" s="40">
        <v>443</v>
      </c>
      <c r="F567" s="43">
        <v>79.95</v>
      </c>
      <c r="G567" s="40">
        <f t="shared" si="16"/>
        <v>8.9202174496132141E-3</v>
      </c>
      <c r="H567" s="40">
        <v>13.218999999999999</v>
      </c>
      <c r="I567">
        <f t="shared" si="17"/>
        <v>-2.4214620075971603E-2</v>
      </c>
    </row>
    <row r="568" spans="1:9" x14ac:dyDescent="0.2">
      <c r="A568" s="40" t="s">
        <v>395</v>
      </c>
      <c r="B568" s="42">
        <v>72</v>
      </c>
      <c r="D568" s="42"/>
      <c r="E568" s="40">
        <v>442</v>
      </c>
      <c r="F568" s="43">
        <v>79.239999999999995</v>
      </c>
      <c r="G568" s="40">
        <f t="shared" si="16"/>
        <v>8.837826470076939E-4</v>
      </c>
      <c r="H568" s="40">
        <v>13.542999999999999</v>
      </c>
      <c r="I568">
        <f t="shared" si="17"/>
        <v>3.4023701460892627E-3</v>
      </c>
    </row>
    <row r="569" spans="1:9" x14ac:dyDescent="0.2">
      <c r="A569" s="40" t="s">
        <v>396</v>
      </c>
      <c r="B569" s="42">
        <v>68.05</v>
      </c>
      <c r="D569" s="42"/>
      <c r="E569" s="40">
        <v>441</v>
      </c>
      <c r="F569" s="43">
        <v>79.17</v>
      </c>
      <c r="G569" s="40">
        <f t="shared" si="16"/>
        <v>-2.1987144324268171E-2</v>
      </c>
      <c r="H569" s="40">
        <v>13.497</v>
      </c>
      <c r="I569">
        <f t="shared" si="17"/>
        <v>-2.4661891651248005E-2</v>
      </c>
    </row>
    <row r="570" spans="1:9" x14ac:dyDescent="0.2">
      <c r="A570" s="40" t="s">
        <v>397</v>
      </c>
      <c r="B570" s="42">
        <v>68.069999999999993</v>
      </c>
      <c r="D570" s="42"/>
      <c r="E570" s="40">
        <v>440</v>
      </c>
      <c r="F570" s="43">
        <v>80.930000000000007</v>
      </c>
      <c r="G570" s="40">
        <f t="shared" si="16"/>
        <v>8.5624398539305251E-3</v>
      </c>
      <c r="H570" s="40">
        <v>13.834</v>
      </c>
      <c r="I570">
        <f t="shared" si="17"/>
        <v>4.8732337303053833E-2</v>
      </c>
    </row>
    <row r="571" spans="1:9" x14ac:dyDescent="0.2">
      <c r="A571" s="41">
        <v>39487</v>
      </c>
      <c r="B571" s="42">
        <v>69.650000000000006</v>
      </c>
      <c r="D571" s="42"/>
      <c r="E571" s="40">
        <v>439</v>
      </c>
      <c r="F571" s="43">
        <v>80.239999999999995</v>
      </c>
      <c r="G571" s="40">
        <f t="shared" si="16"/>
        <v>1.7348015204198829E-2</v>
      </c>
      <c r="H571" s="40">
        <v>13.176</v>
      </c>
      <c r="I571">
        <f t="shared" si="17"/>
        <v>2.1479807111066569E-2</v>
      </c>
    </row>
    <row r="572" spans="1:9" x14ac:dyDescent="0.2">
      <c r="A572" s="41">
        <v>39516</v>
      </c>
      <c r="B572" s="42">
        <v>69.930000000000007</v>
      </c>
      <c r="D572" s="42"/>
      <c r="E572" s="40">
        <v>438</v>
      </c>
      <c r="F572" s="43">
        <v>78.86</v>
      </c>
      <c r="G572" s="40">
        <f t="shared" si="16"/>
        <v>9.4280224410029367E-3</v>
      </c>
      <c r="H572" s="40">
        <v>12.896000000000001</v>
      </c>
      <c r="I572">
        <f t="shared" si="17"/>
        <v>-2.7910210931189387E-2</v>
      </c>
    </row>
    <row r="573" spans="1:9" x14ac:dyDescent="0.2">
      <c r="A573" s="41">
        <v>39547</v>
      </c>
      <c r="B573" s="42">
        <v>72.38</v>
      </c>
      <c r="D573" s="42"/>
      <c r="E573" s="40">
        <v>437</v>
      </c>
      <c r="F573" s="43">
        <v>78.12</v>
      </c>
      <c r="G573" s="40">
        <f t="shared" si="16"/>
        <v>-5.4673392107773687E-2</v>
      </c>
      <c r="H573" s="40">
        <v>13.260999999999999</v>
      </c>
      <c r="I573">
        <f t="shared" si="17"/>
        <v>5.1209950966969106E-2</v>
      </c>
    </row>
    <row r="574" spans="1:9" x14ac:dyDescent="0.2">
      <c r="A574" s="41">
        <v>39577</v>
      </c>
      <c r="B574" s="42">
        <v>70.39</v>
      </c>
      <c r="D574" s="42"/>
      <c r="E574" s="40">
        <v>436</v>
      </c>
      <c r="F574" s="43">
        <v>82.51</v>
      </c>
      <c r="G574" s="40">
        <f t="shared" si="16"/>
        <v>2.5656596647123973E-2</v>
      </c>
      <c r="H574" s="40">
        <v>12.599</v>
      </c>
      <c r="I574">
        <f t="shared" si="17"/>
        <v>1.0612507341833853E-2</v>
      </c>
    </row>
    <row r="575" spans="1:9" x14ac:dyDescent="0.2">
      <c r="A575" s="41">
        <v>39669</v>
      </c>
      <c r="B575" s="42">
        <v>67.94</v>
      </c>
      <c r="D575" s="42"/>
      <c r="E575" s="40">
        <v>435</v>
      </c>
      <c r="F575" s="43">
        <v>80.42</v>
      </c>
      <c r="G575" s="40">
        <f t="shared" si="16"/>
        <v>-2.2014047694913972E-2</v>
      </c>
      <c r="H575" s="40">
        <v>12.465999999999999</v>
      </c>
      <c r="I575">
        <f t="shared" si="17"/>
        <v>2.2060910901034438E-2</v>
      </c>
    </row>
    <row r="576" spans="1:9" x14ac:dyDescent="0.2">
      <c r="A576" s="41">
        <v>39700</v>
      </c>
      <c r="B576" s="42">
        <v>70.680000000000007</v>
      </c>
      <c r="D576" s="42"/>
      <c r="E576" s="40">
        <v>434</v>
      </c>
      <c r="F576" s="43">
        <v>82.21</v>
      </c>
      <c r="G576" s="40">
        <f t="shared" si="16"/>
        <v>-4.5767778246411615E-2</v>
      </c>
      <c r="H576" s="40">
        <v>12.194000000000001</v>
      </c>
      <c r="I576">
        <f t="shared" si="17"/>
        <v>1.1796383440369564E-2</v>
      </c>
    </row>
    <row r="577" spans="1:9" x14ac:dyDescent="0.2">
      <c r="A577" s="41">
        <v>39730</v>
      </c>
      <c r="B577" s="42">
        <v>70.63</v>
      </c>
      <c r="D577" s="42"/>
      <c r="E577" s="40">
        <v>433</v>
      </c>
      <c r="F577" s="43">
        <v>86.06</v>
      </c>
      <c r="G577" s="40">
        <f t="shared" si="16"/>
        <v>-1.4534804271289468E-2</v>
      </c>
      <c r="H577" s="40">
        <v>12.051</v>
      </c>
      <c r="I577">
        <f t="shared" si="17"/>
        <v>6.9947824538755376E-3</v>
      </c>
    </row>
    <row r="578" spans="1:9" x14ac:dyDescent="0.2">
      <c r="A578" s="41">
        <v>39761</v>
      </c>
      <c r="B578" s="42">
        <v>71.03</v>
      </c>
      <c r="D578" s="42"/>
      <c r="E578" s="40">
        <v>432</v>
      </c>
      <c r="F578" s="43">
        <v>87.32</v>
      </c>
      <c r="G578" s="40">
        <f t="shared" si="16"/>
        <v>-1.1726667083962302E-2</v>
      </c>
      <c r="H578" s="40">
        <v>11.967000000000001</v>
      </c>
      <c r="I578">
        <f t="shared" si="17"/>
        <v>6.6233736159760316E-3</v>
      </c>
    </row>
    <row r="579" spans="1:9" x14ac:dyDescent="0.2">
      <c r="A579" s="41">
        <v>39791</v>
      </c>
      <c r="B579" s="42">
        <v>70.260000000000005</v>
      </c>
      <c r="D579" s="42"/>
      <c r="E579" s="40">
        <v>431</v>
      </c>
      <c r="F579" s="43">
        <v>88.35</v>
      </c>
      <c r="G579" s="40">
        <f t="shared" ref="G579:G642" si="18">LN(F579/F580)</f>
        <v>-2.6140898693770988E-2</v>
      </c>
      <c r="H579" s="40">
        <v>11.888</v>
      </c>
      <c r="I579">
        <f t="shared" ref="I579:I642" si="19">LN(H579/H580)</f>
        <v>5.720789649876093E-2</v>
      </c>
    </row>
    <row r="580" spans="1:9" x14ac:dyDescent="0.2">
      <c r="A580" s="40" t="s">
        <v>398</v>
      </c>
      <c r="B580" s="42">
        <v>79.37</v>
      </c>
      <c r="D580" s="42"/>
      <c r="E580" s="40">
        <v>430</v>
      </c>
      <c r="F580" s="43">
        <v>90.69</v>
      </c>
      <c r="G580" s="40">
        <f t="shared" si="18"/>
        <v>-1.7597044049330136E-2</v>
      </c>
      <c r="H580" s="40">
        <v>11.227</v>
      </c>
      <c r="I580">
        <f t="shared" si="19"/>
        <v>-6.3246157045843271E-2</v>
      </c>
    </row>
    <row r="581" spans="1:9" x14ac:dyDescent="0.2">
      <c r="A581" s="40" t="s">
        <v>399</v>
      </c>
      <c r="B581" s="42">
        <v>74.38</v>
      </c>
      <c r="D581" s="42"/>
      <c r="E581" s="40">
        <v>429</v>
      </c>
      <c r="F581" s="43">
        <v>92.3</v>
      </c>
      <c r="G581" s="40">
        <f t="shared" si="18"/>
        <v>-5.2960376406515408E-2</v>
      </c>
      <c r="H581" s="40">
        <v>11.96</v>
      </c>
      <c r="I581">
        <f t="shared" si="19"/>
        <v>3.9220713153281329E-2</v>
      </c>
    </row>
    <row r="582" spans="1:9" x14ac:dyDescent="0.2">
      <c r="A582" s="40" t="s">
        <v>400</v>
      </c>
      <c r="B582" s="42">
        <v>93.04</v>
      </c>
      <c r="D582" s="42"/>
      <c r="E582" s="40">
        <v>428</v>
      </c>
      <c r="F582" s="43">
        <v>97.32</v>
      </c>
      <c r="G582" s="40">
        <f t="shared" si="18"/>
        <v>-4.6379886996573819E-2</v>
      </c>
      <c r="H582" s="40">
        <v>11.5</v>
      </c>
      <c r="I582">
        <f t="shared" si="19"/>
        <v>-7.4504373052280675E-3</v>
      </c>
    </row>
    <row r="583" spans="1:9" x14ac:dyDescent="0.2">
      <c r="A583" s="40" t="s">
        <v>401</v>
      </c>
      <c r="B583" s="42">
        <v>89.33</v>
      </c>
      <c r="D583" s="42"/>
      <c r="E583" s="40">
        <v>427</v>
      </c>
      <c r="F583" s="43">
        <v>101.94</v>
      </c>
      <c r="G583" s="40">
        <f t="shared" si="18"/>
        <v>6.6929383701324809E-3</v>
      </c>
      <c r="H583" s="40">
        <v>11.586</v>
      </c>
      <c r="I583">
        <f t="shared" si="19"/>
        <v>-7.2239736240321635E-3</v>
      </c>
    </row>
    <row r="584" spans="1:9" x14ac:dyDescent="0.2">
      <c r="A584" s="40" t="s">
        <v>402</v>
      </c>
      <c r="B584" s="42">
        <v>79.37</v>
      </c>
      <c r="D584" s="42"/>
      <c r="E584" s="40">
        <v>426</v>
      </c>
      <c r="F584" s="43">
        <v>101.26</v>
      </c>
      <c r="G584" s="40">
        <f t="shared" si="18"/>
        <v>-7.5398017484211738E-2</v>
      </c>
      <c r="H584" s="40">
        <v>11.67</v>
      </c>
      <c r="I584">
        <f t="shared" si="19"/>
        <v>-3.4198565546127817E-2</v>
      </c>
    </row>
    <row r="585" spans="1:9" x14ac:dyDescent="0.2">
      <c r="A585" s="40" t="s">
        <v>403</v>
      </c>
      <c r="B585" s="42">
        <v>83.92</v>
      </c>
      <c r="D585" s="42"/>
      <c r="E585" s="40">
        <v>425</v>
      </c>
      <c r="F585" s="43">
        <v>109.19</v>
      </c>
      <c r="G585" s="40">
        <f t="shared" si="18"/>
        <v>3.66560041003419E-2</v>
      </c>
      <c r="H585" s="40">
        <v>12.076000000000001</v>
      </c>
      <c r="I585">
        <f t="shared" si="19"/>
        <v>-8.3679676470112499E-2</v>
      </c>
    </row>
    <row r="586" spans="1:9" x14ac:dyDescent="0.2">
      <c r="A586" s="40" t="s">
        <v>404</v>
      </c>
      <c r="B586" s="42">
        <v>84.77</v>
      </c>
      <c r="D586" s="42"/>
      <c r="E586" s="40">
        <v>424</v>
      </c>
      <c r="F586" s="43">
        <v>105.26</v>
      </c>
      <c r="G586" s="40">
        <f t="shared" si="18"/>
        <v>-1.7422863850905305E-2</v>
      </c>
      <c r="H586" s="40">
        <v>13.13</v>
      </c>
      <c r="I586">
        <f t="shared" si="19"/>
        <v>-5.9987271270215354E-3</v>
      </c>
    </row>
    <row r="587" spans="1:9" x14ac:dyDescent="0.2">
      <c r="A587" s="40" t="s">
        <v>405</v>
      </c>
      <c r="B587" s="42">
        <v>86.66</v>
      </c>
      <c r="D587" s="42"/>
      <c r="E587" s="40">
        <v>423</v>
      </c>
      <c r="F587" s="43">
        <v>107.11</v>
      </c>
      <c r="G587" s="40">
        <f t="shared" si="18"/>
        <v>3.5541559196144754E-2</v>
      </c>
      <c r="H587" s="40">
        <v>13.209</v>
      </c>
      <c r="I587">
        <f t="shared" si="19"/>
        <v>3.1847160675199195E-3</v>
      </c>
    </row>
    <row r="588" spans="1:9" x14ac:dyDescent="0.2">
      <c r="A588" s="40" t="s">
        <v>406</v>
      </c>
      <c r="B588" s="42">
        <v>82.96</v>
      </c>
      <c r="D588" s="42"/>
      <c r="E588" s="40">
        <v>422</v>
      </c>
      <c r="F588" s="43">
        <v>103.37</v>
      </c>
      <c r="G588" s="40">
        <f t="shared" si="18"/>
        <v>5.6106210229649081E-2</v>
      </c>
      <c r="H588" s="40">
        <v>13.167</v>
      </c>
      <c r="I588">
        <f t="shared" si="19"/>
        <v>5.1025515571251373E-2</v>
      </c>
    </row>
    <row r="589" spans="1:9" x14ac:dyDescent="0.2">
      <c r="A589" s="40" t="s">
        <v>407</v>
      </c>
      <c r="B589" s="42">
        <v>87.81</v>
      </c>
      <c r="D589" s="42"/>
      <c r="E589" s="40">
        <v>421</v>
      </c>
      <c r="F589" s="43">
        <v>97.73</v>
      </c>
      <c r="G589" s="40">
        <f t="shared" si="18"/>
        <v>5.1869698985656493E-2</v>
      </c>
      <c r="H589" s="40">
        <v>12.512</v>
      </c>
      <c r="I589">
        <f t="shared" si="19"/>
        <v>3.026477388728872E-2</v>
      </c>
    </row>
    <row r="590" spans="1:9" x14ac:dyDescent="0.2">
      <c r="A590" s="40" t="s">
        <v>408</v>
      </c>
      <c r="B590" s="42">
        <v>99.86</v>
      </c>
      <c r="D590" s="42"/>
      <c r="E590" s="40">
        <v>420</v>
      </c>
      <c r="F590" s="43">
        <v>92.79</v>
      </c>
      <c r="G590" s="40">
        <f t="shared" si="18"/>
        <v>-4.2617988258351655E-2</v>
      </c>
      <c r="H590" s="40">
        <v>12.138999999999999</v>
      </c>
      <c r="I590">
        <f t="shared" si="19"/>
        <v>-6.650543827782727E-3</v>
      </c>
    </row>
    <row r="591" spans="1:9" x14ac:dyDescent="0.2">
      <c r="A591" s="40" t="s">
        <v>409</v>
      </c>
      <c r="B591" s="42">
        <v>92.23</v>
      </c>
      <c r="D591" s="42"/>
      <c r="E591" s="40">
        <v>419</v>
      </c>
      <c r="F591" s="43">
        <v>96.83</v>
      </c>
      <c r="G591" s="40">
        <f t="shared" si="18"/>
        <v>-6.2063344333536961E-2</v>
      </c>
      <c r="H591" s="40">
        <v>12.22</v>
      </c>
      <c r="I591">
        <f t="shared" si="19"/>
        <v>-4.135867535857788E-2</v>
      </c>
    </row>
    <row r="592" spans="1:9" x14ac:dyDescent="0.2">
      <c r="A592" s="41">
        <v>39457</v>
      </c>
      <c r="B592" s="42">
        <v>89.76</v>
      </c>
      <c r="D592" s="42"/>
      <c r="E592" s="40">
        <v>418</v>
      </c>
      <c r="F592" s="43">
        <v>103.03</v>
      </c>
      <c r="G592" s="40">
        <f t="shared" si="18"/>
        <v>-3.0209734458777504E-2</v>
      </c>
      <c r="H592" s="40">
        <v>12.736000000000001</v>
      </c>
      <c r="I592">
        <f t="shared" si="19"/>
        <v>2.5688318568216347E-2</v>
      </c>
    </row>
    <row r="593" spans="1:9" x14ac:dyDescent="0.2">
      <c r="A593" s="41">
        <v>39488</v>
      </c>
      <c r="B593" s="42">
        <v>95.29</v>
      </c>
      <c r="D593" s="42"/>
      <c r="E593" s="40">
        <v>417</v>
      </c>
      <c r="F593" s="43">
        <v>106.19</v>
      </c>
      <c r="G593" s="40">
        <f t="shared" si="18"/>
        <v>-1.9767543431891622E-2</v>
      </c>
      <c r="H593" s="40">
        <v>12.413</v>
      </c>
      <c r="I593">
        <f t="shared" si="19"/>
        <v>1.5015906505222753E-2</v>
      </c>
    </row>
    <row r="594" spans="1:9" x14ac:dyDescent="0.2">
      <c r="A594" s="41">
        <v>39517</v>
      </c>
      <c r="B594" s="42">
        <v>94.68</v>
      </c>
      <c r="D594" s="42"/>
      <c r="E594" s="40">
        <v>416</v>
      </c>
      <c r="F594" s="43">
        <v>108.31</v>
      </c>
      <c r="G594" s="40">
        <f t="shared" si="18"/>
        <v>2.3163452742012591E-2</v>
      </c>
      <c r="H594" s="40">
        <v>12.228</v>
      </c>
      <c r="I594">
        <f t="shared" si="19"/>
        <v>-2.3279421778047649E-2</v>
      </c>
    </row>
    <row r="595" spans="1:9" x14ac:dyDescent="0.2">
      <c r="A595" s="41">
        <v>39609</v>
      </c>
      <c r="B595" s="42">
        <v>104.82</v>
      </c>
      <c r="D595" s="42"/>
      <c r="E595" s="40">
        <v>415</v>
      </c>
      <c r="F595" s="43">
        <v>105.83</v>
      </c>
      <c r="G595" s="40">
        <f t="shared" si="18"/>
        <v>-7.225693294929765E-2</v>
      </c>
      <c r="H595" s="40">
        <v>12.516</v>
      </c>
      <c r="I595">
        <f t="shared" si="19"/>
        <v>-3.5889498984802049E-3</v>
      </c>
    </row>
    <row r="596" spans="1:9" x14ac:dyDescent="0.2">
      <c r="A596" s="41">
        <v>39639</v>
      </c>
      <c r="B596" s="42">
        <v>106.47</v>
      </c>
      <c r="D596" s="42"/>
      <c r="E596" s="40">
        <v>414</v>
      </c>
      <c r="F596" s="43">
        <v>113.76</v>
      </c>
      <c r="G596" s="40">
        <f t="shared" si="18"/>
        <v>4.1917736445265474E-2</v>
      </c>
      <c r="H596" s="40">
        <v>12.561</v>
      </c>
      <c r="I596">
        <f t="shared" si="19"/>
        <v>-5.4230620990345868E-2</v>
      </c>
    </row>
    <row r="597" spans="1:9" x14ac:dyDescent="0.2">
      <c r="A597" s="41">
        <v>39670</v>
      </c>
      <c r="B597" s="42">
        <v>104.99</v>
      </c>
      <c r="D597" s="42"/>
      <c r="E597" s="40">
        <v>413</v>
      </c>
      <c r="F597" s="43">
        <v>109.09</v>
      </c>
      <c r="G597" s="40">
        <f t="shared" si="18"/>
        <v>7.1621941583271745E-2</v>
      </c>
      <c r="H597" s="40">
        <v>13.260999999999999</v>
      </c>
      <c r="I597">
        <f t="shared" si="19"/>
        <v>6.4304038201225665E-3</v>
      </c>
    </row>
    <row r="598" spans="1:9" x14ac:dyDescent="0.2">
      <c r="A598" s="41">
        <v>39701</v>
      </c>
      <c r="B598" s="42">
        <v>108.05</v>
      </c>
      <c r="D598" s="42"/>
      <c r="E598" s="40">
        <v>412</v>
      </c>
      <c r="F598" s="43">
        <v>101.55</v>
      </c>
      <c r="G598" s="40">
        <f t="shared" si="18"/>
        <v>0.12989448882706303</v>
      </c>
      <c r="H598" s="40">
        <v>13.176</v>
      </c>
      <c r="I598">
        <f t="shared" si="19"/>
        <v>-1.5513527485285984E-2</v>
      </c>
    </row>
    <row r="599" spans="1:9" x14ac:dyDescent="0.2">
      <c r="A599" s="41">
        <v>39731</v>
      </c>
      <c r="B599" s="42">
        <v>116</v>
      </c>
      <c r="D599" s="42"/>
      <c r="E599" s="40">
        <v>411</v>
      </c>
      <c r="F599" s="43">
        <v>89.18</v>
      </c>
      <c r="G599" s="40">
        <f t="shared" si="18"/>
        <v>-3.1675108479756131E-2</v>
      </c>
      <c r="H599" s="40">
        <v>13.382</v>
      </c>
      <c r="I599">
        <f t="shared" si="19"/>
        <v>1.3845217399395187E-2</v>
      </c>
    </row>
    <row r="600" spans="1:9" x14ac:dyDescent="0.2">
      <c r="A600" s="40" t="s">
        <v>410</v>
      </c>
      <c r="B600" s="42">
        <v>110.07</v>
      </c>
      <c r="D600" s="42"/>
      <c r="E600" s="40">
        <v>410</v>
      </c>
      <c r="F600" s="43">
        <v>92.05</v>
      </c>
      <c r="G600" s="40">
        <f t="shared" si="18"/>
        <v>1.0154588540160044E-2</v>
      </c>
      <c r="H600" s="40">
        <v>13.198</v>
      </c>
      <c r="I600">
        <f t="shared" si="19"/>
        <v>2.059245268881375E-2</v>
      </c>
    </row>
    <row r="601" spans="1:9" x14ac:dyDescent="0.2">
      <c r="A601" s="40" t="s">
        <v>411</v>
      </c>
      <c r="B601" s="42">
        <v>105.64</v>
      </c>
      <c r="D601" s="42"/>
      <c r="E601" s="40">
        <v>409</v>
      </c>
      <c r="F601" s="43">
        <v>91.12</v>
      </c>
      <c r="G601" s="40">
        <f t="shared" si="18"/>
        <v>2.3653315270155836E-2</v>
      </c>
      <c r="H601" s="40">
        <v>12.929</v>
      </c>
      <c r="I601">
        <f t="shared" si="19"/>
        <v>-1.5274503515373544E-2</v>
      </c>
    </row>
    <row r="602" spans="1:9" x14ac:dyDescent="0.2">
      <c r="A602" s="40" t="s">
        <v>412</v>
      </c>
      <c r="B602" s="42">
        <v>114.93</v>
      </c>
      <c r="D602" s="42"/>
      <c r="E602" s="40">
        <v>408</v>
      </c>
      <c r="F602" s="43">
        <v>88.99</v>
      </c>
      <c r="G602" s="40">
        <f t="shared" si="18"/>
        <v>-3.7819401573349565E-2</v>
      </c>
      <c r="H602" s="40">
        <v>13.128</v>
      </c>
      <c r="I602">
        <f t="shared" si="19"/>
        <v>-2.2849308907821488E-4</v>
      </c>
    </row>
    <row r="603" spans="1:9" x14ac:dyDescent="0.2">
      <c r="A603" s="40" t="s">
        <v>413</v>
      </c>
      <c r="B603" s="42">
        <v>119.48</v>
      </c>
      <c r="D603" s="42"/>
      <c r="E603" s="40">
        <v>407</v>
      </c>
      <c r="F603" s="43">
        <v>92.42</v>
      </c>
      <c r="G603" s="40">
        <f t="shared" si="18"/>
        <v>-2.0537217400572808E-3</v>
      </c>
      <c r="H603" s="40">
        <v>13.131</v>
      </c>
      <c r="I603">
        <f t="shared" si="19"/>
        <v>-9.9517570696499358E-2</v>
      </c>
    </row>
    <row r="604" spans="1:9" x14ac:dyDescent="0.2">
      <c r="A604" s="40" t="s">
        <v>414</v>
      </c>
      <c r="B604" s="42">
        <v>117.45</v>
      </c>
      <c r="D604" s="42"/>
      <c r="E604" s="40">
        <v>406</v>
      </c>
      <c r="F604" s="43">
        <v>92.61</v>
      </c>
      <c r="G604" s="40">
        <f t="shared" si="18"/>
        <v>-1.0419558255892634E-2</v>
      </c>
      <c r="H604" s="40">
        <v>14.505000000000001</v>
      </c>
      <c r="I604">
        <f t="shared" si="19"/>
        <v>8.1683965184713003E-3</v>
      </c>
    </row>
    <row r="605" spans="1:9" x14ac:dyDescent="0.2">
      <c r="A605" s="40" t="s">
        <v>415</v>
      </c>
      <c r="B605" s="42">
        <v>115.98</v>
      </c>
      <c r="D605" s="42"/>
      <c r="E605" s="40">
        <v>405</v>
      </c>
      <c r="F605" s="43">
        <v>93.58</v>
      </c>
      <c r="G605" s="40">
        <f t="shared" si="18"/>
        <v>-3.3071988323858689E-3</v>
      </c>
      <c r="H605" s="40">
        <v>14.387</v>
      </c>
      <c r="I605">
        <f t="shared" si="19"/>
        <v>2.7982232377506265E-2</v>
      </c>
    </row>
    <row r="606" spans="1:9" x14ac:dyDescent="0.2">
      <c r="A606" s="40" t="s">
        <v>416</v>
      </c>
      <c r="B606" s="42">
        <v>114.28</v>
      </c>
      <c r="D606" s="42"/>
      <c r="E606" s="40">
        <v>404</v>
      </c>
      <c r="F606" s="43">
        <v>93.89</v>
      </c>
      <c r="G606" s="40">
        <f t="shared" si="18"/>
        <v>0.10501738332961973</v>
      </c>
      <c r="H606" s="40">
        <v>13.99</v>
      </c>
      <c r="I606">
        <f t="shared" si="19"/>
        <v>1.9925579815217132E-2</v>
      </c>
    </row>
    <row r="607" spans="1:9" x14ac:dyDescent="0.2">
      <c r="A607" s="40" t="s">
        <v>417</v>
      </c>
      <c r="B607" s="42">
        <v>123.31</v>
      </c>
      <c r="D607" s="42"/>
      <c r="E607" s="40">
        <v>403</v>
      </c>
      <c r="F607" s="43">
        <v>84.53</v>
      </c>
      <c r="G607" s="40">
        <f t="shared" si="18"/>
        <v>5.218847096029774E-3</v>
      </c>
      <c r="H607" s="40">
        <v>13.714</v>
      </c>
      <c r="I607">
        <f t="shared" si="19"/>
        <v>1.8323482598610465E-2</v>
      </c>
    </row>
    <row r="608" spans="1:9" x14ac:dyDescent="0.2">
      <c r="A608" s="40" t="s">
        <v>418</v>
      </c>
      <c r="B608" s="42">
        <v>121.61</v>
      </c>
      <c r="D608" s="42"/>
      <c r="E608" s="40">
        <v>402</v>
      </c>
      <c r="F608" s="43">
        <v>84.09</v>
      </c>
      <c r="G608" s="40">
        <f t="shared" si="18"/>
        <v>-1.7447100585156777E-2</v>
      </c>
      <c r="H608" s="40">
        <v>13.465</v>
      </c>
      <c r="I608">
        <f t="shared" si="19"/>
        <v>-1.3425990992414571E-2</v>
      </c>
    </row>
    <row r="609" spans="1:9" x14ac:dyDescent="0.2">
      <c r="A609" s="40" t="s">
        <v>419</v>
      </c>
      <c r="B609" s="42">
        <v>128.09</v>
      </c>
      <c r="D609" s="42"/>
      <c r="E609" s="40">
        <v>401</v>
      </c>
      <c r="F609" s="43">
        <v>85.57</v>
      </c>
      <c r="G609" s="40">
        <f t="shared" si="18"/>
        <v>-3.095224941143784E-2</v>
      </c>
      <c r="H609" s="40">
        <v>13.647</v>
      </c>
      <c r="I609">
        <f t="shared" si="19"/>
        <v>-2.1027456881395699E-2</v>
      </c>
    </row>
    <row r="610" spans="1:9" x14ac:dyDescent="0.2">
      <c r="A610" s="40" t="s">
        <v>420</v>
      </c>
      <c r="B610" s="42">
        <v>134.87</v>
      </c>
      <c r="D610" s="42"/>
      <c r="E610" s="40">
        <v>400</v>
      </c>
      <c r="F610" s="43">
        <v>88.26</v>
      </c>
      <c r="G610" s="40">
        <f t="shared" si="18"/>
        <v>-6.3858480308915555E-2</v>
      </c>
      <c r="H610" s="40">
        <v>13.936999999999999</v>
      </c>
      <c r="I610">
        <f t="shared" si="19"/>
        <v>-7.9750139725304106E-2</v>
      </c>
    </row>
    <row r="611" spans="1:9" x14ac:dyDescent="0.2">
      <c r="A611" s="40" t="s">
        <v>421</v>
      </c>
      <c r="B611" s="42">
        <v>127.46</v>
      </c>
      <c r="D611" s="42"/>
      <c r="E611" s="40">
        <v>399</v>
      </c>
      <c r="F611" s="43">
        <v>94.08</v>
      </c>
      <c r="G611" s="40">
        <f t="shared" si="18"/>
        <v>5.3376558472200832E-2</v>
      </c>
      <c r="H611" s="40">
        <v>15.093999999999999</v>
      </c>
      <c r="I611">
        <f t="shared" si="19"/>
        <v>-2.4476059882374064E-2</v>
      </c>
    </row>
    <row r="612" spans="1:9" x14ac:dyDescent="0.2">
      <c r="A612" s="40" t="s">
        <v>422</v>
      </c>
      <c r="B612" s="42">
        <v>124.73</v>
      </c>
      <c r="D612" s="42"/>
      <c r="E612" s="40">
        <v>398</v>
      </c>
      <c r="F612" s="43">
        <v>89.19</v>
      </c>
      <c r="G612" s="40">
        <f t="shared" si="18"/>
        <v>1.6391029940048162E-2</v>
      </c>
      <c r="H612" s="40">
        <v>15.468</v>
      </c>
      <c r="I612">
        <f t="shared" si="19"/>
        <v>-2.1299855424311304E-2</v>
      </c>
    </row>
    <row r="613" spans="1:9" x14ac:dyDescent="0.2">
      <c r="A613" s="40" t="s">
        <v>423</v>
      </c>
      <c r="B613" s="42">
        <v>121.52</v>
      </c>
      <c r="D613" s="42"/>
      <c r="E613" s="40">
        <v>397</v>
      </c>
      <c r="F613" s="43">
        <v>87.74</v>
      </c>
      <c r="G613" s="40">
        <f t="shared" si="18"/>
        <v>-7.4940739055299179E-3</v>
      </c>
      <c r="H613" s="40">
        <v>15.801</v>
      </c>
      <c r="I613">
        <f t="shared" si="19"/>
        <v>-2.8634874950302674E-2</v>
      </c>
    </row>
    <row r="614" spans="1:9" x14ac:dyDescent="0.2">
      <c r="A614" s="40" t="s">
        <v>424</v>
      </c>
      <c r="B614" s="42">
        <v>116.94</v>
      </c>
      <c r="D614" s="42"/>
      <c r="E614" s="40">
        <v>396</v>
      </c>
      <c r="F614" s="43">
        <v>88.4</v>
      </c>
      <c r="G614" s="40">
        <f t="shared" si="18"/>
        <v>-3.0195598082169244E-2</v>
      </c>
      <c r="H614" s="40">
        <v>16.260000000000002</v>
      </c>
      <c r="I614">
        <f t="shared" si="19"/>
        <v>-9.6818602113300442E-2</v>
      </c>
    </row>
    <row r="615" spans="1:9" x14ac:dyDescent="0.2">
      <c r="A615" s="41">
        <v>39518</v>
      </c>
      <c r="B615" s="42">
        <v>116.19</v>
      </c>
      <c r="D615" s="42"/>
      <c r="E615" s="40">
        <v>395</v>
      </c>
      <c r="F615" s="43">
        <v>91.11</v>
      </c>
      <c r="G615" s="40">
        <f t="shared" si="18"/>
        <v>-5.0361393938736293E-3</v>
      </c>
      <c r="H615" s="40">
        <v>17.913</v>
      </c>
      <c r="I615">
        <f t="shared" si="19"/>
        <v>3.9339069958991654E-2</v>
      </c>
    </row>
    <row r="616" spans="1:9" x14ac:dyDescent="0.2">
      <c r="A616" s="41">
        <v>39549</v>
      </c>
      <c r="B616" s="42">
        <v>116.29</v>
      </c>
      <c r="D616" s="42"/>
      <c r="E616" s="40">
        <v>394</v>
      </c>
      <c r="F616" s="43">
        <v>91.57</v>
      </c>
      <c r="G616" s="40">
        <f t="shared" si="18"/>
        <v>-9.8237196133722001E-4</v>
      </c>
      <c r="H616" s="40">
        <v>17.222000000000001</v>
      </c>
      <c r="I616">
        <f t="shared" si="19"/>
        <v>2.3835141941436137E-3</v>
      </c>
    </row>
    <row r="617" spans="1:9" x14ac:dyDescent="0.2">
      <c r="A617" s="41">
        <v>39579</v>
      </c>
      <c r="B617" s="42">
        <v>117.03</v>
      </c>
      <c r="D617" s="42"/>
      <c r="E617" s="40">
        <v>393</v>
      </c>
      <c r="F617" s="43">
        <v>91.66</v>
      </c>
      <c r="G617" s="40">
        <f t="shared" si="18"/>
        <v>9.5397462688206702E-2</v>
      </c>
      <c r="H617" s="40">
        <v>17.181000000000001</v>
      </c>
      <c r="I617">
        <f t="shared" si="19"/>
        <v>8.5927753609410032E-3</v>
      </c>
    </row>
    <row r="618" spans="1:9" x14ac:dyDescent="0.2">
      <c r="A618" s="41">
        <v>39610</v>
      </c>
      <c r="B618" s="42">
        <v>125</v>
      </c>
      <c r="D618" s="42"/>
      <c r="E618" s="40">
        <v>392</v>
      </c>
      <c r="F618" s="43">
        <v>83.32</v>
      </c>
      <c r="G618" s="40">
        <f t="shared" si="18"/>
        <v>-3.6877595736528428E-2</v>
      </c>
      <c r="H618" s="40">
        <v>17.033999999999999</v>
      </c>
      <c r="I618">
        <f t="shared" si="19"/>
        <v>-4.67361375284817E-2</v>
      </c>
    </row>
    <row r="619" spans="1:9" x14ac:dyDescent="0.2">
      <c r="A619" s="41">
        <v>39640</v>
      </c>
      <c r="B619" s="42">
        <v>116.37</v>
      </c>
      <c r="D619" s="42"/>
      <c r="E619" s="40">
        <v>391</v>
      </c>
      <c r="F619" s="43">
        <v>86.45</v>
      </c>
      <c r="G619" s="40">
        <f t="shared" si="18"/>
        <v>-7.6682528392370039E-2</v>
      </c>
      <c r="H619" s="40">
        <v>17.849</v>
      </c>
      <c r="I619">
        <f t="shared" si="19"/>
        <v>-5.0472183094854316E-2</v>
      </c>
    </row>
    <row r="620" spans="1:9" x14ac:dyDescent="0.2">
      <c r="A620" s="41">
        <v>39732</v>
      </c>
      <c r="B620" s="42">
        <v>116.53</v>
      </c>
      <c r="D620" s="42"/>
      <c r="E620" s="40">
        <v>390</v>
      </c>
      <c r="F620" s="43">
        <v>93.34</v>
      </c>
      <c r="G620" s="40">
        <f t="shared" si="18"/>
        <v>-1.4993103440866162E-2</v>
      </c>
      <c r="H620" s="40">
        <v>18.773</v>
      </c>
      <c r="I620">
        <f t="shared" si="19"/>
        <v>2.3607865818935619E-2</v>
      </c>
    </row>
    <row r="621" spans="1:9" x14ac:dyDescent="0.2">
      <c r="A621" s="41">
        <v>39763</v>
      </c>
      <c r="B621" s="42">
        <v>114.11</v>
      </c>
      <c r="D621" s="42"/>
      <c r="E621" s="40">
        <v>389</v>
      </c>
      <c r="F621" s="43">
        <v>94.75</v>
      </c>
      <c r="G621" s="40">
        <f t="shared" si="18"/>
        <v>5.399100019393873E-2</v>
      </c>
      <c r="H621" s="40">
        <v>18.335000000000001</v>
      </c>
      <c r="I621">
        <f t="shared" si="19"/>
        <v>-2.9238391689616852E-2</v>
      </c>
    </row>
    <row r="622" spans="1:9" x14ac:dyDescent="0.2">
      <c r="A622" s="41">
        <v>39793</v>
      </c>
      <c r="B622" s="42">
        <v>123.26</v>
      </c>
      <c r="D622" s="42"/>
      <c r="E622" s="40">
        <v>388</v>
      </c>
      <c r="F622" s="43">
        <v>89.77</v>
      </c>
      <c r="G622" s="40">
        <f t="shared" si="18"/>
        <v>3.7568964529111362E-2</v>
      </c>
      <c r="H622" s="40">
        <v>18.879000000000001</v>
      </c>
      <c r="I622">
        <f t="shared" si="19"/>
        <v>-8.0715797877503118E-3</v>
      </c>
    </row>
    <row r="623" spans="1:9" x14ac:dyDescent="0.2">
      <c r="A623" s="40" t="s">
        <v>425</v>
      </c>
      <c r="B623" s="42">
        <v>117.12</v>
      </c>
      <c r="D623" s="42"/>
      <c r="E623" s="40">
        <v>387</v>
      </c>
      <c r="F623" s="43">
        <v>86.46</v>
      </c>
      <c r="G623" s="40">
        <f t="shared" si="18"/>
        <v>-1.1613998192277916E-2</v>
      </c>
      <c r="H623" s="40">
        <v>19.032</v>
      </c>
      <c r="I623">
        <f t="shared" si="19"/>
        <v>1.7117081497375036E-2</v>
      </c>
    </row>
    <row r="624" spans="1:9" x14ac:dyDescent="0.2">
      <c r="A624" s="40" t="s">
        <v>426</v>
      </c>
      <c r="B624" s="42">
        <v>118.34</v>
      </c>
      <c r="D624" s="42"/>
      <c r="E624" s="40">
        <v>386</v>
      </c>
      <c r="F624" s="43">
        <v>87.47</v>
      </c>
      <c r="G624" s="40">
        <f t="shared" si="18"/>
        <v>-6.6089575104515668E-3</v>
      </c>
      <c r="H624" s="40">
        <v>18.709</v>
      </c>
      <c r="I624">
        <f t="shared" si="19"/>
        <v>4.186035836618969E-2</v>
      </c>
    </row>
    <row r="625" spans="1:9" x14ac:dyDescent="0.2">
      <c r="A625" s="40" t="s">
        <v>427</v>
      </c>
      <c r="B625" s="42">
        <v>115.1</v>
      </c>
      <c r="D625" s="42"/>
      <c r="E625" s="40">
        <v>385</v>
      </c>
      <c r="F625" s="43">
        <v>88.05</v>
      </c>
      <c r="G625" s="40">
        <f t="shared" si="18"/>
        <v>-7.693215905031304E-3</v>
      </c>
      <c r="H625" s="40">
        <v>17.942</v>
      </c>
      <c r="I625">
        <f t="shared" si="19"/>
        <v>-8.601845540972328E-3</v>
      </c>
    </row>
    <row r="626" spans="1:9" x14ac:dyDescent="0.2">
      <c r="A626" s="40" t="s">
        <v>428</v>
      </c>
      <c r="B626" s="42">
        <v>106.9</v>
      </c>
      <c r="D626" s="42"/>
      <c r="E626" s="40">
        <v>384</v>
      </c>
      <c r="F626" s="43">
        <v>88.73</v>
      </c>
      <c r="G626" s="40">
        <f t="shared" si="18"/>
        <v>-2.5371339742017947E-2</v>
      </c>
      <c r="H626" s="40">
        <v>18.097000000000001</v>
      </c>
      <c r="I626">
        <f t="shared" si="19"/>
        <v>5.7486763948637373E-2</v>
      </c>
    </row>
    <row r="627" spans="1:9" x14ac:dyDescent="0.2">
      <c r="A627" s="40" t="s">
        <v>429</v>
      </c>
      <c r="B627" s="42">
        <v>102.48</v>
      </c>
      <c r="D627" s="42"/>
      <c r="E627" s="40">
        <v>383</v>
      </c>
      <c r="F627" s="43">
        <v>91.01</v>
      </c>
      <c r="G627" s="40">
        <f t="shared" si="18"/>
        <v>1.8696733519066094E-3</v>
      </c>
      <c r="H627" s="40">
        <v>17.085999999999999</v>
      </c>
      <c r="I627">
        <f t="shared" si="19"/>
        <v>-4.0545706795272321E-2</v>
      </c>
    </row>
    <row r="628" spans="1:9" x14ac:dyDescent="0.2">
      <c r="A628" s="40" t="s">
        <v>430</v>
      </c>
      <c r="B628" s="42">
        <v>106.71</v>
      </c>
      <c r="D628" s="42"/>
      <c r="E628" s="40">
        <v>382</v>
      </c>
      <c r="F628" s="43">
        <v>90.84</v>
      </c>
      <c r="G628" s="40">
        <f t="shared" si="18"/>
        <v>8.8457011988262585E-3</v>
      </c>
      <c r="H628" s="40">
        <v>17.792999999999999</v>
      </c>
      <c r="I628">
        <f t="shared" si="19"/>
        <v>-6.5054742618580561E-2</v>
      </c>
    </row>
    <row r="629" spans="1:9" x14ac:dyDescent="0.2">
      <c r="A629" s="40" t="s">
        <v>431</v>
      </c>
      <c r="B629" s="42">
        <v>99.48</v>
      </c>
      <c r="D629" s="42"/>
      <c r="E629" s="40">
        <v>381</v>
      </c>
      <c r="F629" s="43">
        <v>90.04</v>
      </c>
      <c r="G629" s="40">
        <f t="shared" si="18"/>
        <v>2.8729514920358436E-2</v>
      </c>
      <c r="H629" s="40">
        <v>18.989000000000001</v>
      </c>
      <c r="I629">
        <f t="shared" si="19"/>
        <v>-1.1831359873527521E-2</v>
      </c>
    </row>
    <row r="630" spans="1:9" x14ac:dyDescent="0.2">
      <c r="A630" s="40" t="s">
        <v>432</v>
      </c>
      <c r="B630" s="42">
        <v>92.31</v>
      </c>
      <c r="D630" s="42"/>
      <c r="E630" s="40">
        <v>380</v>
      </c>
      <c r="F630" s="43">
        <v>87.49</v>
      </c>
      <c r="G630" s="40">
        <f t="shared" si="18"/>
        <v>6.1912603178810484E-3</v>
      </c>
      <c r="H630" s="40">
        <v>19.215</v>
      </c>
      <c r="I630">
        <f t="shared" si="19"/>
        <v>1.6899740925626253E-2</v>
      </c>
    </row>
    <row r="631" spans="1:9" x14ac:dyDescent="0.2">
      <c r="A631" s="40" t="s">
        <v>433</v>
      </c>
      <c r="B631" s="42">
        <v>90.28</v>
      </c>
      <c r="D631" s="42"/>
      <c r="E631" s="40">
        <v>379</v>
      </c>
      <c r="F631" s="43">
        <v>86.95</v>
      </c>
      <c r="G631" s="40">
        <f t="shared" si="18"/>
        <v>3.2970019237569897E-2</v>
      </c>
      <c r="H631" s="40">
        <v>18.893000000000001</v>
      </c>
      <c r="I631">
        <f t="shared" si="19"/>
        <v>1.9616332259345275E-2</v>
      </c>
    </row>
    <row r="632" spans="1:9" x14ac:dyDescent="0.2">
      <c r="A632" s="40" t="s">
        <v>434</v>
      </c>
      <c r="B632" s="42">
        <v>89.32</v>
      </c>
      <c r="D632" s="42"/>
      <c r="E632" s="40">
        <v>378</v>
      </c>
      <c r="F632" s="43">
        <v>84.13</v>
      </c>
      <c r="G632" s="40">
        <f t="shared" si="18"/>
        <v>5.2437255179395275E-3</v>
      </c>
      <c r="H632" s="40">
        <v>18.526</v>
      </c>
      <c r="I632">
        <f t="shared" si="19"/>
        <v>4.5987042388536646E-3</v>
      </c>
    </row>
    <row r="633" spans="1:9" x14ac:dyDescent="0.2">
      <c r="A633" s="40" t="s">
        <v>435</v>
      </c>
      <c r="B633" s="42">
        <v>88.41</v>
      </c>
      <c r="D633" s="42"/>
      <c r="E633" s="40">
        <v>377</v>
      </c>
      <c r="F633" s="43">
        <v>83.69</v>
      </c>
      <c r="G633" s="40">
        <f t="shared" si="18"/>
        <v>-1.0814770567394896E-2</v>
      </c>
      <c r="H633" s="40">
        <v>18.440999999999999</v>
      </c>
      <c r="I633">
        <f t="shared" si="19"/>
        <v>1.5189888825675705E-2</v>
      </c>
    </row>
    <row r="634" spans="1:9" x14ac:dyDescent="0.2">
      <c r="A634" s="41">
        <v>39459</v>
      </c>
      <c r="B634" s="42">
        <v>90.49</v>
      </c>
      <c r="D634" s="42"/>
      <c r="E634" s="40">
        <v>376</v>
      </c>
      <c r="F634" s="43">
        <v>84.6</v>
      </c>
      <c r="G634" s="40">
        <f t="shared" si="18"/>
        <v>-4.4729244883117046E-2</v>
      </c>
      <c r="H634" s="40">
        <v>18.163</v>
      </c>
      <c r="I634">
        <f t="shared" si="19"/>
        <v>9.9040840560257314E-3</v>
      </c>
    </row>
    <row r="635" spans="1:9" x14ac:dyDescent="0.2">
      <c r="A635" s="41">
        <v>39490</v>
      </c>
      <c r="B635" s="42">
        <v>87.08</v>
      </c>
      <c r="D635" s="42"/>
      <c r="E635" s="40">
        <v>375</v>
      </c>
      <c r="F635" s="43">
        <v>88.47</v>
      </c>
      <c r="G635" s="40">
        <f t="shared" si="18"/>
        <v>2.4370521367963152E-2</v>
      </c>
      <c r="H635" s="40">
        <v>17.984000000000002</v>
      </c>
      <c r="I635">
        <f t="shared" si="19"/>
        <v>1.0845972033537E-2</v>
      </c>
    </row>
    <row r="636" spans="1:9" x14ac:dyDescent="0.2">
      <c r="A636" s="41">
        <v>39519</v>
      </c>
      <c r="B636" s="42">
        <v>84.72</v>
      </c>
      <c r="D636" s="42"/>
      <c r="E636" s="40">
        <v>374</v>
      </c>
      <c r="F636" s="43">
        <v>86.34</v>
      </c>
      <c r="G636" s="40">
        <f t="shared" si="18"/>
        <v>7.2647909930738858E-2</v>
      </c>
      <c r="H636" s="40">
        <v>17.79</v>
      </c>
      <c r="I636">
        <f t="shared" si="19"/>
        <v>7.3278118108535725E-2</v>
      </c>
    </row>
    <row r="637" spans="1:9" x14ac:dyDescent="0.2">
      <c r="A637" s="41">
        <v>39550</v>
      </c>
      <c r="B637" s="42">
        <v>83.94</v>
      </c>
      <c r="D637" s="42"/>
      <c r="E637" s="40">
        <v>373</v>
      </c>
      <c r="F637" s="43">
        <v>80.290000000000006</v>
      </c>
      <c r="G637" s="40">
        <f t="shared" si="18"/>
        <v>-7.3214945156232433E-3</v>
      </c>
      <c r="H637" s="40">
        <v>16.533000000000001</v>
      </c>
      <c r="I637">
        <f t="shared" si="19"/>
        <v>-2.9265729590025859E-2</v>
      </c>
    </row>
    <row r="638" spans="1:9" x14ac:dyDescent="0.2">
      <c r="A638" s="41">
        <v>39580</v>
      </c>
      <c r="B638" s="42">
        <v>82.9</v>
      </c>
      <c r="D638" s="42"/>
      <c r="E638" s="40">
        <v>372</v>
      </c>
      <c r="F638" s="43">
        <v>80.88</v>
      </c>
      <c r="G638" s="40">
        <f t="shared" si="18"/>
        <v>-1.0943853461669914E-2</v>
      </c>
      <c r="H638" s="40">
        <v>17.024000000000001</v>
      </c>
      <c r="I638">
        <f t="shared" si="19"/>
        <v>-1.7180051587672253E-2</v>
      </c>
    </row>
    <row r="639" spans="1:9" x14ac:dyDescent="0.2">
      <c r="A639" s="41">
        <v>39672</v>
      </c>
      <c r="B639" s="42">
        <v>82.1</v>
      </c>
      <c r="D639" s="42"/>
      <c r="E639" s="40">
        <v>371</v>
      </c>
      <c r="F639" s="43">
        <v>81.77</v>
      </c>
      <c r="G639" s="40">
        <f t="shared" si="18"/>
        <v>-3.673882564575752E-2</v>
      </c>
      <c r="H639" s="40">
        <v>17.318999999999999</v>
      </c>
      <c r="I639">
        <f t="shared" si="19"/>
        <v>-4.1341520031983825E-2</v>
      </c>
    </row>
    <row r="640" spans="1:9" x14ac:dyDescent="0.2">
      <c r="A640" s="41">
        <v>39703</v>
      </c>
      <c r="B640" s="42">
        <v>80.75</v>
      </c>
      <c r="D640" s="42"/>
      <c r="E640" s="40">
        <v>370</v>
      </c>
      <c r="F640" s="43">
        <v>84.83</v>
      </c>
      <c r="G640" s="40">
        <f t="shared" si="18"/>
        <v>1.1977611322718032E-2</v>
      </c>
      <c r="H640" s="40">
        <v>18.05</v>
      </c>
      <c r="I640">
        <f t="shared" si="19"/>
        <v>1.3554046359712663E-2</v>
      </c>
    </row>
    <row r="641" spans="1:9" x14ac:dyDescent="0.2">
      <c r="A641" s="41">
        <v>39733</v>
      </c>
      <c r="B641" s="42">
        <v>86.46</v>
      </c>
      <c r="D641" s="42"/>
      <c r="E641" s="40">
        <v>369</v>
      </c>
      <c r="F641" s="43">
        <v>83.82</v>
      </c>
      <c r="G641" s="40">
        <f t="shared" si="18"/>
        <v>-8.4348584439109114E-3</v>
      </c>
      <c r="H641" s="40">
        <v>17.806999999999999</v>
      </c>
      <c r="I641">
        <f t="shared" si="19"/>
        <v>4.6848993359648892E-2</v>
      </c>
    </row>
    <row r="642" spans="1:9" x14ac:dyDescent="0.2">
      <c r="A642" s="41">
        <v>39764</v>
      </c>
      <c r="B642" s="42">
        <v>88.68</v>
      </c>
      <c r="D642" s="42"/>
      <c r="E642" s="40">
        <v>368</v>
      </c>
      <c r="F642" s="43">
        <v>84.53</v>
      </c>
      <c r="G642" s="40">
        <f t="shared" si="18"/>
        <v>-6.0152330928562453E-3</v>
      </c>
      <c r="H642" s="40">
        <v>16.992000000000001</v>
      </c>
      <c r="I642">
        <f t="shared" si="19"/>
        <v>5.3861263196726933E-2</v>
      </c>
    </row>
    <row r="643" spans="1:9" x14ac:dyDescent="0.2">
      <c r="A643" s="41">
        <v>39794</v>
      </c>
      <c r="B643" s="42">
        <v>86.27</v>
      </c>
      <c r="D643" s="42"/>
      <c r="E643" s="40">
        <v>367</v>
      </c>
      <c r="F643" s="43">
        <v>85.04</v>
      </c>
      <c r="G643" s="40">
        <f t="shared" ref="G643:G706" si="20">LN(F643/F644)</f>
        <v>-1.9908684793275986E-2</v>
      </c>
      <c r="H643" s="40">
        <v>16.100999999999999</v>
      </c>
      <c r="I643">
        <f t="shared" ref="I643:I706" si="21">LN(H643/H644)</f>
        <v>2.1279401931343655E-2</v>
      </c>
    </row>
    <row r="644" spans="1:9" x14ac:dyDescent="0.2">
      <c r="A644" s="40" t="s">
        <v>436</v>
      </c>
      <c r="B644" s="42">
        <v>82.03</v>
      </c>
      <c r="D644" s="42"/>
      <c r="E644" s="40">
        <v>366</v>
      </c>
      <c r="F644" s="43">
        <v>86.75</v>
      </c>
      <c r="G644" s="40">
        <f t="shared" si="20"/>
        <v>-2.121429923224246E-2</v>
      </c>
      <c r="H644" s="40">
        <v>15.762</v>
      </c>
      <c r="I644">
        <f t="shared" si="21"/>
        <v>2.5054307228860446E-2</v>
      </c>
    </row>
    <row r="645" spans="1:9" x14ac:dyDescent="0.2">
      <c r="A645" s="40" t="s">
        <v>437</v>
      </c>
      <c r="B645" s="42">
        <v>79.989999999999995</v>
      </c>
      <c r="D645" s="42"/>
      <c r="E645" s="40">
        <v>365</v>
      </c>
      <c r="F645" s="43">
        <v>88.61</v>
      </c>
      <c r="G645" s="40">
        <f t="shared" si="20"/>
        <v>-3.6020960838436339E-2</v>
      </c>
      <c r="H645" s="40">
        <v>15.372</v>
      </c>
      <c r="I645">
        <f t="shared" si="21"/>
        <v>1.3623475048509059E-2</v>
      </c>
    </row>
    <row r="646" spans="1:9" x14ac:dyDescent="0.2">
      <c r="A646" s="40" t="s">
        <v>438</v>
      </c>
      <c r="B646" s="42">
        <v>75.17</v>
      </c>
      <c r="D646" s="42"/>
      <c r="E646" s="40">
        <v>364</v>
      </c>
      <c r="F646" s="43">
        <v>91.86</v>
      </c>
      <c r="G646" s="40">
        <f t="shared" si="20"/>
        <v>2.7480623504346685E-2</v>
      </c>
      <c r="H646" s="40">
        <v>15.164</v>
      </c>
      <c r="I646">
        <f t="shared" si="21"/>
        <v>5.4222178736331684E-3</v>
      </c>
    </row>
    <row r="647" spans="1:9" x14ac:dyDescent="0.2">
      <c r="A647" s="40" t="s">
        <v>439</v>
      </c>
      <c r="B647" s="42">
        <v>81.260000000000005</v>
      </c>
      <c r="D647" s="42"/>
      <c r="E647" s="40">
        <v>363</v>
      </c>
      <c r="F647" s="43">
        <v>89.37</v>
      </c>
      <c r="G647" s="40">
        <f t="shared" si="20"/>
        <v>-1.5103007788236976E-2</v>
      </c>
      <c r="H647" s="40">
        <v>15.082000000000001</v>
      </c>
      <c r="I647">
        <f t="shared" si="21"/>
        <v>-4.6305566632670204E-3</v>
      </c>
    </row>
    <row r="648" spans="1:9" x14ac:dyDescent="0.2">
      <c r="A648" s="40" t="s">
        <v>440</v>
      </c>
      <c r="B648" s="42">
        <v>87.69</v>
      </c>
      <c r="D648" s="42"/>
      <c r="E648" s="40">
        <v>362</v>
      </c>
      <c r="F648" s="43">
        <v>90.73</v>
      </c>
      <c r="G648" s="40">
        <f t="shared" si="20"/>
        <v>2.6487158184958022E-3</v>
      </c>
      <c r="H648" s="40">
        <v>15.151999999999999</v>
      </c>
      <c r="I648">
        <f t="shared" si="21"/>
        <v>-4.4279579344498325E-2</v>
      </c>
    </row>
    <row r="649" spans="1:9" x14ac:dyDescent="0.2">
      <c r="A649" s="40" t="s">
        <v>441</v>
      </c>
      <c r="B649" s="42">
        <v>87.04</v>
      </c>
      <c r="D649" s="42"/>
      <c r="E649" s="40">
        <v>361</v>
      </c>
      <c r="F649" s="43">
        <v>90.49</v>
      </c>
      <c r="G649" s="40">
        <f t="shared" si="20"/>
        <v>4.7632324896163042E-3</v>
      </c>
      <c r="H649" s="40">
        <v>15.837999999999999</v>
      </c>
      <c r="I649">
        <f t="shared" si="21"/>
        <v>-1.2619890619864382E-3</v>
      </c>
    </row>
    <row r="650" spans="1:9" x14ac:dyDescent="0.2">
      <c r="A650" s="40" t="s">
        <v>442</v>
      </c>
      <c r="B650" s="42">
        <v>86.39</v>
      </c>
      <c r="D650" s="42"/>
      <c r="E650" s="40">
        <v>360</v>
      </c>
      <c r="F650" s="43">
        <v>90.06</v>
      </c>
      <c r="G650" s="40">
        <f t="shared" si="20"/>
        <v>2.257127993121048E-2</v>
      </c>
      <c r="H650" s="40">
        <v>15.858000000000001</v>
      </c>
      <c r="I650">
        <f t="shared" si="21"/>
        <v>4.6994577049942518E-2</v>
      </c>
    </row>
    <row r="651" spans="1:9" x14ac:dyDescent="0.2">
      <c r="A651" s="40" t="s">
        <v>443</v>
      </c>
      <c r="B651" s="42">
        <v>85.1</v>
      </c>
      <c r="D651" s="42"/>
      <c r="E651" s="40">
        <v>359</v>
      </c>
      <c r="F651" s="43">
        <v>88.05</v>
      </c>
      <c r="G651" s="40">
        <f t="shared" si="20"/>
        <v>3.8317089743802019E-2</v>
      </c>
      <c r="H651" s="40">
        <v>15.13</v>
      </c>
      <c r="I651">
        <f t="shared" si="21"/>
        <v>1.1032211314364944E-2</v>
      </c>
    </row>
    <row r="652" spans="1:9" x14ac:dyDescent="0.2">
      <c r="A652" s="40" t="s">
        <v>444</v>
      </c>
      <c r="B652" s="42">
        <v>83.74</v>
      </c>
      <c r="D652" s="42"/>
      <c r="E652" s="40">
        <v>358</v>
      </c>
      <c r="F652" s="43">
        <v>84.74</v>
      </c>
      <c r="G652" s="40">
        <f t="shared" si="20"/>
        <v>-1.3363227812167141E-2</v>
      </c>
      <c r="H652" s="40">
        <v>14.964</v>
      </c>
      <c r="I652">
        <f t="shared" si="21"/>
        <v>2.9913716860232867E-2</v>
      </c>
    </row>
    <row r="653" spans="1:9" x14ac:dyDescent="0.2">
      <c r="A653" s="40" t="s">
        <v>445</v>
      </c>
      <c r="B653" s="42">
        <v>83.96</v>
      </c>
      <c r="D653" s="42"/>
      <c r="E653" s="40">
        <v>357</v>
      </c>
      <c r="F653" s="43">
        <v>85.88</v>
      </c>
      <c r="G653" s="40">
        <f t="shared" si="20"/>
        <v>0</v>
      </c>
      <c r="H653" s="40">
        <v>14.523</v>
      </c>
      <c r="I653">
        <f t="shared" si="21"/>
        <v>-4.2860815352214275E-2</v>
      </c>
    </row>
    <row r="654" spans="1:9" x14ac:dyDescent="0.2">
      <c r="A654" s="40" t="s">
        <v>446</v>
      </c>
      <c r="B654" s="42">
        <v>80.89</v>
      </c>
      <c r="D654" s="42"/>
      <c r="E654" s="40">
        <v>356</v>
      </c>
      <c r="F654" s="43">
        <v>85.88</v>
      </c>
      <c r="G654" s="40">
        <f t="shared" si="20"/>
        <v>-1.6399489834976296E-2</v>
      </c>
      <c r="H654" s="40">
        <v>15.159000000000001</v>
      </c>
      <c r="I654">
        <f t="shared" si="21"/>
        <v>-2.4951621809169204E-2</v>
      </c>
    </row>
    <row r="655" spans="1:9" x14ac:dyDescent="0.2">
      <c r="A655" s="40" t="s">
        <v>447</v>
      </c>
      <c r="B655" s="42">
        <v>85.6</v>
      </c>
      <c r="D655" s="42"/>
      <c r="E655" s="40">
        <v>355</v>
      </c>
      <c r="F655" s="43">
        <v>87.3</v>
      </c>
      <c r="G655" s="40">
        <f t="shared" si="20"/>
        <v>2.071713467769255E-2</v>
      </c>
      <c r="H655" s="40">
        <v>15.542</v>
      </c>
      <c r="I655">
        <f t="shared" si="21"/>
        <v>-2.7917052165220509E-2</v>
      </c>
    </row>
    <row r="656" spans="1:9" x14ac:dyDescent="0.2">
      <c r="A656" s="41">
        <v>39845</v>
      </c>
      <c r="B656" s="42">
        <v>84.41</v>
      </c>
      <c r="D656" s="42"/>
      <c r="E656" s="40">
        <v>354</v>
      </c>
      <c r="F656" s="43">
        <v>85.51</v>
      </c>
      <c r="G656" s="40">
        <f t="shared" si="20"/>
        <v>-4.4375490931897271E-2</v>
      </c>
      <c r="H656" s="40">
        <v>15.981999999999999</v>
      </c>
      <c r="I656">
        <f t="shared" si="21"/>
        <v>-5.4014529025903334E-2</v>
      </c>
    </row>
    <row r="657" spans="1:9" x14ac:dyDescent="0.2">
      <c r="A657" s="41">
        <v>39934</v>
      </c>
      <c r="B657" s="42">
        <v>90.89</v>
      </c>
      <c r="D657" s="42"/>
      <c r="E657" s="40">
        <v>353</v>
      </c>
      <c r="F657" s="43">
        <v>89.39</v>
      </c>
      <c r="G657" s="40">
        <f t="shared" si="20"/>
        <v>5.2717300037653098E-3</v>
      </c>
      <c r="H657" s="40">
        <v>16.869</v>
      </c>
      <c r="I657">
        <f t="shared" si="21"/>
        <v>-1.5120158625826092E-2</v>
      </c>
    </row>
    <row r="658" spans="1:9" x14ac:dyDescent="0.2">
      <c r="A658" s="41">
        <v>39965</v>
      </c>
      <c r="B658" s="42">
        <v>90.33</v>
      </c>
      <c r="D658" s="42"/>
      <c r="E658" s="40">
        <v>352</v>
      </c>
      <c r="F658" s="43">
        <v>88.92</v>
      </c>
      <c r="G658" s="40">
        <f t="shared" si="20"/>
        <v>-1.8937850142996333E-2</v>
      </c>
      <c r="H658" s="40">
        <v>17.126000000000001</v>
      </c>
      <c r="I658">
        <f t="shared" si="21"/>
        <v>5.4044514013846606E-2</v>
      </c>
    </row>
    <row r="659" spans="1:9" x14ac:dyDescent="0.2">
      <c r="A659" s="41">
        <v>39995</v>
      </c>
      <c r="B659" s="42">
        <v>93.99</v>
      </c>
      <c r="D659" s="42"/>
      <c r="E659" s="40">
        <v>351</v>
      </c>
      <c r="F659" s="43">
        <v>90.62</v>
      </c>
      <c r="G659" s="40">
        <f t="shared" si="20"/>
        <v>3.412227786573982E-2</v>
      </c>
      <c r="H659" s="40">
        <v>16.225000000000001</v>
      </c>
      <c r="I659">
        <f t="shared" si="21"/>
        <v>-8.2860685844471683E-3</v>
      </c>
    </row>
    <row r="660" spans="1:9" x14ac:dyDescent="0.2">
      <c r="A660" s="41">
        <v>40026</v>
      </c>
      <c r="B660" s="42">
        <v>93.14</v>
      </c>
      <c r="D660" s="42"/>
      <c r="E660" s="40">
        <v>350</v>
      </c>
      <c r="F660" s="43">
        <v>87.58</v>
      </c>
      <c r="G660" s="40">
        <f t="shared" si="20"/>
        <v>-4.2036146383600641E-2</v>
      </c>
      <c r="H660" s="40">
        <v>16.36</v>
      </c>
      <c r="I660">
        <f t="shared" si="21"/>
        <v>-1.2513071001471371E-2</v>
      </c>
    </row>
    <row r="661" spans="1:9" x14ac:dyDescent="0.2">
      <c r="A661" s="41">
        <v>40057</v>
      </c>
      <c r="B661" s="42">
        <v>91.52</v>
      </c>
      <c r="D661" s="42"/>
      <c r="E661" s="40">
        <v>349</v>
      </c>
      <c r="F661" s="43">
        <v>91.34</v>
      </c>
      <c r="G661" s="40">
        <f t="shared" si="20"/>
        <v>-7.3536943621980003E-2</v>
      </c>
      <c r="H661" s="40">
        <v>16.565999999999999</v>
      </c>
      <c r="I661">
        <f t="shared" si="21"/>
        <v>4.2291946357082701E-2</v>
      </c>
    </row>
    <row r="662" spans="1:9" x14ac:dyDescent="0.2">
      <c r="A662" s="41">
        <v>40148</v>
      </c>
      <c r="B662" s="42">
        <v>93.26</v>
      </c>
      <c r="D662" s="42"/>
      <c r="E662" s="40">
        <v>348</v>
      </c>
      <c r="F662" s="43">
        <v>98.31</v>
      </c>
      <c r="G662" s="40">
        <f t="shared" si="20"/>
        <v>-1.3638641474425523E-2</v>
      </c>
      <c r="H662" s="40">
        <v>15.88</v>
      </c>
      <c r="I662">
        <f t="shared" si="21"/>
        <v>1.7725441053877283E-2</v>
      </c>
    </row>
    <row r="663" spans="1:9" x14ac:dyDescent="0.2">
      <c r="A663" s="40" t="s">
        <v>448</v>
      </c>
      <c r="B663" s="42">
        <v>92.5</v>
      </c>
      <c r="D663" s="42"/>
      <c r="E663" s="40">
        <v>347</v>
      </c>
      <c r="F663" s="43">
        <v>99.66</v>
      </c>
      <c r="G663" s="40">
        <f t="shared" si="20"/>
        <v>-4.6177884978701927E-2</v>
      </c>
      <c r="H663" s="40">
        <v>15.601000000000001</v>
      </c>
      <c r="I663">
        <f t="shared" si="21"/>
        <v>-5.7660392393576766E-2</v>
      </c>
    </row>
    <row r="664" spans="1:9" x14ac:dyDescent="0.2">
      <c r="A664" s="40" t="s">
        <v>449</v>
      </c>
      <c r="B664" s="42">
        <v>99.88</v>
      </c>
      <c r="D664" s="42"/>
      <c r="E664" s="40">
        <v>346</v>
      </c>
      <c r="F664" s="43">
        <v>104.37</v>
      </c>
      <c r="G664" s="40">
        <f t="shared" si="20"/>
        <v>-5.3083393799652379E-2</v>
      </c>
      <c r="H664" s="40">
        <v>16.527000000000001</v>
      </c>
      <c r="I664">
        <f t="shared" si="21"/>
        <v>4.2709577914804953E-2</v>
      </c>
    </row>
    <row r="665" spans="1:9" x14ac:dyDescent="0.2">
      <c r="A665" s="40" t="s">
        <v>450</v>
      </c>
      <c r="B665" s="42">
        <v>96.44</v>
      </c>
      <c r="D665" s="42"/>
      <c r="E665" s="40">
        <v>345</v>
      </c>
      <c r="F665" s="43">
        <v>110.06</v>
      </c>
      <c r="G665" s="40">
        <f t="shared" si="20"/>
        <v>-3.8325695822498299E-2</v>
      </c>
      <c r="H665" s="40">
        <v>15.836</v>
      </c>
      <c r="I665">
        <f t="shared" si="21"/>
        <v>1.2006623923964021E-2</v>
      </c>
    </row>
    <row r="666" spans="1:9" x14ac:dyDescent="0.2">
      <c r="A666" s="40" t="s">
        <v>451</v>
      </c>
      <c r="B666" s="42">
        <v>98.79</v>
      </c>
      <c r="D666" s="42"/>
      <c r="E666" s="40">
        <v>344</v>
      </c>
      <c r="F666" s="43">
        <v>114.36</v>
      </c>
      <c r="G666" s="40">
        <f t="shared" si="20"/>
        <v>8.1873401842674762E-2</v>
      </c>
      <c r="H666" s="40">
        <v>15.647</v>
      </c>
      <c r="I666">
        <f t="shared" si="21"/>
        <v>-8.1403556227564955E-2</v>
      </c>
    </row>
    <row r="667" spans="1:9" x14ac:dyDescent="0.2">
      <c r="A667" s="40" t="s">
        <v>452</v>
      </c>
      <c r="B667" s="42">
        <v>104.02</v>
      </c>
      <c r="D667" s="42"/>
      <c r="E667" s="40">
        <v>343</v>
      </c>
      <c r="F667" s="43">
        <v>105.37</v>
      </c>
      <c r="G667" s="40">
        <f t="shared" si="20"/>
        <v>-5.2142321733119577E-2</v>
      </c>
      <c r="H667" s="40">
        <v>16.974</v>
      </c>
      <c r="I667">
        <f t="shared" si="21"/>
        <v>-6.1352113768163186E-2</v>
      </c>
    </row>
    <row r="668" spans="1:9" x14ac:dyDescent="0.2">
      <c r="A668" s="40" t="s">
        <v>453</v>
      </c>
      <c r="B668" s="42">
        <v>100.81</v>
      </c>
      <c r="D668" s="42"/>
      <c r="E668" s="40">
        <v>342</v>
      </c>
      <c r="F668" s="43">
        <v>111.01</v>
      </c>
      <c r="G668" s="40">
        <f t="shared" si="20"/>
        <v>-2.4118999438243235E-2</v>
      </c>
      <c r="H668" s="40">
        <v>18.047999999999998</v>
      </c>
      <c r="I668">
        <f t="shared" si="21"/>
        <v>-3.2704026417807702E-2</v>
      </c>
    </row>
    <row r="669" spans="1:9" x14ac:dyDescent="0.2">
      <c r="A669" s="40" t="s">
        <v>454</v>
      </c>
      <c r="B669" s="42">
        <v>98.87</v>
      </c>
      <c r="D669" s="42"/>
      <c r="E669" s="40">
        <v>341</v>
      </c>
      <c r="F669" s="43">
        <v>113.72</v>
      </c>
      <c r="G669" s="40">
        <f t="shared" si="20"/>
        <v>0.13107223101282608</v>
      </c>
      <c r="H669" s="40">
        <v>18.648</v>
      </c>
      <c r="I669">
        <f t="shared" si="21"/>
        <v>-1.4797736352584821E-2</v>
      </c>
    </row>
    <row r="670" spans="1:9" x14ac:dyDescent="0.2">
      <c r="A670" s="40" t="s">
        <v>455</v>
      </c>
      <c r="B670" s="42">
        <v>95.7</v>
      </c>
      <c r="D670" s="42"/>
      <c r="E670" s="40">
        <v>340</v>
      </c>
      <c r="F670" s="43">
        <v>99.75</v>
      </c>
      <c r="G670" s="40">
        <f t="shared" si="20"/>
        <v>9.3670423523688796E-3</v>
      </c>
      <c r="H670" s="40">
        <v>18.925999999999998</v>
      </c>
      <c r="I670">
        <f t="shared" si="21"/>
        <v>7.4247265137171439E-3</v>
      </c>
    </row>
    <row r="671" spans="1:9" x14ac:dyDescent="0.2">
      <c r="A671" s="40" t="s">
        <v>456</v>
      </c>
      <c r="B671" s="42">
        <v>96.17</v>
      </c>
      <c r="D671" s="42"/>
      <c r="E671" s="40">
        <v>339</v>
      </c>
      <c r="F671" s="43">
        <v>98.82</v>
      </c>
      <c r="G671" s="40">
        <f t="shared" si="20"/>
        <v>6.4147313853428423E-2</v>
      </c>
      <c r="H671" s="40">
        <v>18.786000000000001</v>
      </c>
      <c r="I671">
        <f t="shared" si="21"/>
        <v>3.519440522877866E-3</v>
      </c>
    </row>
    <row r="672" spans="1:9" x14ac:dyDescent="0.2">
      <c r="A672" s="40" t="s">
        <v>457</v>
      </c>
      <c r="B672" s="42">
        <v>95.48</v>
      </c>
      <c r="D672" s="42"/>
      <c r="E672" s="40">
        <v>338</v>
      </c>
      <c r="F672" s="43">
        <v>92.68</v>
      </c>
      <c r="G672" s="40">
        <f t="shared" si="20"/>
        <v>5.386343443060429E-2</v>
      </c>
      <c r="H672" s="40">
        <v>18.72</v>
      </c>
      <c r="I672">
        <f t="shared" si="21"/>
        <v>-4.5528848600420654E-2</v>
      </c>
    </row>
    <row r="673" spans="1:9" x14ac:dyDescent="0.2">
      <c r="A673" s="40" t="s">
        <v>458</v>
      </c>
      <c r="B673" s="42">
        <v>98.22</v>
      </c>
      <c r="D673" s="42"/>
      <c r="E673" s="40">
        <v>337</v>
      </c>
      <c r="F673" s="43">
        <v>87.82</v>
      </c>
      <c r="G673" s="40">
        <f t="shared" si="20"/>
        <v>-1.9284499512493357E-2</v>
      </c>
      <c r="H673" s="40">
        <v>19.591999999999999</v>
      </c>
      <c r="I673">
        <f t="shared" si="21"/>
        <v>6.7127960403882317E-2</v>
      </c>
    </row>
    <row r="674" spans="1:9" x14ac:dyDescent="0.2">
      <c r="A674" s="40" t="s">
        <v>459</v>
      </c>
      <c r="B674" s="42">
        <v>98.98</v>
      </c>
      <c r="D674" s="42"/>
      <c r="E674" s="40">
        <v>336</v>
      </c>
      <c r="F674" s="43">
        <v>89.53</v>
      </c>
      <c r="G674" s="40">
        <f t="shared" si="20"/>
        <v>-1.0776086059815776E-2</v>
      </c>
      <c r="H674" s="40">
        <v>18.32</v>
      </c>
      <c r="I674">
        <f t="shared" si="21"/>
        <v>-1.9031716298215963E-2</v>
      </c>
    </row>
    <row r="675" spans="1:9" x14ac:dyDescent="0.2">
      <c r="A675" s="40" t="s">
        <v>460</v>
      </c>
      <c r="B675" s="42">
        <v>98.72</v>
      </c>
      <c r="D675" s="42"/>
      <c r="E675" s="40">
        <v>335</v>
      </c>
      <c r="F675" s="43">
        <v>90.5</v>
      </c>
      <c r="G675" s="40">
        <f t="shared" si="20"/>
        <v>-6.3883904896584187E-3</v>
      </c>
      <c r="H675" s="40">
        <v>18.672000000000001</v>
      </c>
      <c r="I675">
        <f t="shared" si="21"/>
        <v>-7.4167295666833855E-3</v>
      </c>
    </row>
    <row r="676" spans="1:9" x14ac:dyDescent="0.2">
      <c r="A676" s="41">
        <v>39846</v>
      </c>
      <c r="B676" s="42">
        <v>96.48</v>
      </c>
      <c r="D676" s="42"/>
      <c r="E676" s="40">
        <v>334</v>
      </c>
      <c r="F676" s="43">
        <v>91.08</v>
      </c>
      <c r="G676" s="40">
        <f t="shared" si="20"/>
        <v>-3.3978220885714479E-3</v>
      </c>
      <c r="H676" s="40">
        <v>18.811</v>
      </c>
      <c r="I676">
        <f t="shared" si="21"/>
        <v>5.2382276045468433E-2</v>
      </c>
    </row>
    <row r="677" spans="1:9" x14ac:dyDescent="0.2">
      <c r="A677" s="41">
        <v>39874</v>
      </c>
      <c r="B677" s="42">
        <v>92.25</v>
      </c>
      <c r="D677" s="42"/>
      <c r="E677" s="40">
        <v>333</v>
      </c>
      <c r="F677" s="43">
        <v>91.39</v>
      </c>
      <c r="G677" s="40">
        <f t="shared" si="20"/>
        <v>-1.8538120998910997E-2</v>
      </c>
      <c r="H677" s="40">
        <v>17.850999999999999</v>
      </c>
      <c r="I677">
        <f t="shared" si="21"/>
        <v>5.0317855620655168E-2</v>
      </c>
    </row>
    <row r="678" spans="1:9" x14ac:dyDescent="0.2">
      <c r="A678" s="41">
        <v>39905</v>
      </c>
      <c r="B678" s="42">
        <v>91.57</v>
      </c>
      <c r="D678" s="42"/>
      <c r="E678" s="40">
        <v>332</v>
      </c>
      <c r="F678" s="43">
        <v>93.1</v>
      </c>
      <c r="G678" s="40">
        <f t="shared" si="20"/>
        <v>-5.9970194723742909E-3</v>
      </c>
      <c r="H678" s="40">
        <v>16.975000000000001</v>
      </c>
      <c r="I678">
        <f t="shared" si="21"/>
        <v>4.9573976424655282E-2</v>
      </c>
    </row>
    <row r="679" spans="1:9" x14ac:dyDescent="0.2">
      <c r="A679" s="41">
        <v>39935</v>
      </c>
      <c r="B679" s="42">
        <v>92.26</v>
      </c>
      <c r="D679" s="42"/>
      <c r="E679" s="40">
        <v>331</v>
      </c>
      <c r="F679" s="43">
        <v>93.66</v>
      </c>
      <c r="G679" s="40">
        <f t="shared" si="20"/>
        <v>-2.7277769412497994E-2</v>
      </c>
      <c r="H679" s="40">
        <v>16.154</v>
      </c>
      <c r="I679">
        <f t="shared" si="21"/>
        <v>-4.5027574710548468E-2</v>
      </c>
    </row>
    <row r="680" spans="1:9" x14ac:dyDescent="0.2">
      <c r="A680" s="41">
        <v>39966</v>
      </c>
      <c r="B680" s="42">
        <v>94.01</v>
      </c>
      <c r="D680" s="42"/>
      <c r="E680" s="40">
        <v>330</v>
      </c>
      <c r="F680" s="43">
        <v>96.25</v>
      </c>
      <c r="G680" s="40">
        <f t="shared" si="20"/>
        <v>-2.6047411888489028E-2</v>
      </c>
      <c r="H680" s="40">
        <v>16.898</v>
      </c>
      <c r="I680">
        <f t="shared" si="21"/>
        <v>1.214589830210812E-2</v>
      </c>
    </row>
    <row r="681" spans="1:9" x14ac:dyDescent="0.2">
      <c r="A681" s="41">
        <v>40058</v>
      </c>
      <c r="B681" s="42">
        <v>94.38</v>
      </c>
      <c r="D681" s="42"/>
      <c r="E681" s="40">
        <v>329</v>
      </c>
      <c r="F681" s="43">
        <v>98.79</v>
      </c>
      <c r="G681" s="40">
        <f t="shared" si="20"/>
        <v>-5.417909507673891E-2</v>
      </c>
      <c r="H681" s="40">
        <v>16.693999999999999</v>
      </c>
      <c r="I681">
        <f t="shared" si="21"/>
        <v>-2.5431614854154749E-2</v>
      </c>
    </row>
    <row r="682" spans="1:9" x14ac:dyDescent="0.2">
      <c r="A682" s="41">
        <v>40088</v>
      </c>
      <c r="B682" s="42">
        <v>95.98</v>
      </c>
      <c r="D682" s="42"/>
      <c r="E682" s="40">
        <v>328</v>
      </c>
      <c r="F682" s="43">
        <v>104.29</v>
      </c>
      <c r="G682" s="40">
        <f t="shared" si="20"/>
        <v>1.5558124130181926E-2</v>
      </c>
      <c r="H682" s="40">
        <v>17.123999999999999</v>
      </c>
      <c r="I682">
        <f t="shared" si="21"/>
        <v>1.0921369783292431E-2</v>
      </c>
    </row>
    <row r="683" spans="1:9" x14ac:dyDescent="0.2">
      <c r="A683" s="41">
        <v>40119</v>
      </c>
      <c r="B683" s="42">
        <v>94.67</v>
      </c>
      <c r="D683" s="42"/>
      <c r="E683" s="40">
        <v>327</v>
      </c>
      <c r="F683" s="43">
        <v>102.68</v>
      </c>
      <c r="G683" s="40">
        <f t="shared" si="20"/>
        <v>-4.866030247195699E-2</v>
      </c>
      <c r="H683" s="40">
        <v>16.937999999999999</v>
      </c>
      <c r="I683">
        <f t="shared" si="21"/>
        <v>-7.0597440131554445E-2</v>
      </c>
    </row>
    <row r="684" spans="1:9" x14ac:dyDescent="0.2">
      <c r="A684" s="41">
        <v>40149</v>
      </c>
      <c r="B684" s="42">
        <v>91.04</v>
      </c>
      <c r="D684" s="42"/>
      <c r="E684" s="40">
        <v>326</v>
      </c>
      <c r="F684" s="43">
        <v>107.8</v>
      </c>
      <c r="G684" s="40">
        <f t="shared" si="20"/>
        <v>2.7365476501384305E-2</v>
      </c>
      <c r="H684" s="40">
        <v>18.177</v>
      </c>
      <c r="I684">
        <f t="shared" si="21"/>
        <v>5.1533650115182877E-2</v>
      </c>
    </row>
    <row r="685" spans="1:9" x14ac:dyDescent="0.2">
      <c r="A685" s="40" t="s">
        <v>461</v>
      </c>
      <c r="B685" s="42">
        <v>91.93</v>
      </c>
      <c r="D685" s="42"/>
      <c r="E685" s="40">
        <v>325</v>
      </c>
      <c r="F685" s="43">
        <v>104.89</v>
      </c>
      <c r="G685" s="40">
        <f t="shared" si="20"/>
        <v>-9.1672059797256886E-2</v>
      </c>
      <c r="H685" s="40">
        <v>17.263999999999999</v>
      </c>
      <c r="I685">
        <f t="shared" si="21"/>
        <v>-2.5280156673078487E-2</v>
      </c>
    </row>
    <row r="686" spans="1:9" x14ac:dyDescent="0.2">
      <c r="A686" s="40" t="s">
        <v>462</v>
      </c>
      <c r="B686" s="42">
        <v>95.07</v>
      </c>
      <c r="D686" s="42"/>
      <c r="E686" s="40">
        <v>324</v>
      </c>
      <c r="F686" s="43">
        <v>114.96</v>
      </c>
      <c r="G686" s="40">
        <f t="shared" si="20"/>
        <v>0.12748548491740422</v>
      </c>
      <c r="H686" s="40">
        <v>17.706</v>
      </c>
      <c r="I686">
        <f t="shared" si="21"/>
        <v>9.0436724801892993E-2</v>
      </c>
    </row>
    <row r="687" spans="1:9" x14ac:dyDescent="0.2">
      <c r="A687" s="40" t="s">
        <v>463</v>
      </c>
      <c r="B687" s="42">
        <v>89.11</v>
      </c>
      <c r="D687" s="42"/>
      <c r="E687" s="40">
        <v>323</v>
      </c>
      <c r="F687" s="43">
        <v>101.2</v>
      </c>
      <c r="G687" s="40">
        <f t="shared" si="20"/>
        <v>-6.7436984515466661E-2</v>
      </c>
      <c r="H687" s="40">
        <v>16.175000000000001</v>
      </c>
      <c r="I687">
        <f t="shared" si="21"/>
        <v>-2.7741452817871923E-2</v>
      </c>
    </row>
    <row r="688" spans="1:9" x14ac:dyDescent="0.2">
      <c r="A688" s="40" t="s">
        <v>464</v>
      </c>
      <c r="B688" s="42">
        <v>88.27</v>
      </c>
      <c r="D688" s="42"/>
      <c r="E688" s="40">
        <v>322</v>
      </c>
      <c r="F688" s="43">
        <v>108.26</v>
      </c>
      <c r="G688" s="40">
        <f t="shared" si="20"/>
        <v>-5.0697328917427911E-2</v>
      </c>
      <c r="H688" s="40">
        <v>16.63</v>
      </c>
      <c r="I688">
        <f t="shared" si="21"/>
        <v>-5.6406477568712136E-2</v>
      </c>
    </row>
    <row r="689" spans="1:9" x14ac:dyDescent="0.2">
      <c r="A689" s="40" t="s">
        <v>465</v>
      </c>
      <c r="B689" s="42">
        <v>90.66</v>
      </c>
      <c r="D689" s="42"/>
      <c r="E689" s="40">
        <v>321</v>
      </c>
      <c r="F689" s="43">
        <v>113.89</v>
      </c>
      <c r="G689" s="40">
        <f t="shared" si="20"/>
        <v>-6.9689207558670682E-2</v>
      </c>
      <c r="H689" s="40">
        <v>17.594999999999999</v>
      </c>
      <c r="I689">
        <f t="shared" si="21"/>
        <v>3.7346936947089203E-2</v>
      </c>
    </row>
    <row r="690" spans="1:9" x14ac:dyDescent="0.2">
      <c r="A690" s="40" t="s">
        <v>466</v>
      </c>
      <c r="B690" s="42">
        <v>93.02</v>
      </c>
      <c r="D690" s="42"/>
      <c r="E690" s="40">
        <v>320</v>
      </c>
      <c r="F690" s="43">
        <v>122.11</v>
      </c>
      <c r="G690" s="40">
        <f t="shared" si="20"/>
        <v>-3.0486231933237455E-2</v>
      </c>
      <c r="H690" s="40">
        <v>16.95</v>
      </c>
      <c r="I690">
        <f t="shared" si="21"/>
        <v>-9.6917897192421776E-2</v>
      </c>
    </row>
    <row r="691" spans="1:9" x14ac:dyDescent="0.2">
      <c r="A691" s="40" t="s">
        <v>467</v>
      </c>
      <c r="B691" s="42">
        <v>89.13</v>
      </c>
      <c r="D691" s="42"/>
      <c r="E691" s="40">
        <v>319</v>
      </c>
      <c r="F691" s="43">
        <v>125.89</v>
      </c>
      <c r="G691" s="40">
        <f t="shared" si="20"/>
        <v>3.9783267099399777E-2</v>
      </c>
      <c r="H691" s="40">
        <v>18.675000000000001</v>
      </c>
      <c r="I691">
        <f t="shared" si="21"/>
        <v>-9.0088298189137522E-3</v>
      </c>
    </row>
    <row r="692" spans="1:9" x14ac:dyDescent="0.2">
      <c r="A692" s="40" t="s">
        <v>468</v>
      </c>
      <c r="B692" s="42">
        <v>88.93</v>
      </c>
      <c r="D692" s="42"/>
      <c r="E692" s="40">
        <v>318</v>
      </c>
      <c r="F692" s="43">
        <v>120.98</v>
      </c>
      <c r="G692" s="40">
        <f t="shared" si="20"/>
        <v>-4.010095433898693E-2</v>
      </c>
      <c r="H692" s="40">
        <v>18.844000000000001</v>
      </c>
      <c r="I692">
        <f t="shared" si="21"/>
        <v>-7.6099801015174495E-2</v>
      </c>
    </row>
    <row r="693" spans="1:9" x14ac:dyDescent="0.2">
      <c r="A693" s="40" t="s">
        <v>469</v>
      </c>
      <c r="B693" s="42">
        <v>89.37</v>
      </c>
      <c r="D693" s="42"/>
      <c r="E693" s="40">
        <v>317</v>
      </c>
      <c r="F693" s="43">
        <v>125.93</v>
      </c>
      <c r="G693" s="40">
        <f t="shared" si="20"/>
        <v>7.5434374162363496E-2</v>
      </c>
      <c r="H693" s="40">
        <v>20.334</v>
      </c>
      <c r="I693">
        <f t="shared" si="21"/>
        <v>3.6662760005981204E-2</v>
      </c>
    </row>
    <row r="694" spans="1:9" x14ac:dyDescent="0.2">
      <c r="A694" s="40" t="s">
        <v>470</v>
      </c>
      <c r="B694" s="42">
        <v>91.08</v>
      </c>
      <c r="D694" s="42"/>
      <c r="E694" s="40">
        <v>316</v>
      </c>
      <c r="F694" s="43">
        <v>116.78</v>
      </c>
      <c r="G694" s="40">
        <f t="shared" si="20"/>
        <v>-2.0343132463441379E-2</v>
      </c>
      <c r="H694" s="40">
        <v>19.602</v>
      </c>
      <c r="I694">
        <f t="shared" si="21"/>
        <v>3.5262589241532695E-3</v>
      </c>
    </row>
    <row r="695" spans="1:9" x14ac:dyDescent="0.2">
      <c r="A695" s="41">
        <v>39847</v>
      </c>
      <c r="B695" s="42">
        <v>93.86</v>
      </c>
      <c r="D695" s="42"/>
      <c r="E695" s="40">
        <v>315</v>
      </c>
      <c r="F695" s="43">
        <v>119.18</v>
      </c>
      <c r="G695" s="40">
        <f t="shared" si="20"/>
        <v>0.1113638439242179</v>
      </c>
      <c r="H695" s="40">
        <v>19.533000000000001</v>
      </c>
      <c r="I695">
        <f t="shared" si="21"/>
        <v>5.1797292015684837E-2</v>
      </c>
    </row>
    <row r="696" spans="1:9" x14ac:dyDescent="0.2">
      <c r="A696" s="41">
        <v>39875</v>
      </c>
      <c r="B696" s="42">
        <v>90.75</v>
      </c>
      <c r="D696" s="42"/>
      <c r="E696" s="40">
        <v>314</v>
      </c>
      <c r="F696" s="43">
        <v>106.62</v>
      </c>
      <c r="G696" s="40">
        <f t="shared" si="20"/>
        <v>-9.7592663591463458E-2</v>
      </c>
      <c r="H696" s="40">
        <v>18.547000000000001</v>
      </c>
      <c r="I696">
        <f t="shared" si="21"/>
        <v>-6.4464382410499149E-2</v>
      </c>
    </row>
    <row r="697" spans="1:9" x14ac:dyDescent="0.2">
      <c r="A697" s="41">
        <v>39906</v>
      </c>
      <c r="B697" s="42">
        <v>85.6</v>
      </c>
      <c r="D697" s="42"/>
      <c r="E697" s="40">
        <v>313</v>
      </c>
      <c r="F697" s="43">
        <v>117.55</v>
      </c>
      <c r="G697" s="40">
        <f t="shared" si="20"/>
        <v>-5.7281285444003037E-2</v>
      </c>
      <c r="H697" s="40">
        <v>19.782</v>
      </c>
      <c r="I697">
        <f t="shared" si="21"/>
        <v>7.1606883420620493E-2</v>
      </c>
    </row>
    <row r="698" spans="1:9" x14ac:dyDescent="0.2">
      <c r="A698" s="41">
        <v>39936</v>
      </c>
      <c r="B698" s="42">
        <v>89.88</v>
      </c>
      <c r="D698" s="42"/>
      <c r="E698" s="40">
        <v>312</v>
      </c>
      <c r="F698" s="43">
        <v>124.48</v>
      </c>
      <c r="G698" s="40">
        <f t="shared" si="20"/>
        <v>2.0287963561771281E-2</v>
      </c>
      <c r="H698" s="40">
        <v>18.414999999999999</v>
      </c>
      <c r="I698">
        <f t="shared" si="21"/>
        <v>-2.0052818267720068E-2</v>
      </c>
    </row>
    <row r="699" spans="1:9" x14ac:dyDescent="0.2">
      <c r="A699" s="41">
        <v>39967</v>
      </c>
      <c r="B699" s="42">
        <v>88.26</v>
      </c>
      <c r="D699" s="42"/>
      <c r="E699" s="40">
        <v>311</v>
      </c>
      <c r="F699" s="43">
        <v>121.98</v>
      </c>
      <c r="G699" s="40">
        <f t="shared" si="20"/>
        <v>1.8450860577285764E-2</v>
      </c>
      <c r="H699" s="40">
        <v>18.788</v>
      </c>
      <c r="I699">
        <f t="shared" si="21"/>
        <v>-5.76018610282217E-2</v>
      </c>
    </row>
    <row r="700" spans="1:9" x14ac:dyDescent="0.2">
      <c r="A700" s="41">
        <v>40059</v>
      </c>
      <c r="B700" s="42">
        <v>90.09</v>
      </c>
      <c r="D700" s="42"/>
      <c r="E700" s="40">
        <v>310</v>
      </c>
      <c r="F700" s="43">
        <v>119.75</v>
      </c>
      <c r="G700" s="40">
        <f t="shared" si="20"/>
        <v>-3.2533880583715528E-2</v>
      </c>
      <c r="H700" s="40">
        <v>19.902000000000001</v>
      </c>
      <c r="I700">
        <f t="shared" si="21"/>
        <v>1.9636828560392203E-2</v>
      </c>
    </row>
    <row r="701" spans="1:9" x14ac:dyDescent="0.2">
      <c r="A701" s="41">
        <v>40089</v>
      </c>
      <c r="B701" s="42">
        <v>85.36</v>
      </c>
      <c r="D701" s="42"/>
      <c r="E701" s="40">
        <v>309</v>
      </c>
      <c r="F701" s="43">
        <v>123.71</v>
      </c>
      <c r="G701" s="40">
        <f t="shared" si="20"/>
        <v>-3.0176247723740689E-2</v>
      </c>
      <c r="H701" s="40">
        <v>19.515000000000001</v>
      </c>
      <c r="I701">
        <f t="shared" si="21"/>
        <v>-3.3657265285403644E-2</v>
      </c>
    </row>
    <row r="702" spans="1:9" x14ac:dyDescent="0.2">
      <c r="A702" s="41">
        <v>40120</v>
      </c>
      <c r="B702" s="42">
        <v>85.35</v>
      </c>
      <c r="D702" s="42"/>
      <c r="E702" s="40">
        <v>308</v>
      </c>
      <c r="F702" s="43">
        <v>127.5</v>
      </c>
      <c r="G702" s="40">
        <f t="shared" si="20"/>
        <v>8.6113384583601141E-2</v>
      </c>
      <c r="H702" s="40">
        <v>20.183</v>
      </c>
      <c r="I702">
        <f t="shared" si="21"/>
        <v>-6.2374709257873279E-2</v>
      </c>
    </row>
    <row r="703" spans="1:9" x14ac:dyDescent="0.2">
      <c r="A703" s="41">
        <v>40150</v>
      </c>
      <c r="B703" s="42">
        <v>81.81</v>
      </c>
      <c r="D703" s="42"/>
      <c r="E703" s="40">
        <v>307</v>
      </c>
      <c r="F703" s="43">
        <v>116.98</v>
      </c>
      <c r="G703" s="40">
        <f t="shared" si="20"/>
        <v>-4.5046261982697108E-2</v>
      </c>
      <c r="H703" s="40">
        <v>21.481999999999999</v>
      </c>
      <c r="I703">
        <f t="shared" si="21"/>
        <v>-3.2786819553932603E-2</v>
      </c>
    </row>
    <row r="704" spans="1:9" x14ac:dyDescent="0.2">
      <c r="A704" s="40" t="s">
        <v>471</v>
      </c>
      <c r="B704" s="42">
        <v>78.13</v>
      </c>
      <c r="D704" s="42"/>
      <c r="E704" s="40">
        <v>306</v>
      </c>
      <c r="F704" s="43">
        <v>122.37</v>
      </c>
      <c r="G704" s="40">
        <f t="shared" si="20"/>
        <v>9.8149870247008497E-2</v>
      </c>
      <c r="H704" s="40">
        <v>22.198</v>
      </c>
      <c r="I704">
        <f t="shared" si="21"/>
        <v>1.8872345663568223E-2</v>
      </c>
    </row>
    <row r="705" spans="1:9" x14ac:dyDescent="0.2">
      <c r="A705" s="40" t="s">
        <v>472</v>
      </c>
      <c r="B705" s="42">
        <v>80.069999999999993</v>
      </c>
      <c r="D705" s="42"/>
      <c r="E705" s="40">
        <v>305</v>
      </c>
      <c r="F705" s="43">
        <v>110.93</v>
      </c>
      <c r="G705" s="40">
        <f t="shared" si="20"/>
        <v>7.3879163793591565E-2</v>
      </c>
      <c r="H705" s="40">
        <v>21.783000000000001</v>
      </c>
      <c r="I705">
        <f t="shared" si="21"/>
        <v>2.4396553954829613E-2</v>
      </c>
    </row>
    <row r="706" spans="1:9" x14ac:dyDescent="0.2">
      <c r="A706" s="40" t="s">
        <v>473</v>
      </c>
      <c r="B706" s="42">
        <v>75.209999999999994</v>
      </c>
      <c r="D706" s="42"/>
      <c r="E706" s="40">
        <v>304</v>
      </c>
      <c r="F706" s="43">
        <v>103.03</v>
      </c>
      <c r="G706" s="40">
        <f t="shared" si="20"/>
        <v>-2.8984763752007255E-2</v>
      </c>
      <c r="H706" s="40">
        <v>21.257999999999999</v>
      </c>
      <c r="I706">
        <f t="shared" si="21"/>
        <v>-4.3494119772049096E-2</v>
      </c>
    </row>
    <row r="707" spans="1:9" x14ac:dyDescent="0.2">
      <c r="A707" s="40" t="s">
        <v>474</v>
      </c>
      <c r="B707" s="42">
        <v>74.8</v>
      </c>
      <c r="D707" s="42"/>
      <c r="E707" s="40">
        <v>303</v>
      </c>
      <c r="F707" s="43">
        <v>106.06</v>
      </c>
      <c r="G707" s="40">
        <f t="shared" ref="G707:G770" si="22">LN(F707/F708)</f>
        <v>-4.4623922647337465E-2</v>
      </c>
      <c r="H707" s="40">
        <v>22.202999999999999</v>
      </c>
      <c r="I707">
        <f t="shared" ref="I707:I770" si="23">LN(H707/H708)</f>
        <v>3.1988450542699928E-2</v>
      </c>
    </row>
    <row r="708" spans="1:9" x14ac:dyDescent="0.2">
      <c r="A708" s="40" t="s">
        <v>475</v>
      </c>
      <c r="B708" s="42">
        <v>73.56</v>
      </c>
      <c r="D708" s="42"/>
      <c r="E708" s="40">
        <v>302</v>
      </c>
      <c r="F708" s="43">
        <v>110.9</v>
      </c>
      <c r="G708" s="40">
        <f t="shared" si="22"/>
        <v>-3.4126954584333097E-2</v>
      </c>
      <c r="H708" s="40">
        <v>21.504000000000001</v>
      </c>
      <c r="I708">
        <f t="shared" si="23"/>
        <v>-1.9023627058842949E-2</v>
      </c>
    </row>
    <row r="709" spans="1:9" x14ac:dyDescent="0.2">
      <c r="A709" s="40" t="s">
        <v>476</v>
      </c>
      <c r="B709" s="42">
        <v>73.11</v>
      </c>
      <c r="D709" s="42"/>
      <c r="E709" s="40">
        <v>301</v>
      </c>
      <c r="F709" s="43">
        <v>114.75</v>
      </c>
      <c r="G709" s="40">
        <f t="shared" si="22"/>
        <v>8.6648828857237258E-3</v>
      </c>
      <c r="H709" s="40">
        <v>21.917000000000002</v>
      </c>
      <c r="I709">
        <f t="shared" si="23"/>
        <v>-5.3392198874018505E-2</v>
      </c>
    </row>
    <row r="710" spans="1:9" x14ac:dyDescent="0.2">
      <c r="A710" s="40" t="s">
        <v>477</v>
      </c>
      <c r="B710" s="42">
        <v>71.39</v>
      </c>
      <c r="D710" s="42"/>
      <c r="E710" s="40">
        <v>300</v>
      </c>
      <c r="F710" s="43">
        <v>113.76</v>
      </c>
      <c r="G710" s="40">
        <f t="shared" si="22"/>
        <v>-3.0302725481138274E-2</v>
      </c>
      <c r="H710" s="40">
        <v>23.119</v>
      </c>
      <c r="I710">
        <f t="shared" si="23"/>
        <v>-4.6028366772399548E-2</v>
      </c>
    </row>
    <row r="711" spans="1:9" x14ac:dyDescent="0.2">
      <c r="A711" s="40" t="s">
        <v>478</v>
      </c>
      <c r="B711" s="42">
        <v>70.16</v>
      </c>
      <c r="D711" s="42"/>
      <c r="E711" s="40">
        <v>299</v>
      </c>
      <c r="F711" s="43">
        <v>117.26</v>
      </c>
      <c r="G711" s="40">
        <f t="shared" si="22"/>
        <v>-7.6723076096337926E-4</v>
      </c>
      <c r="H711" s="40">
        <v>24.207999999999998</v>
      </c>
      <c r="I711">
        <f t="shared" si="23"/>
        <v>-8.1868193553544036E-3</v>
      </c>
    </row>
    <row r="712" spans="1:9" x14ac:dyDescent="0.2">
      <c r="A712" s="40" t="s">
        <v>479</v>
      </c>
      <c r="B712" s="42">
        <v>71.760000000000005</v>
      </c>
      <c r="D712" s="42"/>
      <c r="E712" s="40">
        <v>298</v>
      </c>
      <c r="F712" s="43">
        <v>117.35</v>
      </c>
      <c r="G712" s="40">
        <f t="shared" si="22"/>
        <v>4.5412831601505964E-2</v>
      </c>
      <c r="H712" s="40">
        <v>24.407</v>
      </c>
      <c r="I712">
        <f t="shared" si="23"/>
        <v>-6.0569187773893113E-2</v>
      </c>
    </row>
    <row r="713" spans="1:9" x14ac:dyDescent="0.2">
      <c r="A713" s="40" t="s">
        <v>480</v>
      </c>
      <c r="B713" s="42">
        <v>70.97</v>
      </c>
      <c r="D713" s="42"/>
      <c r="E713" s="40">
        <v>297</v>
      </c>
      <c r="F713" s="43">
        <v>112.14</v>
      </c>
      <c r="G713" s="40">
        <f t="shared" si="22"/>
        <v>-1.0555826049330534E-2</v>
      </c>
      <c r="H713" s="40">
        <v>25.931000000000001</v>
      </c>
      <c r="I713">
        <f t="shared" si="23"/>
        <v>-5.364292857910203E-2</v>
      </c>
    </row>
    <row r="714" spans="1:9" x14ac:dyDescent="0.2">
      <c r="A714" s="40" t="s">
        <v>481</v>
      </c>
      <c r="B714" s="42">
        <v>71.680000000000007</v>
      </c>
      <c r="D714" s="42"/>
      <c r="E714" s="40">
        <v>296</v>
      </c>
      <c r="F714" s="43">
        <v>113.33</v>
      </c>
      <c r="G714" s="40">
        <f t="shared" si="22"/>
        <v>-1.3235938508006148E-2</v>
      </c>
      <c r="H714" s="40">
        <v>27.36</v>
      </c>
      <c r="I714">
        <f t="shared" si="23"/>
        <v>2.3969190112996402E-2</v>
      </c>
    </row>
    <row r="715" spans="1:9" x14ac:dyDescent="0.2">
      <c r="A715" s="40" t="s">
        <v>482</v>
      </c>
      <c r="B715" s="42">
        <v>74.680000000000007</v>
      </c>
      <c r="D715" s="42"/>
      <c r="E715" s="40">
        <v>295</v>
      </c>
      <c r="F715" s="43">
        <v>114.84</v>
      </c>
      <c r="G715" s="40">
        <f t="shared" si="22"/>
        <v>-1.2375217427653589E-2</v>
      </c>
      <c r="H715" s="40">
        <v>26.712</v>
      </c>
      <c r="I715">
        <f t="shared" si="23"/>
        <v>-2.1260847499329001E-2</v>
      </c>
    </row>
    <row r="716" spans="1:9" x14ac:dyDescent="0.2">
      <c r="A716" s="40" t="s">
        <v>483</v>
      </c>
      <c r="B716" s="42">
        <v>72.709999999999994</v>
      </c>
      <c r="D716" s="42"/>
      <c r="E716" s="40">
        <v>294</v>
      </c>
      <c r="F716" s="43">
        <v>116.27</v>
      </c>
      <c r="G716" s="40">
        <f t="shared" si="22"/>
        <v>8.2058728903978514E-2</v>
      </c>
      <c r="H716" s="40">
        <v>27.286000000000001</v>
      </c>
      <c r="I716">
        <f t="shared" si="23"/>
        <v>-1.4697587042188098E-2</v>
      </c>
    </row>
    <row r="717" spans="1:9" x14ac:dyDescent="0.2">
      <c r="A717" s="41">
        <v>39817</v>
      </c>
      <c r="B717" s="42">
        <v>70.39</v>
      </c>
      <c r="D717" s="42"/>
      <c r="E717" s="40">
        <v>293</v>
      </c>
      <c r="F717" s="43">
        <v>107.11</v>
      </c>
      <c r="G717" s="40">
        <f t="shared" si="22"/>
        <v>-4.6604886546287673E-2</v>
      </c>
      <c r="H717" s="40">
        <v>27.69</v>
      </c>
      <c r="I717">
        <f t="shared" si="23"/>
        <v>-3.4291508135485399E-2</v>
      </c>
    </row>
    <row r="718" spans="1:9" x14ac:dyDescent="0.2">
      <c r="A718" s="41">
        <v>39848</v>
      </c>
      <c r="B718" s="42">
        <v>69.61</v>
      </c>
      <c r="D718" s="42"/>
      <c r="E718" s="40">
        <v>292</v>
      </c>
      <c r="F718" s="43">
        <v>112.22</v>
      </c>
      <c r="G718" s="40">
        <f t="shared" si="22"/>
        <v>6.8851704909479875E-3</v>
      </c>
      <c r="H718" s="40">
        <v>28.655999999999999</v>
      </c>
      <c r="I718">
        <f t="shared" si="23"/>
        <v>1.5367335382644341E-2</v>
      </c>
    </row>
    <row r="719" spans="1:9" x14ac:dyDescent="0.2">
      <c r="A719" s="41">
        <v>39876</v>
      </c>
      <c r="B719" s="42">
        <v>67.86</v>
      </c>
      <c r="D719" s="42"/>
      <c r="E719" s="40">
        <v>291</v>
      </c>
      <c r="F719" s="43">
        <v>111.45</v>
      </c>
      <c r="G719" s="40">
        <f t="shared" si="22"/>
        <v>3.6922772221922258E-2</v>
      </c>
      <c r="H719" s="40">
        <v>28.219000000000001</v>
      </c>
      <c r="I719">
        <f t="shared" si="23"/>
        <v>1.8851947119932613E-2</v>
      </c>
    </row>
    <row r="720" spans="1:9" x14ac:dyDescent="0.2">
      <c r="A720" s="41">
        <v>39968</v>
      </c>
      <c r="B720" s="42">
        <v>68.260000000000005</v>
      </c>
      <c r="D720" s="42"/>
      <c r="E720" s="40">
        <v>290</v>
      </c>
      <c r="F720" s="43">
        <v>107.41</v>
      </c>
      <c r="G720" s="40">
        <f t="shared" si="22"/>
        <v>2.8902654086745996E-2</v>
      </c>
      <c r="H720" s="40">
        <v>27.692</v>
      </c>
      <c r="I720">
        <f t="shared" si="23"/>
        <v>-1.6403791769920316E-2</v>
      </c>
    </row>
    <row r="721" spans="1:9" x14ac:dyDescent="0.2">
      <c r="A721" s="41">
        <v>39998</v>
      </c>
      <c r="B721" s="42">
        <v>66.39</v>
      </c>
      <c r="D721" s="42"/>
      <c r="E721" s="40">
        <v>289</v>
      </c>
      <c r="F721" s="43">
        <v>104.35</v>
      </c>
      <c r="G721" s="40">
        <f t="shared" si="22"/>
        <v>-3.7062180117078451E-2</v>
      </c>
      <c r="H721" s="40">
        <v>28.15</v>
      </c>
      <c r="I721">
        <f t="shared" si="23"/>
        <v>9.3627759278066991E-2</v>
      </c>
    </row>
    <row r="722" spans="1:9" x14ac:dyDescent="0.2">
      <c r="A722" s="41">
        <v>40029</v>
      </c>
      <c r="B722" s="42">
        <v>68.72</v>
      </c>
      <c r="D722" s="42"/>
      <c r="E722" s="40">
        <v>288</v>
      </c>
      <c r="F722" s="43">
        <v>108.29</v>
      </c>
      <c r="G722" s="40">
        <f t="shared" si="22"/>
        <v>-8.4598205693489029E-3</v>
      </c>
      <c r="H722" s="40">
        <v>25.634</v>
      </c>
      <c r="I722">
        <f t="shared" si="23"/>
        <v>-3.4130388198988906E-2</v>
      </c>
    </row>
    <row r="723" spans="1:9" x14ac:dyDescent="0.2">
      <c r="A723" s="41">
        <v>40060</v>
      </c>
      <c r="B723" s="42">
        <v>65.22</v>
      </c>
      <c r="D723" s="42"/>
      <c r="E723" s="40">
        <v>287</v>
      </c>
      <c r="F723" s="43">
        <v>109.21</v>
      </c>
      <c r="G723" s="40">
        <f t="shared" si="22"/>
        <v>2.9361953198945606E-2</v>
      </c>
      <c r="H723" s="40">
        <v>26.524000000000001</v>
      </c>
      <c r="I723">
        <f t="shared" si="23"/>
        <v>-7.8861800426600886E-3</v>
      </c>
    </row>
    <row r="724" spans="1:9" x14ac:dyDescent="0.2">
      <c r="A724" s="40" t="s">
        <v>484</v>
      </c>
      <c r="B724" s="42">
        <v>67.510000000000005</v>
      </c>
      <c r="D724" s="42"/>
      <c r="E724" s="40">
        <v>286</v>
      </c>
      <c r="F724" s="43">
        <v>106.05</v>
      </c>
      <c r="G724" s="40">
        <f t="shared" si="22"/>
        <v>-2.5324880095067434E-2</v>
      </c>
      <c r="H724" s="40">
        <v>26.734000000000002</v>
      </c>
      <c r="I724">
        <f t="shared" si="23"/>
        <v>1.0566590126616213E-2</v>
      </c>
    </row>
    <row r="725" spans="1:9" x14ac:dyDescent="0.2">
      <c r="A725" s="40" t="s">
        <v>485</v>
      </c>
      <c r="B725" s="42">
        <v>65.790000000000006</v>
      </c>
      <c r="D725" s="42"/>
      <c r="E725" s="40">
        <v>285</v>
      </c>
      <c r="F725" s="43">
        <v>108.77</v>
      </c>
      <c r="G725" s="40">
        <f t="shared" si="22"/>
        <v>5.0693688911695716E-3</v>
      </c>
      <c r="H725" s="40">
        <v>26.452999999999999</v>
      </c>
      <c r="I725">
        <f t="shared" si="23"/>
        <v>6.589782862975839E-2</v>
      </c>
    </row>
    <row r="726" spans="1:9" x14ac:dyDescent="0.2">
      <c r="A726" s="40" t="s">
        <v>486</v>
      </c>
      <c r="B726" s="42">
        <v>64.95</v>
      </c>
      <c r="D726" s="42"/>
      <c r="E726" s="40">
        <v>284</v>
      </c>
      <c r="F726" s="43">
        <v>108.22</v>
      </c>
      <c r="G726" s="40">
        <f t="shared" si="22"/>
        <v>-6.814650186612997E-3</v>
      </c>
      <c r="H726" s="40">
        <v>24.765999999999998</v>
      </c>
      <c r="I726">
        <f t="shared" si="23"/>
        <v>1.0961905877578818E-2</v>
      </c>
    </row>
    <row r="727" spans="1:9" x14ac:dyDescent="0.2">
      <c r="A727" s="40" t="s">
        <v>487</v>
      </c>
      <c r="B727" s="42">
        <v>69.72</v>
      </c>
      <c r="D727" s="42"/>
      <c r="E727" s="40">
        <v>283</v>
      </c>
      <c r="F727" s="43">
        <v>108.96</v>
      </c>
      <c r="G727" s="40">
        <f t="shared" si="22"/>
        <v>2.0584871495403535E-2</v>
      </c>
      <c r="H727" s="40">
        <v>24.495999999999999</v>
      </c>
      <c r="I727">
        <f t="shared" si="23"/>
        <v>6.4190225605293957E-2</v>
      </c>
    </row>
    <row r="728" spans="1:9" x14ac:dyDescent="0.2">
      <c r="A728" s="40" t="s">
        <v>488</v>
      </c>
      <c r="B728" s="42">
        <v>68.92</v>
      </c>
      <c r="D728" s="42"/>
      <c r="E728" s="40">
        <v>282</v>
      </c>
      <c r="F728" s="43">
        <v>106.74</v>
      </c>
      <c r="G728" s="40">
        <f t="shared" si="22"/>
        <v>-2.3242863069900799E-2</v>
      </c>
      <c r="H728" s="40">
        <v>22.972999999999999</v>
      </c>
      <c r="I728">
        <f t="shared" si="23"/>
        <v>7.4205080826774739E-2</v>
      </c>
    </row>
    <row r="729" spans="1:9" x14ac:dyDescent="0.2">
      <c r="A729" s="40" t="s">
        <v>489</v>
      </c>
      <c r="B729" s="42">
        <v>75.48</v>
      </c>
      <c r="D729" s="42"/>
      <c r="E729" s="40">
        <v>281</v>
      </c>
      <c r="F729" s="43">
        <v>109.25</v>
      </c>
      <c r="G729" s="40">
        <f t="shared" si="22"/>
        <v>-5.2162481752137391E-2</v>
      </c>
      <c r="H729" s="40">
        <v>21.33</v>
      </c>
      <c r="I729">
        <f t="shared" si="23"/>
        <v>-3.5463076040448037E-2</v>
      </c>
    </row>
    <row r="730" spans="1:9" x14ac:dyDescent="0.2">
      <c r="A730" s="40" t="s">
        <v>490</v>
      </c>
      <c r="B730" s="42">
        <v>75.48</v>
      </c>
      <c r="D730" s="42"/>
      <c r="E730" s="40">
        <v>280</v>
      </c>
      <c r="F730" s="43">
        <v>115.1</v>
      </c>
      <c r="G730" s="40">
        <f t="shared" si="22"/>
        <v>-5.9694051493784019E-2</v>
      </c>
      <c r="H730" s="40">
        <v>22.1</v>
      </c>
      <c r="I730">
        <f t="shared" si="23"/>
        <v>-2.4935381927589755E-2</v>
      </c>
    </row>
    <row r="731" spans="1:9" x14ac:dyDescent="0.2">
      <c r="A731" s="40" t="s">
        <v>491</v>
      </c>
      <c r="B731" s="42">
        <v>75.52</v>
      </c>
      <c r="D731" s="42"/>
      <c r="E731" s="40">
        <v>279</v>
      </c>
      <c r="F731" s="43">
        <v>122.18</v>
      </c>
      <c r="G731" s="40">
        <f t="shared" si="22"/>
        <v>-3.2847905717858679E-2</v>
      </c>
      <c r="H731" s="40">
        <v>22.658000000000001</v>
      </c>
      <c r="I731">
        <f t="shared" si="23"/>
        <v>-1.558973594996994E-2</v>
      </c>
    </row>
    <row r="732" spans="1:9" x14ac:dyDescent="0.2">
      <c r="A732" s="40" t="s">
        <v>492</v>
      </c>
      <c r="B732" s="42">
        <v>72.81</v>
      </c>
      <c r="D732" s="42"/>
      <c r="E732" s="40">
        <v>278</v>
      </c>
      <c r="F732" s="43">
        <v>126.26</v>
      </c>
      <c r="G732" s="40">
        <f t="shared" si="22"/>
        <v>5.4002672535162386E-3</v>
      </c>
      <c r="H732" s="40">
        <v>23.013999999999999</v>
      </c>
      <c r="I732">
        <f t="shared" si="23"/>
        <v>6.7398840391453108E-2</v>
      </c>
    </row>
    <row r="733" spans="1:9" x14ac:dyDescent="0.2">
      <c r="A733" s="40" t="s">
        <v>493</v>
      </c>
      <c r="B733" s="42">
        <v>72.040000000000006</v>
      </c>
      <c r="D733" s="42"/>
      <c r="E733" s="40">
        <v>277</v>
      </c>
      <c r="F733" s="43">
        <v>125.58</v>
      </c>
      <c r="G733" s="40">
        <f t="shared" si="22"/>
        <v>8.763195143550429E-4</v>
      </c>
      <c r="H733" s="40">
        <v>21.513999999999999</v>
      </c>
      <c r="I733">
        <f t="shared" si="23"/>
        <v>7.5584739075906186E-3</v>
      </c>
    </row>
    <row r="734" spans="1:9" x14ac:dyDescent="0.2">
      <c r="A734" s="40" t="s">
        <v>494</v>
      </c>
      <c r="B734" s="42">
        <v>74.16</v>
      </c>
      <c r="D734" s="42"/>
      <c r="E734" s="40">
        <v>276</v>
      </c>
      <c r="F734" s="43">
        <v>125.47</v>
      </c>
      <c r="G734" s="40">
        <f t="shared" si="22"/>
        <v>-4.20613632699844E-2</v>
      </c>
      <c r="H734" s="40">
        <v>21.352</v>
      </c>
      <c r="I734">
        <f t="shared" si="23"/>
        <v>-7.1562316478845728E-2</v>
      </c>
    </row>
    <row r="735" spans="1:9" x14ac:dyDescent="0.2">
      <c r="A735" s="40" t="s">
        <v>495</v>
      </c>
      <c r="B735" s="42">
        <v>74.22</v>
      </c>
      <c r="D735" s="42"/>
      <c r="E735" s="40">
        <v>275</v>
      </c>
      <c r="F735" s="43">
        <v>130.86000000000001</v>
      </c>
      <c r="G735" s="40">
        <f t="shared" si="22"/>
        <v>-6.5440796220802733E-2</v>
      </c>
      <c r="H735" s="40">
        <v>22.936</v>
      </c>
      <c r="I735">
        <f t="shared" si="23"/>
        <v>-3.3357862454810074E-2</v>
      </c>
    </row>
    <row r="736" spans="1:9" x14ac:dyDescent="0.2">
      <c r="A736" s="40" t="s">
        <v>496</v>
      </c>
      <c r="B736" s="42">
        <v>72.12</v>
      </c>
      <c r="D736" s="42"/>
      <c r="E736" s="40">
        <v>274</v>
      </c>
      <c r="F736" s="43">
        <v>139.71</v>
      </c>
      <c r="G736" s="40">
        <f t="shared" si="22"/>
        <v>4.4269583579471555E-2</v>
      </c>
      <c r="H736" s="40">
        <v>23.713999999999999</v>
      </c>
      <c r="I736">
        <f t="shared" si="23"/>
        <v>-2.1113147089067433E-2</v>
      </c>
    </row>
    <row r="737" spans="1:9" x14ac:dyDescent="0.2">
      <c r="A737" s="40" t="s">
        <v>497</v>
      </c>
      <c r="B737" s="42">
        <v>71.42</v>
      </c>
      <c r="D737" s="42"/>
      <c r="E737" s="40">
        <v>273</v>
      </c>
      <c r="F737" s="43">
        <v>133.66</v>
      </c>
      <c r="G737" s="40">
        <f t="shared" si="22"/>
        <v>4.4441560345728513E-2</v>
      </c>
      <c r="H737" s="40">
        <v>24.22</v>
      </c>
      <c r="I737">
        <f t="shared" si="23"/>
        <v>3.1157519641575048E-2</v>
      </c>
    </row>
    <row r="738" spans="1:9" x14ac:dyDescent="0.2">
      <c r="A738" s="41">
        <v>39818</v>
      </c>
      <c r="B738" s="42">
        <v>69.819999999999993</v>
      </c>
      <c r="D738" s="42"/>
      <c r="E738" s="40">
        <v>272</v>
      </c>
      <c r="F738" s="43">
        <v>127.85</v>
      </c>
      <c r="G738" s="40">
        <f t="shared" si="22"/>
        <v>4.3890182454492985E-2</v>
      </c>
      <c r="H738" s="40">
        <v>23.477</v>
      </c>
      <c r="I738">
        <f t="shared" si="23"/>
        <v>-3.7946970678644838E-2</v>
      </c>
    </row>
    <row r="739" spans="1:9" x14ac:dyDescent="0.2">
      <c r="A739" s="41">
        <v>39908</v>
      </c>
      <c r="B739" s="42">
        <v>70.36</v>
      </c>
      <c r="D739" s="42"/>
      <c r="E739" s="40">
        <v>271</v>
      </c>
      <c r="F739" s="43">
        <v>122.36</v>
      </c>
      <c r="G739" s="40">
        <f t="shared" si="22"/>
        <v>-2.070601313217512E-2</v>
      </c>
      <c r="H739" s="40">
        <v>24.385000000000002</v>
      </c>
      <c r="I739">
        <f t="shared" si="23"/>
        <v>9.3939959908363336E-3</v>
      </c>
    </row>
    <row r="740" spans="1:9" x14ac:dyDescent="0.2">
      <c r="A740" s="41">
        <v>39938</v>
      </c>
      <c r="B740" s="42">
        <v>70.77</v>
      </c>
      <c r="D740" s="42"/>
      <c r="E740" s="40">
        <v>270</v>
      </c>
      <c r="F740" s="43">
        <v>124.92</v>
      </c>
      <c r="G740" s="40">
        <f t="shared" si="22"/>
        <v>-6.1170704627455677E-2</v>
      </c>
      <c r="H740" s="40">
        <v>24.157</v>
      </c>
      <c r="I740">
        <f t="shared" si="23"/>
        <v>1.7075876762750554E-2</v>
      </c>
    </row>
    <row r="741" spans="1:9" x14ac:dyDescent="0.2">
      <c r="A741" s="41">
        <v>39969</v>
      </c>
      <c r="B741" s="42">
        <v>71.150000000000006</v>
      </c>
      <c r="D741" s="42"/>
      <c r="E741" s="40">
        <v>269</v>
      </c>
      <c r="F741" s="43">
        <v>132.80000000000001</v>
      </c>
      <c r="G741" s="40">
        <f t="shared" si="22"/>
        <v>7.1470119778418037E-2</v>
      </c>
      <c r="H741" s="40">
        <v>23.748000000000001</v>
      </c>
      <c r="I741">
        <f t="shared" si="23"/>
        <v>5.9017883162684491E-2</v>
      </c>
    </row>
    <row r="742" spans="1:9" x14ac:dyDescent="0.2">
      <c r="A742" s="41">
        <v>39999</v>
      </c>
      <c r="B742" s="42">
        <v>72.790000000000006</v>
      </c>
      <c r="D742" s="42"/>
      <c r="E742" s="40">
        <v>268</v>
      </c>
      <c r="F742" s="43">
        <v>123.64</v>
      </c>
      <c r="G742" s="40">
        <f t="shared" si="22"/>
        <v>4.8725462283349501E-2</v>
      </c>
      <c r="H742" s="40">
        <v>22.387</v>
      </c>
      <c r="I742">
        <f t="shared" si="23"/>
        <v>-4.3828147350343169E-2</v>
      </c>
    </row>
    <row r="743" spans="1:9" x14ac:dyDescent="0.2">
      <c r="A743" s="41">
        <v>40030</v>
      </c>
      <c r="B743" s="42">
        <v>74.66</v>
      </c>
      <c r="D743" s="42"/>
      <c r="E743" s="40">
        <v>267</v>
      </c>
      <c r="F743" s="43">
        <v>117.76</v>
      </c>
      <c r="G743" s="40">
        <f t="shared" si="22"/>
        <v>-8.7280249354708378E-2</v>
      </c>
      <c r="H743" s="40">
        <v>23.39</v>
      </c>
      <c r="I743">
        <f t="shared" si="23"/>
        <v>-1.071621073209755E-2</v>
      </c>
    </row>
    <row r="744" spans="1:9" x14ac:dyDescent="0.2">
      <c r="A744" s="41">
        <v>40122</v>
      </c>
      <c r="B744" s="42">
        <v>76.86</v>
      </c>
      <c r="D744" s="42"/>
      <c r="E744" s="40">
        <v>266</v>
      </c>
      <c r="F744" s="43">
        <v>128.5</v>
      </c>
      <c r="G744" s="40">
        <f t="shared" si="22"/>
        <v>-2.1098803757626509E-2</v>
      </c>
      <c r="H744" s="40">
        <v>23.641999999999999</v>
      </c>
      <c r="I744">
        <f t="shared" si="23"/>
        <v>-3.5933999699656854E-2</v>
      </c>
    </row>
    <row r="745" spans="1:9" x14ac:dyDescent="0.2">
      <c r="A745" s="41">
        <v>40152</v>
      </c>
      <c r="B745" s="42">
        <v>77.53</v>
      </c>
      <c r="D745" s="42"/>
      <c r="E745" s="40">
        <v>265</v>
      </c>
      <c r="F745" s="43">
        <v>131.24</v>
      </c>
      <c r="G745" s="40">
        <f t="shared" si="22"/>
        <v>4.1996014839563323E-3</v>
      </c>
      <c r="H745" s="40">
        <v>24.507000000000001</v>
      </c>
      <c r="I745">
        <f t="shared" si="23"/>
        <v>-7.8600950176135026E-2</v>
      </c>
    </row>
    <row r="746" spans="1:9" x14ac:dyDescent="0.2">
      <c r="A746" s="40" t="s">
        <v>498</v>
      </c>
      <c r="B746" s="42">
        <v>81.87</v>
      </c>
      <c r="D746" s="42"/>
      <c r="E746" s="40">
        <v>264</v>
      </c>
      <c r="F746" s="43">
        <v>130.69</v>
      </c>
      <c r="G746" s="40">
        <f t="shared" si="22"/>
        <v>-2.2321510879611154E-2</v>
      </c>
      <c r="H746" s="40">
        <v>26.510999999999999</v>
      </c>
      <c r="I746">
        <f t="shared" si="23"/>
        <v>6.0370525925156591E-4</v>
      </c>
    </row>
    <row r="747" spans="1:9" x14ac:dyDescent="0.2">
      <c r="A747" s="40" t="s">
        <v>499</v>
      </c>
      <c r="B747" s="42">
        <v>79.38</v>
      </c>
      <c r="D747" s="42"/>
      <c r="E747" s="40">
        <v>263</v>
      </c>
      <c r="F747" s="43">
        <v>133.63999999999999</v>
      </c>
      <c r="G747" s="40">
        <f t="shared" si="22"/>
        <v>-6.3402293469021799E-3</v>
      </c>
      <c r="H747" s="40">
        <v>26.495000000000001</v>
      </c>
      <c r="I747">
        <f t="shared" si="23"/>
        <v>8.7838633240800129E-2</v>
      </c>
    </row>
    <row r="748" spans="1:9" x14ac:dyDescent="0.2">
      <c r="A748" s="40" t="s">
        <v>500</v>
      </c>
      <c r="B748" s="42">
        <v>80.290000000000006</v>
      </c>
      <c r="D748" s="42"/>
      <c r="E748" s="40">
        <v>262</v>
      </c>
      <c r="F748" s="43">
        <v>134.49</v>
      </c>
      <c r="G748" s="40">
        <f t="shared" si="22"/>
        <v>9.2725968777872175E-2</v>
      </c>
      <c r="H748" s="40">
        <v>24.266999999999999</v>
      </c>
      <c r="I748">
        <f t="shared" si="23"/>
        <v>1.3190833372153585E-2</v>
      </c>
    </row>
    <row r="749" spans="1:9" x14ac:dyDescent="0.2">
      <c r="A749" s="40" t="s">
        <v>501</v>
      </c>
      <c r="B749" s="42">
        <v>76.41</v>
      </c>
      <c r="D749" s="42"/>
      <c r="E749" s="40">
        <v>261</v>
      </c>
      <c r="F749" s="43">
        <v>122.58</v>
      </c>
      <c r="G749" s="40">
        <f t="shared" si="22"/>
        <v>-5.1436048107037273E-2</v>
      </c>
      <c r="H749" s="40">
        <v>23.949000000000002</v>
      </c>
      <c r="I749">
        <f t="shared" si="23"/>
        <v>-7.5377722755766791E-2</v>
      </c>
    </row>
    <row r="750" spans="1:9" x14ac:dyDescent="0.2">
      <c r="A750" s="40" t="s">
        <v>502</v>
      </c>
      <c r="B750" s="42">
        <v>74.400000000000006</v>
      </c>
      <c r="D750" s="42"/>
      <c r="E750" s="40">
        <v>260</v>
      </c>
      <c r="F750" s="43">
        <v>129.05000000000001</v>
      </c>
      <c r="G750" s="40">
        <f t="shared" si="22"/>
        <v>-8.5647926927193113E-2</v>
      </c>
      <c r="H750" s="40">
        <v>25.824000000000002</v>
      </c>
      <c r="I750">
        <f t="shared" si="23"/>
        <v>-3.3546521704195233E-2</v>
      </c>
    </row>
    <row r="751" spans="1:9" x14ac:dyDescent="0.2">
      <c r="A751" s="40" t="s">
        <v>503</v>
      </c>
      <c r="B751" s="42">
        <v>77.45</v>
      </c>
      <c r="D751" s="42"/>
      <c r="E751" s="40">
        <v>259</v>
      </c>
      <c r="F751" s="43">
        <v>140.59</v>
      </c>
      <c r="G751" s="40">
        <f t="shared" si="22"/>
        <v>-4.1169848042921058E-3</v>
      </c>
      <c r="H751" s="40">
        <v>26.704999999999998</v>
      </c>
      <c r="I751">
        <f t="shared" si="23"/>
        <v>6.1664293336448329E-2</v>
      </c>
    </row>
    <row r="752" spans="1:9" x14ac:dyDescent="0.2">
      <c r="A752" s="40" t="s">
        <v>504</v>
      </c>
      <c r="B752" s="42">
        <v>84.69</v>
      </c>
      <c r="D752" s="42"/>
      <c r="E752" s="40">
        <v>258</v>
      </c>
      <c r="F752" s="43">
        <v>141.16999999999999</v>
      </c>
      <c r="G752" s="40">
        <f t="shared" si="22"/>
        <v>8.9377540043511422E-2</v>
      </c>
      <c r="H752" s="40">
        <v>25.108000000000001</v>
      </c>
      <c r="I752">
        <f t="shared" si="23"/>
        <v>1.5250315625470155E-2</v>
      </c>
    </row>
    <row r="753" spans="1:9" x14ac:dyDescent="0.2">
      <c r="A753" s="40" t="s">
        <v>505</v>
      </c>
      <c r="B753" s="42">
        <v>87.28</v>
      </c>
      <c r="D753" s="42"/>
      <c r="E753" s="40">
        <v>257</v>
      </c>
      <c r="F753" s="43">
        <v>129.1</v>
      </c>
      <c r="G753" s="40">
        <f t="shared" si="22"/>
        <v>7.8778338206049153E-2</v>
      </c>
      <c r="H753" s="40">
        <v>24.728000000000002</v>
      </c>
      <c r="I753">
        <f t="shared" si="23"/>
        <v>1.6678266998287148E-2</v>
      </c>
    </row>
    <row r="754" spans="1:9" x14ac:dyDescent="0.2">
      <c r="A754" s="40" t="s">
        <v>506</v>
      </c>
      <c r="B754" s="42">
        <v>91.23</v>
      </c>
      <c r="D754" s="42"/>
      <c r="E754" s="40">
        <v>256</v>
      </c>
      <c r="F754" s="43">
        <v>119.32</v>
      </c>
      <c r="G754" s="40">
        <f t="shared" si="22"/>
        <v>3.8626297080330435E-3</v>
      </c>
      <c r="H754" s="40">
        <v>24.318999999999999</v>
      </c>
      <c r="I754">
        <f t="shared" si="23"/>
        <v>1.5373124768422518E-2</v>
      </c>
    </row>
    <row r="755" spans="1:9" x14ac:dyDescent="0.2">
      <c r="A755" s="40" t="s">
        <v>507</v>
      </c>
      <c r="B755" s="42">
        <v>90.86</v>
      </c>
      <c r="D755" s="42"/>
      <c r="E755" s="40">
        <v>255</v>
      </c>
      <c r="F755" s="43">
        <v>118.86</v>
      </c>
      <c r="G755" s="40">
        <f t="shared" si="22"/>
        <v>-4.3383073589341924E-2</v>
      </c>
      <c r="H755" s="40">
        <v>23.948</v>
      </c>
      <c r="I755">
        <f t="shared" si="23"/>
        <v>-5.2624460773333222E-2</v>
      </c>
    </row>
    <row r="756" spans="1:9" x14ac:dyDescent="0.2">
      <c r="A756" s="40" t="s">
        <v>508</v>
      </c>
      <c r="B756" s="42">
        <v>88.19</v>
      </c>
      <c r="D756" s="42"/>
      <c r="E756" s="40">
        <v>254</v>
      </c>
      <c r="F756" s="43">
        <v>124.13</v>
      </c>
      <c r="G756" s="40">
        <f t="shared" si="22"/>
        <v>-6.1039463471373821E-3</v>
      </c>
      <c r="H756" s="40">
        <v>25.242000000000001</v>
      </c>
      <c r="I756">
        <f t="shared" si="23"/>
        <v>2.4219307296656459E-2</v>
      </c>
    </row>
    <row r="757" spans="1:9" x14ac:dyDescent="0.2">
      <c r="A757" s="40" t="s">
        <v>509</v>
      </c>
      <c r="B757" s="42">
        <v>83.91</v>
      </c>
      <c r="D757" s="42"/>
      <c r="E757" s="40">
        <v>253</v>
      </c>
      <c r="F757" s="43">
        <v>124.89</v>
      </c>
      <c r="G757" s="40">
        <f t="shared" si="22"/>
        <v>-1.7600004543148855E-3</v>
      </c>
      <c r="H757" s="40">
        <v>24.638000000000002</v>
      </c>
      <c r="I757">
        <f t="shared" si="23"/>
        <v>6.1884408880588278E-3</v>
      </c>
    </row>
    <row r="758" spans="1:9" x14ac:dyDescent="0.2">
      <c r="A758" s="41">
        <v>39819</v>
      </c>
      <c r="B758" s="42">
        <v>84.23</v>
      </c>
      <c r="D758" s="42"/>
      <c r="E758" s="40">
        <v>252</v>
      </c>
      <c r="F758" s="43">
        <v>125.11</v>
      </c>
      <c r="G758" s="40">
        <f t="shared" si="22"/>
        <v>4.49569002679353E-2</v>
      </c>
      <c r="H758" s="40">
        <v>24.486000000000001</v>
      </c>
      <c r="I758">
        <f t="shared" si="23"/>
        <v>6.9588140863914266E-2</v>
      </c>
    </row>
    <row r="759" spans="1:9" x14ac:dyDescent="0.2">
      <c r="A759" s="41">
        <v>39850</v>
      </c>
      <c r="B759" s="42">
        <v>83.82</v>
      </c>
      <c r="D759" s="42"/>
      <c r="E759" s="40">
        <v>251</v>
      </c>
      <c r="F759" s="43">
        <v>119.61</v>
      </c>
      <c r="G759" s="40">
        <f t="shared" si="22"/>
        <v>1.3636574949545444E-2</v>
      </c>
      <c r="H759" s="40">
        <v>22.84</v>
      </c>
      <c r="I759">
        <f t="shared" si="23"/>
        <v>4.0019631152507305E-2</v>
      </c>
    </row>
    <row r="760" spans="1:9" x14ac:dyDescent="0.2">
      <c r="A760" s="41">
        <v>39878</v>
      </c>
      <c r="B760" s="42">
        <v>84.89</v>
      </c>
      <c r="D760" s="42"/>
      <c r="E760" s="40">
        <v>250</v>
      </c>
      <c r="F760" s="43">
        <v>117.99</v>
      </c>
      <c r="G760" s="40">
        <f t="shared" si="22"/>
        <v>-5.8193747027324098E-2</v>
      </c>
      <c r="H760" s="40">
        <v>21.943999999999999</v>
      </c>
      <c r="I760">
        <f t="shared" si="23"/>
        <v>-3.7037957453533263E-2</v>
      </c>
    </row>
    <row r="761" spans="1:9" x14ac:dyDescent="0.2">
      <c r="A761" s="41">
        <v>39909</v>
      </c>
      <c r="B761" s="42">
        <v>81.260000000000005</v>
      </c>
      <c r="D761" s="42"/>
      <c r="E761" s="40">
        <v>249</v>
      </c>
      <c r="F761" s="43">
        <v>125.06</v>
      </c>
      <c r="G761" s="40">
        <f t="shared" si="22"/>
        <v>-5.7336090539893664E-2</v>
      </c>
      <c r="H761" s="40">
        <v>22.771999999999998</v>
      </c>
      <c r="I761">
        <f t="shared" si="23"/>
        <v>1.986937816264819E-2</v>
      </c>
    </row>
    <row r="762" spans="1:9" x14ac:dyDescent="0.2">
      <c r="A762" s="41">
        <v>39939</v>
      </c>
      <c r="B762" s="42">
        <v>82.11</v>
      </c>
      <c r="D762" s="42"/>
      <c r="E762" s="40">
        <v>248</v>
      </c>
      <c r="F762" s="43">
        <v>132.44</v>
      </c>
      <c r="G762" s="40">
        <f t="shared" si="22"/>
        <v>-6.3622592893638585E-2</v>
      </c>
      <c r="H762" s="40">
        <v>22.324000000000002</v>
      </c>
      <c r="I762">
        <f t="shared" si="23"/>
        <v>-4.5876391766003395E-2</v>
      </c>
    </row>
    <row r="763" spans="1:9" x14ac:dyDescent="0.2">
      <c r="A763" s="41">
        <v>40031</v>
      </c>
      <c r="B763" s="42">
        <v>82.69</v>
      </c>
      <c r="D763" s="42"/>
      <c r="E763" s="40">
        <v>247</v>
      </c>
      <c r="F763" s="43">
        <v>141.13999999999999</v>
      </c>
      <c r="G763" s="40">
        <f t="shared" si="22"/>
        <v>-5.116929633593259E-2</v>
      </c>
      <c r="H763" s="40">
        <v>23.372</v>
      </c>
      <c r="I763">
        <f t="shared" si="23"/>
        <v>-8.5568818774570203E-5</v>
      </c>
    </row>
    <row r="764" spans="1:9" x14ac:dyDescent="0.2">
      <c r="A764" s="41">
        <v>40062</v>
      </c>
      <c r="B764" s="42">
        <v>81.64</v>
      </c>
      <c r="D764" s="42"/>
      <c r="E764" s="40">
        <v>246</v>
      </c>
      <c r="F764" s="43">
        <v>148.55000000000001</v>
      </c>
      <c r="G764" s="40">
        <f t="shared" si="22"/>
        <v>-1.5032853665239E-2</v>
      </c>
      <c r="H764" s="40">
        <v>23.373999999999999</v>
      </c>
      <c r="I764">
        <f t="shared" si="23"/>
        <v>-3.2660086587616419E-2</v>
      </c>
    </row>
    <row r="765" spans="1:9" x14ac:dyDescent="0.2">
      <c r="A765" s="41">
        <v>40092</v>
      </c>
      <c r="B765" s="42">
        <v>86.92</v>
      </c>
      <c r="D765" s="42"/>
      <c r="E765" s="40">
        <v>245</v>
      </c>
      <c r="F765" s="43">
        <v>150.80000000000001</v>
      </c>
      <c r="G765" s="40">
        <f t="shared" si="22"/>
        <v>-2.3462639947851957E-2</v>
      </c>
      <c r="H765" s="40">
        <v>24.15</v>
      </c>
      <c r="I765">
        <f t="shared" si="23"/>
        <v>-3.7267859973027305E-2</v>
      </c>
    </row>
    <row r="766" spans="1:9" x14ac:dyDescent="0.2">
      <c r="A766" s="41">
        <v>40123</v>
      </c>
      <c r="B766" s="42">
        <v>85.22</v>
      </c>
      <c r="D766" s="42"/>
      <c r="E766" s="40">
        <v>244</v>
      </c>
      <c r="F766" s="43">
        <v>154.38</v>
      </c>
      <c r="G766" s="40">
        <f t="shared" si="22"/>
        <v>3.2120702690966597E-2</v>
      </c>
      <c r="H766" s="40">
        <v>25.067</v>
      </c>
      <c r="I766">
        <f t="shared" si="23"/>
        <v>-3.2806552041923231E-2</v>
      </c>
    </row>
    <row r="767" spans="1:9" x14ac:dyDescent="0.2">
      <c r="A767" s="41">
        <v>40153</v>
      </c>
      <c r="B767" s="42">
        <v>85.43</v>
      </c>
      <c r="D767" s="42"/>
      <c r="E767" s="40">
        <v>243</v>
      </c>
      <c r="F767" s="43">
        <v>149.5</v>
      </c>
      <c r="G767" s="40">
        <f t="shared" si="22"/>
        <v>9.7587017324446051E-2</v>
      </c>
      <c r="H767" s="40">
        <v>25.902999999999999</v>
      </c>
      <c r="I767">
        <f t="shared" si="23"/>
        <v>-3.9327615162843971E-2</v>
      </c>
    </row>
    <row r="768" spans="1:9" x14ac:dyDescent="0.2">
      <c r="A768" s="40" t="s">
        <v>510</v>
      </c>
      <c r="B768" s="42">
        <v>85.05</v>
      </c>
      <c r="D768" s="42"/>
      <c r="E768" s="40">
        <v>242</v>
      </c>
      <c r="F768" s="43">
        <v>135.6</v>
      </c>
      <c r="G768" s="40">
        <f t="shared" si="22"/>
        <v>4.3329437397537737E-2</v>
      </c>
      <c r="H768" s="40">
        <v>26.942</v>
      </c>
      <c r="I768">
        <f t="shared" si="23"/>
        <v>1.371548304836469E-2</v>
      </c>
    </row>
    <row r="769" spans="1:9" x14ac:dyDescent="0.2">
      <c r="A769" s="40" t="s">
        <v>511</v>
      </c>
      <c r="B769" s="42">
        <v>88.49</v>
      </c>
      <c r="D769" s="42"/>
      <c r="E769" s="40">
        <v>241</v>
      </c>
      <c r="F769" s="43">
        <v>129.85</v>
      </c>
      <c r="G769" s="40">
        <f t="shared" si="22"/>
        <v>1.4740375502959644E-2</v>
      </c>
      <c r="H769" s="40">
        <v>26.574999999999999</v>
      </c>
      <c r="I769">
        <f t="shared" si="23"/>
        <v>-5.2197871023707688E-2</v>
      </c>
    </row>
    <row r="770" spans="1:9" x14ac:dyDescent="0.2">
      <c r="A770" s="40" t="s">
        <v>512</v>
      </c>
      <c r="B770" s="42">
        <v>86.49</v>
      </c>
      <c r="D770" s="42"/>
      <c r="E770" s="40">
        <v>240</v>
      </c>
      <c r="F770" s="43">
        <v>127.95</v>
      </c>
      <c r="G770" s="40">
        <f t="shared" si="22"/>
        <v>8.4605661726148182E-2</v>
      </c>
      <c r="H770" s="40">
        <v>27.998999999999999</v>
      </c>
      <c r="I770">
        <f t="shared" si="23"/>
        <v>6.5214506602961188E-3</v>
      </c>
    </row>
    <row r="771" spans="1:9" x14ac:dyDescent="0.2">
      <c r="A771" s="40" t="s">
        <v>513</v>
      </c>
      <c r="B771" s="42">
        <v>83.87</v>
      </c>
      <c r="D771" s="42"/>
      <c r="E771" s="40">
        <v>239</v>
      </c>
      <c r="F771" s="43">
        <v>117.57</v>
      </c>
      <c r="G771" s="40">
        <f t="shared" ref="G771:G834" si="24">LN(F771/F772)</f>
        <v>-4.8721307175255656E-2</v>
      </c>
      <c r="H771" s="40">
        <v>27.817</v>
      </c>
      <c r="I771">
        <f t="shared" ref="I771:I834" si="25">LN(H771/H772)</f>
        <v>1.5104331197398799E-2</v>
      </c>
    </row>
    <row r="772" spans="1:9" x14ac:dyDescent="0.2">
      <c r="A772" s="40" t="s">
        <v>514</v>
      </c>
      <c r="B772" s="42">
        <v>84.15</v>
      </c>
      <c r="D772" s="42"/>
      <c r="E772" s="40">
        <v>238</v>
      </c>
      <c r="F772" s="43">
        <v>123.44</v>
      </c>
      <c r="G772" s="40">
        <f t="shared" si="24"/>
        <v>8.0083214002655917E-2</v>
      </c>
      <c r="H772" s="40">
        <v>27.4</v>
      </c>
      <c r="I772">
        <f t="shared" si="25"/>
        <v>5.599590088431485E-3</v>
      </c>
    </row>
    <row r="773" spans="1:9" x14ac:dyDescent="0.2">
      <c r="A773" s="40" t="s">
        <v>515</v>
      </c>
      <c r="B773" s="42">
        <v>86.1</v>
      </c>
      <c r="D773" s="42"/>
      <c r="E773" s="40">
        <v>237</v>
      </c>
      <c r="F773" s="43">
        <v>113.94</v>
      </c>
      <c r="G773" s="40">
        <f t="shared" si="24"/>
        <v>2.0661342384625862E-2</v>
      </c>
      <c r="H773" s="40">
        <v>27.247</v>
      </c>
      <c r="I773">
        <f t="shared" si="25"/>
        <v>-3.3598108325491906E-2</v>
      </c>
    </row>
    <row r="774" spans="1:9" x14ac:dyDescent="0.2">
      <c r="A774" s="40" t="s">
        <v>516</v>
      </c>
      <c r="B774" s="42">
        <v>85.64</v>
      </c>
      <c r="D774" s="42"/>
      <c r="E774" s="40">
        <v>236</v>
      </c>
      <c r="F774" s="43">
        <v>111.61</v>
      </c>
      <c r="G774" s="40">
        <f t="shared" si="24"/>
        <v>-1.2554142534073671E-2</v>
      </c>
      <c r="H774" s="40">
        <v>28.178000000000001</v>
      </c>
      <c r="I774">
        <f t="shared" si="25"/>
        <v>2.0580841872729499E-2</v>
      </c>
    </row>
    <row r="775" spans="1:9" x14ac:dyDescent="0.2">
      <c r="A775" s="40" t="s">
        <v>517</v>
      </c>
      <c r="B775" s="42">
        <v>83.96</v>
      </c>
      <c r="D775" s="42"/>
      <c r="E775" s="40">
        <v>235</v>
      </c>
      <c r="F775" s="43">
        <v>113.02</v>
      </c>
      <c r="G775" s="40">
        <f t="shared" si="24"/>
        <v>-7.40482932123854E-3</v>
      </c>
      <c r="H775" s="40">
        <v>27.603999999999999</v>
      </c>
      <c r="I775">
        <f t="shared" si="25"/>
        <v>-5.9285471081286734E-2</v>
      </c>
    </row>
    <row r="776" spans="1:9" x14ac:dyDescent="0.2">
      <c r="A776" s="40" t="s">
        <v>518</v>
      </c>
      <c r="B776" s="42">
        <v>82.57</v>
      </c>
      <c r="D776" s="42"/>
      <c r="E776" s="40">
        <v>234</v>
      </c>
      <c r="F776" s="43">
        <v>113.86</v>
      </c>
      <c r="G776" s="40">
        <f t="shared" si="24"/>
        <v>-3.4188412570605391E-2</v>
      </c>
      <c r="H776" s="40">
        <v>29.29</v>
      </c>
      <c r="I776">
        <f t="shared" si="25"/>
        <v>-2.7976442072133813E-2</v>
      </c>
    </row>
    <row r="777" spans="1:9" x14ac:dyDescent="0.2">
      <c r="A777" s="40" t="s">
        <v>519</v>
      </c>
      <c r="B777" s="42">
        <v>77.599999999999994</v>
      </c>
      <c r="D777" s="42"/>
      <c r="E777" s="40">
        <v>233</v>
      </c>
      <c r="F777" s="43">
        <v>117.82</v>
      </c>
      <c r="G777" s="40">
        <f t="shared" si="24"/>
        <v>-1.2567111794167776E-2</v>
      </c>
      <c r="H777" s="40">
        <v>30.120999999999999</v>
      </c>
      <c r="I777">
        <f t="shared" si="25"/>
        <v>2.3853848883805994E-2</v>
      </c>
    </row>
    <row r="778" spans="1:9" x14ac:dyDescent="0.2">
      <c r="A778" s="40" t="s">
        <v>520</v>
      </c>
      <c r="B778" s="42">
        <v>79.69</v>
      </c>
      <c r="D778" s="42"/>
      <c r="E778" s="40">
        <v>232</v>
      </c>
      <c r="F778" s="43">
        <v>119.31</v>
      </c>
      <c r="G778" s="40">
        <f t="shared" si="24"/>
        <v>8.7537265581964827E-2</v>
      </c>
      <c r="H778" s="40">
        <v>29.411000000000001</v>
      </c>
      <c r="I778">
        <f t="shared" si="25"/>
        <v>-5.9325224420741351E-3</v>
      </c>
    </row>
    <row r="779" spans="1:9" x14ac:dyDescent="0.2">
      <c r="A779" s="40" t="s">
        <v>521</v>
      </c>
      <c r="B779" s="42">
        <v>79.599999999999994</v>
      </c>
      <c r="D779" s="42"/>
      <c r="E779" s="40">
        <v>231</v>
      </c>
      <c r="F779" s="43">
        <v>109.31</v>
      </c>
      <c r="G779" s="40">
        <f t="shared" si="24"/>
        <v>7.8986450328606874E-3</v>
      </c>
      <c r="H779" s="40">
        <v>29.585999999999999</v>
      </c>
      <c r="I779">
        <f t="shared" si="25"/>
        <v>-1.392943796990158E-2</v>
      </c>
    </row>
    <row r="780" spans="1:9" x14ac:dyDescent="0.2">
      <c r="A780" s="41">
        <v>39820</v>
      </c>
      <c r="B780" s="42">
        <v>79.680000000000007</v>
      </c>
      <c r="D780" s="42"/>
      <c r="E780" s="40">
        <v>230</v>
      </c>
      <c r="F780" s="43">
        <v>108.45</v>
      </c>
      <c r="G780" s="40">
        <f t="shared" si="24"/>
        <v>-1.1186619499234088E-2</v>
      </c>
      <c r="H780" s="40">
        <v>30.001000000000001</v>
      </c>
      <c r="I780">
        <f t="shared" si="25"/>
        <v>-1.0642807219444354E-2</v>
      </c>
    </row>
    <row r="781" spans="1:9" x14ac:dyDescent="0.2">
      <c r="A781" s="41">
        <v>39851</v>
      </c>
      <c r="B781" s="42">
        <v>81.319999999999993</v>
      </c>
      <c r="D781" s="42"/>
      <c r="E781" s="40">
        <v>229</v>
      </c>
      <c r="F781" s="43">
        <v>109.67</v>
      </c>
      <c r="G781" s="40">
        <f t="shared" si="24"/>
        <v>-1.0611863222660204E-2</v>
      </c>
      <c r="H781" s="40">
        <v>30.321999999999999</v>
      </c>
      <c r="I781">
        <f t="shared" si="25"/>
        <v>-2.0337913531935006E-2</v>
      </c>
    </row>
    <row r="782" spans="1:9" x14ac:dyDescent="0.2">
      <c r="A782" s="41">
        <v>39971</v>
      </c>
      <c r="B782" s="42">
        <v>83.2</v>
      </c>
      <c r="D782" s="42"/>
      <c r="E782" s="40">
        <v>228</v>
      </c>
      <c r="F782" s="43">
        <v>110.84</v>
      </c>
      <c r="G782" s="40">
        <f t="shared" si="24"/>
        <v>1.2163170738222111E-2</v>
      </c>
      <c r="H782" s="40">
        <v>30.945</v>
      </c>
      <c r="I782">
        <f t="shared" si="25"/>
        <v>4.3086634763438603E-2</v>
      </c>
    </row>
    <row r="783" spans="1:9" x14ac:dyDescent="0.2">
      <c r="A783" s="41">
        <v>40001</v>
      </c>
      <c r="B783" s="42">
        <v>85.63</v>
      </c>
      <c r="D783" s="42"/>
      <c r="E783" s="40">
        <v>227</v>
      </c>
      <c r="F783" s="43">
        <v>109.5</v>
      </c>
      <c r="G783" s="40">
        <f t="shared" si="24"/>
        <v>-4.7528224531542415E-2</v>
      </c>
      <c r="H783" s="40">
        <v>29.64</v>
      </c>
      <c r="I783">
        <f t="shared" si="25"/>
        <v>8.1301260832503091E-3</v>
      </c>
    </row>
    <row r="784" spans="1:9" x14ac:dyDescent="0.2">
      <c r="A784" s="41">
        <v>40032</v>
      </c>
      <c r="B784" s="42">
        <v>86.17</v>
      </c>
      <c r="D784" s="42"/>
      <c r="E784" s="40">
        <v>226</v>
      </c>
      <c r="F784" s="43">
        <v>114.83</v>
      </c>
      <c r="G784" s="40">
        <f t="shared" si="24"/>
        <v>-9.4475242243290108E-3</v>
      </c>
      <c r="H784" s="40">
        <v>29.4</v>
      </c>
      <c r="I784">
        <f t="shared" si="25"/>
        <v>1.1115975939907732E-2</v>
      </c>
    </row>
    <row r="785" spans="1:9" x14ac:dyDescent="0.2">
      <c r="A785" s="41">
        <v>40063</v>
      </c>
      <c r="B785" s="42">
        <v>82.88</v>
      </c>
      <c r="D785" s="42"/>
      <c r="E785" s="40">
        <v>225</v>
      </c>
      <c r="F785" s="43">
        <v>115.92</v>
      </c>
      <c r="G785" s="40">
        <f t="shared" si="24"/>
        <v>-3.8417449603148031E-2</v>
      </c>
      <c r="H785" s="40">
        <v>29.074999999999999</v>
      </c>
      <c r="I785">
        <f t="shared" si="25"/>
        <v>4.7760599769820271E-2</v>
      </c>
    </row>
    <row r="786" spans="1:9" x14ac:dyDescent="0.2">
      <c r="A786" s="41">
        <v>40093</v>
      </c>
      <c r="B786" s="42">
        <v>81.42</v>
      </c>
      <c r="D786" s="42"/>
      <c r="E786" s="40">
        <v>224</v>
      </c>
      <c r="F786" s="43">
        <v>120.46</v>
      </c>
      <c r="G786" s="40">
        <f t="shared" si="24"/>
        <v>-1.8424604101290799E-2</v>
      </c>
      <c r="H786" s="40">
        <v>27.719000000000001</v>
      </c>
      <c r="I786">
        <f t="shared" si="25"/>
        <v>-2.9538926377562754E-3</v>
      </c>
    </row>
    <row r="787" spans="1:9" x14ac:dyDescent="0.2">
      <c r="A787" s="40" t="s">
        <v>522</v>
      </c>
      <c r="B787" s="42">
        <v>80.58</v>
      </c>
      <c r="D787" s="42"/>
      <c r="E787" s="40">
        <v>223</v>
      </c>
      <c r="F787" s="43">
        <v>122.7</v>
      </c>
      <c r="G787" s="40">
        <f t="shared" si="24"/>
        <v>-6.8579854938680865E-2</v>
      </c>
      <c r="H787" s="40">
        <v>27.800999999999998</v>
      </c>
      <c r="I787">
        <f t="shared" si="25"/>
        <v>-2.0859302617721922E-2</v>
      </c>
    </row>
    <row r="788" spans="1:9" x14ac:dyDescent="0.2">
      <c r="A788" s="40" t="s">
        <v>523</v>
      </c>
      <c r="B788" s="42">
        <v>81.52</v>
      </c>
      <c r="D788" s="42"/>
      <c r="E788" s="40">
        <v>222</v>
      </c>
      <c r="F788" s="43">
        <v>131.41</v>
      </c>
      <c r="G788" s="40">
        <f t="shared" si="24"/>
        <v>-5.3774803110226088E-2</v>
      </c>
      <c r="H788" s="40">
        <v>28.387</v>
      </c>
      <c r="I788">
        <f t="shared" si="25"/>
        <v>-7.0450223096809456E-2</v>
      </c>
    </row>
    <row r="789" spans="1:9" x14ac:dyDescent="0.2">
      <c r="A789" s="40" t="s">
        <v>524</v>
      </c>
      <c r="B789" s="42">
        <v>85.64</v>
      </c>
      <c r="D789" s="42"/>
      <c r="E789" s="40">
        <v>221</v>
      </c>
      <c r="F789" s="43">
        <v>138.66999999999999</v>
      </c>
      <c r="G789" s="40">
        <f t="shared" si="24"/>
        <v>1.9001044848858128E-2</v>
      </c>
      <c r="H789" s="40">
        <v>30.459</v>
      </c>
      <c r="I789">
        <f t="shared" si="25"/>
        <v>7.2213145773262752E-2</v>
      </c>
    </row>
    <row r="790" spans="1:9" x14ac:dyDescent="0.2">
      <c r="A790" s="40" t="s">
        <v>525</v>
      </c>
      <c r="B790" s="42">
        <v>83.64</v>
      </c>
      <c r="D790" s="42"/>
      <c r="E790" s="40">
        <v>220</v>
      </c>
      <c r="F790" s="43">
        <v>136.06</v>
      </c>
      <c r="G790" s="40">
        <f t="shared" si="24"/>
        <v>5.3516145740614973E-2</v>
      </c>
      <c r="H790" s="40">
        <v>28.337</v>
      </c>
      <c r="I790">
        <f t="shared" si="25"/>
        <v>6.2303291909679712E-3</v>
      </c>
    </row>
    <row r="791" spans="1:9" x14ac:dyDescent="0.2">
      <c r="A791" s="40" t="s">
        <v>526</v>
      </c>
      <c r="B791" s="42">
        <v>82.49</v>
      </c>
      <c r="D791" s="42"/>
      <c r="E791" s="40">
        <v>219</v>
      </c>
      <c r="F791" s="43">
        <v>128.97</v>
      </c>
      <c r="G791" s="40">
        <f t="shared" si="24"/>
        <v>8.37390191351155E-2</v>
      </c>
      <c r="H791" s="40">
        <v>28.161000000000001</v>
      </c>
      <c r="I791">
        <f t="shared" si="25"/>
        <v>-6.9837654999313478E-2</v>
      </c>
    </row>
    <row r="792" spans="1:9" x14ac:dyDescent="0.2">
      <c r="A792" s="40" t="s">
        <v>527</v>
      </c>
      <c r="B792" s="42">
        <v>80.98</v>
      </c>
      <c r="D792" s="42"/>
      <c r="E792" s="40">
        <v>218</v>
      </c>
      <c r="F792" s="43">
        <v>118.61</v>
      </c>
      <c r="G792" s="40">
        <f t="shared" si="24"/>
        <v>-6.4954714763172494E-2</v>
      </c>
      <c r="H792" s="40">
        <v>30.198</v>
      </c>
      <c r="I792">
        <f t="shared" si="25"/>
        <v>-9.6230639778854526E-3</v>
      </c>
    </row>
    <row r="793" spans="1:9" x14ac:dyDescent="0.2">
      <c r="A793" s="40" t="s">
        <v>528</v>
      </c>
      <c r="B793" s="42">
        <v>80.45</v>
      </c>
      <c r="D793" s="42"/>
      <c r="E793" s="40">
        <v>217</v>
      </c>
      <c r="F793" s="43">
        <v>126.57</v>
      </c>
      <c r="G793" s="40">
        <f t="shared" si="24"/>
        <v>4.4426624084708134E-2</v>
      </c>
      <c r="H793" s="40">
        <v>30.49</v>
      </c>
      <c r="I793">
        <f t="shared" si="25"/>
        <v>-4.2884804787828738E-2</v>
      </c>
    </row>
    <row r="794" spans="1:9" x14ac:dyDescent="0.2">
      <c r="A794" s="40" t="s">
        <v>529</v>
      </c>
      <c r="B794" s="42">
        <v>75.3</v>
      </c>
      <c r="D794" s="42"/>
      <c r="E794" s="40">
        <v>216</v>
      </c>
      <c r="F794" s="43">
        <v>121.07</v>
      </c>
      <c r="G794" s="40">
        <f t="shared" si="24"/>
        <v>6.1487098209900268E-2</v>
      </c>
      <c r="H794" s="40">
        <v>31.826000000000001</v>
      </c>
      <c r="I794">
        <f t="shared" si="25"/>
        <v>-1.8707843314183431E-2</v>
      </c>
    </row>
    <row r="795" spans="1:9" x14ac:dyDescent="0.2">
      <c r="A795" s="40" t="s">
        <v>530</v>
      </c>
      <c r="B795" s="42">
        <v>72.8</v>
      </c>
      <c r="D795" s="42"/>
      <c r="E795" s="40">
        <v>215</v>
      </c>
      <c r="F795" s="43">
        <v>113.85</v>
      </c>
      <c r="G795" s="40">
        <f t="shared" si="24"/>
        <v>-6.7416457589270617E-2</v>
      </c>
      <c r="H795" s="40">
        <v>32.427</v>
      </c>
      <c r="I795">
        <f t="shared" si="25"/>
        <v>7.656145403747458E-2</v>
      </c>
    </row>
    <row r="796" spans="1:9" x14ac:dyDescent="0.2">
      <c r="A796" s="40" t="s">
        <v>531</v>
      </c>
      <c r="B796" s="42">
        <v>73.010000000000005</v>
      </c>
      <c r="D796" s="42"/>
      <c r="E796" s="40">
        <v>214</v>
      </c>
      <c r="F796" s="43">
        <v>121.79</v>
      </c>
      <c r="G796" s="40">
        <f t="shared" si="24"/>
        <v>6.3559172189512639E-2</v>
      </c>
      <c r="H796" s="40">
        <v>30.036999999999999</v>
      </c>
      <c r="I796">
        <f t="shared" si="25"/>
        <v>-2.1604660500211724E-2</v>
      </c>
    </row>
    <row r="797" spans="1:9" x14ac:dyDescent="0.2">
      <c r="A797" s="40" t="s">
        <v>532</v>
      </c>
      <c r="B797" s="42">
        <v>74.349999999999994</v>
      </c>
      <c r="D797" s="42"/>
      <c r="E797" s="40">
        <v>213</v>
      </c>
      <c r="F797" s="43">
        <v>114.29</v>
      </c>
      <c r="G797" s="40">
        <f t="shared" si="24"/>
        <v>-3.1267350531519897E-2</v>
      </c>
      <c r="H797" s="40">
        <v>30.693000000000001</v>
      </c>
      <c r="I797">
        <f t="shared" si="25"/>
        <v>-4.5631055570661674E-2</v>
      </c>
    </row>
    <row r="798" spans="1:9" x14ac:dyDescent="0.2">
      <c r="A798" s="40" t="s">
        <v>533</v>
      </c>
      <c r="B798" s="42">
        <v>76.680000000000007</v>
      </c>
      <c r="D798" s="42"/>
      <c r="E798" s="40">
        <v>212</v>
      </c>
      <c r="F798" s="43">
        <v>117.92</v>
      </c>
      <c r="G798" s="40">
        <f t="shared" si="24"/>
        <v>-0.16360382247101349</v>
      </c>
      <c r="H798" s="40">
        <v>32.125999999999998</v>
      </c>
      <c r="I798">
        <f t="shared" si="25"/>
        <v>2.1743749300549856E-2</v>
      </c>
    </row>
    <row r="799" spans="1:9" x14ac:dyDescent="0.2">
      <c r="A799" s="40" t="s">
        <v>534</v>
      </c>
      <c r="B799" s="42">
        <v>77.099999999999994</v>
      </c>
      <c r="D799" s="42"/>
      <c r="E799" s="40">
        <v>211</v>
      </c>
      <c r="F799" s="43">
        <v>138.88</v>
      </c>
      <c r="G799" s="40">
        <f t="shared" si="24"/>
        <v>-0.11688657660934637</v>
      </c>
      <c r="H799" s="40">
        <v>31.434999999999999</v>
      </c>
      <c r="I799">
        <f t="shared" si="25"/>
        <v>-3.8718941644598485E-2</v>
      </c>
    </row>
    <row r="800" spans="1:9" x14ac:dyDescent="0.2">
      <c r="A800" s="40" t="s">
        <v>535</v>
      </c>
      <c r="B800" s="42">
        <v>73.88</v>
      </c>
      <c r="D800" s="42"/>
      <c r="E800" s="40">
        <v>210</v>
      </c>
      <c r="F800" s="43">
        <v>156.1</v>
      </c>
      <c r="G800" s="40">
        <f t="shared" si="24"/>
        <v>5.7957617694539394E-2</v>
      </c>
      <c r="H800" s="40">
        <v>32.676000000000002</v>
      </c>
      <c r="I800">
        <f t="shared" si="25"/>
        <v>-2.1196215338738954E-2</v>
      </c>
    </row>
    <row r="801" spans="1:9" x14ac:dyDescent="0.2">
      <c r="A801" s="40" t="s">
        <v>536</v>
      </c>
      <c r="B801" s="42">
        <v>73.47</v>
      </c>
      <c r="D801" s="42"/>
      <c r="E801" s="40">
        <v>209</v>
      </c>
      <c r="F801" s="43">
        <v>147.31</v>
      </c>
      <c r="G801" s="40">
        <f t="shared" si="24"/>
        <v>-5.1014931026518391E-2</v>
      </c>
      <c r="H801" s="40">
        <v>33.375999999999998</v>
      </c>
      <c r="I801">
        <f t="shared" si="25"/>
        <v>5.7754299426395886E-2</v>
      </c>
    </row>
    <row r="802" spans="1:9" x14ac:dyDescent="0.2">
      <c r="A802" s="41">
        <v>39880</v>
      </c>
      <c r="B802" s="42">
        <v>72.790000000000006</v>
      </c>
      <c r="D802" s="42"/>
      <c r="E802" s="40">
        <v>208</v>
      </c>
      <c r="F802" s="43">
        <v>155.02000000000001</v>
      </c>
      <c r="G802" s="40">
        <f t="shared" si="24"/>
        <v>8.3861325494684322E-2</v>
      </c>
      <c r="H802" s="40">
        <v>31.503</v>
      </c>
      <c r="I802">
        <f t="shared" si="25"/>
        <v>-3.6496875212350809E-2</v>
      </c>
    </row>
    <row r="803" spans="1:9" x14ac:dyDescent="0.2">
      <c r="A803" s="41">
        <v>39911</v>
      </c>
      <c r="B803" s="42">
        <v>71.05</v>
      </c>
      <c r="D803" s="42"/>
      <c r="E803" s="40">
        <v>207</v>
      </c>
      <c r="F803" s="43">
        <v>142.55000000000001</v>
      </c>
      <c r="G803" s="40">
        <f t="shared" si="24"/>
        <v>8.2665107265780052E-2</v>
      </c>
      <c r="H803" s="40">
        <v>32.673999999999999</v>
      </c>
      <c r="I803">
        <f t="shared" si="25"/>
        <v>2.8812921454267091E-2</v>
      </c>
    </row>
    <row r="804" spans="1:9" x14ac:dyDescent="0.2">
      <c r="A804" s="41">
        <v>39941</v>
      </c>
      <c r="B804" s="42">
        <v>70.13</v>
      </c>
      <c r="D804" s="42"/>
      <c r="E804" s="40">
        <v>206</v>
      </c>
      <c r="F804" s="43">
        <v>131.24</v>
      </c>
      <c r="G804" s="40">
        <f t="shared" si="24"/>
        <v>-0.13187274870963822</v>
      </c>
      <c r="H804" s="40">
        <v>31.745999999999999</v>
      </c>
      <c r="I804">
        <f t="shared" si="25"/>
        <v>-6.5932234697458564E-3</v>
      </c>
    </row>
    <row r="805" spans="1:9" x14ac:dyDescent="0.2">
      <c r="A805" s="41">
        <v>39972</v>
      </c>
      <c r="B805" s="42">
        <v>73.17</v>
      </c>
      <c r="D805" s="42"/>
      <c r="E805" s="40">
        <v>205</v>
      </c>
      <c r="F805" s="43">
        <v>149.74</v>
      </c>
      <c r="G805" s="40">
        <f t="shared" si="24"/>
        <v>0.30406594770150247</v>
      </c>
      <c r="H805" s="40">
        <v>31.956</v>
      </c>
      <c r="I805">
        <f t="shared" si="25"/>
        <v>-3.1692956055038739E-2</v>
      </c>
    </row>
    <row r="806" spans="1:9" x14ac:dyDescent="0.2">
      <c r="A806" s="41">
        <v>40002</v>
      </c>
      <c r="B806" s="42">
        <v>71.53</v>
      </c>
      <c r="D806" s="42"/>
      <c r="E806" s="40">
        <v>204</v>
      </c>
      <c r="F806" s="43">
        <v>110.48</v>
      </c>
      <c r="G806" s="40">
        <f t="shared" si="24"/>
        <v>-4.0358454806882257E-2</v>
      </c>
      <c r="H806" s="40">
        <v>32.984999999999999</v>
      </c>
      <c r="I806">
        <f t="shared" si="25"/>
        <v>4.052518646763132E-2</v>
      </c>
    </row>
    <row r="807" spans="1:9" x14ac:dyDescent="0.2">
      <c r="A807" s="41">
        <v>40094</v>
      </c>
      <c r="B807" s="42">
        <v>72.59</v>
      </c>
      <c r="D807" s="42"/>
      <c r="E807" s="40">
        <v>203</v>
      </c>
      <c r="F807" s="43">
        <v>115.03</v>
      </c>
      <c r="G807" s="40">
        <f t="shared" si="24"/>
        <v>-3.0732142502661604E-2</v>
      </c>
      <c r="H807" s="40">
        <v>31.675000000000001</v>
      </c>
      <c r="I807">
        <f t="shared" si="25"/>
        <v>7.9272154849256912E-2</v>
      </c>
    </row>
    <row r="808" spans="1:9" x14ac:dyDescent="0.2">
      <c r="A808" s="41">
        <v>40125</v>
      </c>
      <c r="B808" s="42">
        <v>75.599999999999994</v>
      </c>
      <c r="D808" s="42"/>
      <c r="E808" s="40">
        <v>202</v>
      </c>
      <c r="F808" s="43">
        <v>118.62</v>
      </c>
      <c r="G808" s="40">
        <f t="shared" si="24"/>
        <v>4.2009964531927069E-2</v>
      </c>
      <c r="H808" s="40">
        <v>29.260999999999999</v>
      </c>
      <c r="I808">
        <f t="shared" si="25"/>
        <v>-3.1685685837554968E-2</v>
      </c>
    </row>
    <row r="809" spans="1:9" x14ac:dyDescent="0.2">
      <c r="A809" s="41">
        <v>40155</v>
      </c>
      <c r="B809" s="42">
        <v>81.28</v>
      </c>
      <c r="D809" s="42"/>
      <c r="E809" s="40">
        <v>201</v>
      </c>
      <c r="F809" s="43">
        <v>113.74</v>
      </c>
      <c r="G809" s="40">
        <f t="shared" si="24"/>
        <v>1.4077880912436244E-2</v>
      </c>
      <c r="H809" s="40">
        <v>30.202999999999999</v>
      </c>
      <c r="I809">
        <f t="shared" si="25"/>
        <v>5.9108892294536981E-3</v>
      </c>
    </row>
    <row r="810" spans="1:9" x14ac:dyDescent="0.2">
      <c r="A810" s="40" t="s">
        <v>537</v>
      </c>
      <c r="B810" s="42">
        <v>79.959999999999994</v>
      </c>
      <c r="D810" s="42"/>
      <c r="E810" s="40">
        <v>200</v>
      </c>
      <c r="F810" s="43">
        <v>112.15</v>
      </c>
      <c r="G810" s="40">
        <f t="shared" si="24"/>
        <v>5.5436479597718693E-3</v>
      </c>
      <c r="H810" s="40">
        <v>30.024999999999999</v>
      </c>
      <c r="I810">
        <f t="shared" si="25"/>
        <v>-1.2083238962654489E-2</v>
      </c>
    </row>
    <row r="811" spans="1:9" x14ac:dyDescent="0.2">
      <c r="A811" s="40" t="s">
        <v>538</v>
      </c>
      <c r="B811" s="42">
        <v>80.45</v>
      </c>
      <c r="D811" s="42"/>
      <c r="E811" s="40">
        <v>199</v>
      </c>
      <c r="F811" s="43">
        <v>111.53</v>
      </c>
      <c r="G811" s="40">
        <f t="shared" si="24"/>
        <v>1.763873689617584E-2</v>
      </c>
      <c r="H811" s="40">
        <v>30.39</v>
      </c>
      <c r="I811">
        <f t="shared" si="25"/>
        <v>0</v>
      </c>
    </row>
    <row r="812" spans="1:9" x14ac:dyDescent="0.2">
      <c r="A812" s="40" t="s">
        <v>539</v>
      </c>
      <c r="B812" s="42">
        <v>84.22</v>
      </c>
      <c r="D812" s="42"/>
      <c r="E812" s="40">
        <v>198</v>
      </c>
      <c r="F812" s="43">
        <v>109.58</v>
      </c>
      <c r="G812" s="40">
        <f t="shared" si="24"/>
        <v>-9.8075613596939563E-3</v>
      </c>
      <c r="H812" s="40">
        <v>30.39</v>
      </c>
      <c r="I812">
        <f t="shared" si="25"/>
        <v>3.1114140801636079E-2</v>
      </c>
    </row>
    <row r="813" spans="1:9" x14ac:dyDescent="0.2">
      <c r="A813" s="40" t="s">
        <v>540</v>
      </c>
      <c r="B813" s="42">
        <v>81.11</v>
      </c>
      <c r="D813" s="42"/>
      <c r="E813" s="40">
        <v>197</v>
      </c>
      <c r="F813" s="43">
        <v>110.66</v>
      </c>
      <c r="G813" s="40">
        <f t="shared" si="24"/>
        <v>-1.3018094695538546E-2</v>
      </c>
      <c r="H813" s="40">
        <v>29.459</v>
      </c>
      <c r="I813">
        <f t="shared" si="25"/>
        <v>-3.9861555171116066E-2</v>
      </c>
    </row>
    <row r="814" spans="1:9" x14ac:dyDescent="0.2">
      <c r="A814" s="40" t="s">
        <v>541</v>
      </c>
      <c r="B814" s="42">
        <v>76.319999999999993</v>
      </c>
      <c r="D814" s="42"/>
      <c r="E814" s="40">
        <v>196</v>
      </c>
      <c r="F814" s="43">
        <v>112.11</v>
      </c>
      <c r="G814" s="40">
        <f t="shared" si="24"/>
        <v>-2.2490695314734469E-2</v>
      </c>
      <c r="H814" s="40">
        <v>30.657</v>
      </c>
      <c r="I814">
        <f t="shared" si="25"/>
        <v>-4.783530378821863E-3</v>
      </c>
    </row>
    <row r="815" spans="1:9" x14ac:dyDescent="0.2">
      <c r="A815" s="40" t="s">
        <v>542</v>
      </c>
      <c r="B815" s="42">
        <v>76.7</v>
      </c>
      <c r="D815" s="42"/>
      <c r="E815" s="40">
        <v>195</v>
      </c>
      <c r="F815" s="43">
        <v>114.66</v>
      </c>
      <c r="G815" s="40">
        <f t="shared" si="24"/>
        <v>-2.1825321790274268E-2</v>
      </c>
      <c r="H815" s="40">
        <v>30.803999999999998</v>
      </c>
      <c r="I815">
        <f t="shared" si="25"/>
        <v>3.4748195054234772E-2</v>
      </c>
    </row>
    <row r="816" spans="1:9" x14ac:dyDescent="0.2">
      <c r="A816" s="40" t="s">
        <v>543</v>
      </c>
      <c r="B816" s="42">
        <v>76.55</v>
      </c>
      <c r="D816" s="42"/>
      <c r="E816" s="40">
        <v>194</v>
      </c>
      <c r="F816" s="43">
        <v>117.19</v>
      </c>
      <c r="G816" s="40">
        <f t="shared" si="24"/>
        <v>5.8328641967055742E-2</v>
      </c>
      <c r="H816" s="40">
        <v>29.751999999999999</v>
      </c>
      <c r="I816">
        <f t="shared" si="25"/>
        <v>-1.6455933725446042E-3</v>
      </c>
    </row>
    <row r="817" spans="1:9" x14ac:dyDescent="0.2">
      <c r="A817" s="40" t="s">
        <v>544</v>
      </c>
      <c r="B817" s="42">
        <v>78.47</v>
      </c>
      <c r="D817" s="42"/>
      <c r="E817" s="40">
        <v>193</v>
      </c>
      <c r="F817" s="43">
        <v>110.55</v>
      </c>
      <c r="G817" s="40">
        <f t="shared" si="24"/>
        <v>-8.4669934760247395E-3</v>
      </c>
      <c r="H817" s="40">
        <v>29.800999999999998</v>
      </c>
      <c r="I817">
        <f t="shared" si="25"/>
        <v>0.11370592500434197</v>
      </c>
    </row>
    <row r="818" spans="1:9" x14ac:dyDescent="0.2">
      <c r="A818" s="40" t="s">
        <v>545</v>
      </c>
      <c r="B818" s="42">
        <v>77.760000000000005</v>
      </c>
      <c r="D818" s="42"/>
      <c r="E818" s="40">
        <v>192</v>
      </c>
      <c r="F818" s="43">
        <v>111.49</v>
      </c>
      <c r="G818" s="40">
        <f t="shared" si="24"/>
        <v>1.1547264076029587E-2</v>
      </c>
      <c r="H818" s="40">
        <v>26.597999999999999</v>
      </c>
      <c r="I818">
        <f t="shared" si="25"/>
        <v>7.434136768205311E-3</v>
      </c>
    </row>
    <row r="819" spans="1:9" x14ac:dyDescent="0.2">
      <c r="A819" s="40" t="s">
        <v>546</v>
      </c>
      <c r="B819" s="42">
        <v>77.97</v>
      </c>
      <c r="D819" s="42"/>
      <c r="E819" s="40">
        <v>191</v>
      </c>
      <c r="F819" s="43">
        <v>110.21</v>
      </c>
      <c r="G819" s="40">
        <f t="shared" si="24"/>
        <v>5.3583413695297878E-2</v>
      </c>
      <c r="H819" s="40">
        <v>26.401</v>
      </c>
      <c r="I819">
        <f t="shared" si="25"/>
        <v>2.1981431878838706E-2</v>
      </c>
    </row>
    <row r="820" spans="1:9" x14ac:dyDescent="0.2">
      <c r="A820" s="40" t="s">
        <v>547</v>
      </c>
      <c r="B820" s="42">
        <v>75.59</v>
      </c>
      <c r="D820" s="42"/>
      <c r="E820" s="40">
        <v>190</v>
      </c>
      <c r="F820" s="43">
        <v>104.46</v>
      </c>
      <c r="G820" s="40">
        <f t="shared" si="24"/>
        <v>2.1383428085241594E-2</v>
      </c>
      <c r="H820" s="40">
        <v>25.827000000000002</v>
      </c>
      <c r="I820">
        <f t="shared" si="25"/>
        <v>1.0117998914170088E-2</v>
      </c>
    </row>
    <row r="821" spans="1:9" x14ac:dyDescent="0.2">
      <c r="A821" s="40" t="s">
        <v>548</v>
      </c>
      <c r="B821" s="42">
        <v>74.41</v>
      </c>
      <c r="D821" s="42"/>
      <c r="E821" s="40">
        <v>189</v>
      </c>
      <c r="F821" s="43">
        <v>102.25</v>
      </c>
      <c r="G821" s="40">
        <f t="shared" si="24"/>
        <v>-3.0721275831285942E-2</v>
      </c>
      <c r="H821" s="40">
        <v>25.567</v>
      </c>
      <c r="I821">
        <f t="shared" si="25"/>
        <v>2.4789421750745003E-2</v>
      </c>
    </row>
    <row r="822" spans="1:9" x14ac:dyDescent="0.2">
      <c r="A822" s="40" t="s">
        <v>549</v>
      </c>
      <c r="B822" s="42">
        <v>77.12</v>
      </c>
      <c r="D822" s="42"/>
      <c r="E822" s="40">
        <v>188</v>
      </c>
      <c r="F822" s="43">
        <v>105.44</v>
      </c>
      <c r="G822" s="40">
        <f t="shared" si="24"/>
        <v>-1.1504134418259093E-2</v>
      </c>
      <c r="H822" s="40">
        <v>24.940999999999999</v>
      </c>
      <c r="I822">
        <f t="shared" si="25"/>
        <v>1.9841920799004098E-2</v>
      </c>
    </row>
    <row r="823" spans="1:9" x14ac:dyDescent="0.2">
      <c r="A823" s="41">
        <v>39822</v>
      </c>
      <c r="B823" s="42">
        <v>81</v>
      </c>
      <c r="D823" s="42"/>
      <c r="E823" s="40">
        <v>187</v>
      </c>
      <c r="F823" s="43">
        <v>106.66</v>
      </c>
      <c r="G823" s="40">
        <f t="shared" si="24"/>
        <v>1.4068116640519119E-2</v>
      </c>
      <c r="H823" s="40">
        <v>24.451000000000001</v>
      </c>
      <c r="I823">
        <f t="shared" si="25"/>
        <v>-1.0820151121554378E-2</v>
      </c>
    </row>
    <row r="824" spans="1:9" x14ac:dyDescent="0.2">
      <c r="A824" s="41">
        <v>39853</v>
      </c>
      <c r="B824" s="42">
        <v>77.069999999999993</v>
      </c>
      <c r="D824" s="42"/>
      <c r="E824" s="40">
        <v>186</v>
      </c>
      <c r="F824" s="43">
        <v>105.17</v>
      </c>
      <c r="G824" s="40">
        <f t="shared" si="24"/>
        <v>-1.049903235967569E-2</v>
      </c>
      <c r="H824" s="40">
        <v>24.716999999999999</v>
      </c>
      <c r="I824">
        <f t="shared" si="25"/>
        <v>6.4805579491408208E-2</v>
      </c>
    </row>
    <row r="825" spans="1:9" x14ac:dyDescent="0.2">
      <c r="A825" s="41">
        <v>39881</v>
      </c>
      <c r="B825" s="42">
        <v>75.48</v>
      </c>
      <c r="D825" s="42"/>
      <c r="E825" s="40">
        <v>185</v>
      </c>
      <c r="F825" s="43">
        <v>106.28</v>
      </c>
      <c r="G825" s="40">
        <f t="shared" si="24"/>
        <v>-3.085149033601926E-2</v>
      </c>
      <c r="H825" s="40">
        <v>23.166</v>
      </c>
      <c r="I825">
        <f t="shared" si="25"/>
        <v>1.9176043014336959E-2</v>
      </c>
    </row>
    <row r="826" spans="1:9" x14ac:dyDescent="0.2">
      <c r="A826" s="41">
        <v>39912</v>
      </c>
      <c r="B826" s="42">
        <v>77.510000000000005</v>
      </c>
      <c r="D826" s="42"/>
      <c r="E826" s="40">
        <v>184</v>
      </c>
      <c r="F826" s="43">
        <v>109.61</v>
      </c>
      <c r="G826" s="40">
        <f t="shared" si="24"/>
        <v>5.9775379386489899E-2</v>
      </c>
      <c r="H826" s="40">
        <v>22.725999999999999</v>
      </c>
      <c r="I826">
        <f t="shared" si="25"/>
        <v>1.4972040314965576E-3</v>
      </c>
    </row>
    <row r="827" spans="1:9" x14ac:dyDescent="0.2">
      <c r="A827" s="41">
        <v>40034</v>
      </c>
      <c r="B827" s="42">
        <v>75.69</v>
      </c>
      <c r="D827" s="42"/>
      <c r="E827" s="40">
        <v>183</v>
      </c>
      <c r="F827" s="43">
        <v>103.25</v>
      </c>
      <c r="G827" s="40">
        <f t="shared" si="24"/>
        <v>8.6572205495540223E-3</v>
      </c>
      <c r="H827" s="40">
        <v>22.692</v>
      </c>
      <c r="I827">
        <f t="shared" si="25"/>
        <v>2.6299093547015488E-2</v>
      </c>
    </row>
    <row r="828" spans="1:9" x14ac:dyDescent="0.2">
      <c r="A828" s="41">
        <v>40065</v>
      </c>
      <c r="B828" s="42">
        <v>76.17</v>
      </c>
      <c r="D828" s="42"/>
      <c r="E828" s="40">
        <v>182</v>
      </c>
      <c r="F828" s="43">
        <v>102.36</v>
      </c>
      <c r="G828" s="40">
        <f t="shared" si="24"/>
        <v>-3.5697515145964302E-2</v>
      </c>
      <c r="H828" s="40">
        <v>22.103000000000002</v>
      </c>
      <c r="I828">
        <f t="shared" si="25"/>
        <v>-8.4248014804722861E-3</v>
      </c>
    </row>
    <row r="829" spans="1:9" x14ac:dyDescent="0.2">
      <c r="A829" s="41">
        <v>40095</v>
      </c>
      <c r="B829" s="42">
        <v>71.39</v>
      </c>
      <c r="D829" s="42"/>
      <c r="E829" s="40">
        <v>181</v>
      </c>
      <c r="F829" s="43">
        <v>106.08</v>
      </c>
      <c r="G829" s="40">
        <f t="shared" si="24"/>
        <v>3.7849105218054575E-2</v>
      </c>
      <c r="H829" s="40">
        <v>22.29</v>
      </c>
      <c r="I829">
        <f t="shared" si="25"/>
        <v>3.0553582359604315E-3</v>
      </c>
    </row>
    <row r="830" spans="1:9" x14ac:dyDescent="0.2">
      <c r="A830" s="41">
        <v>40126</v>
      </c>
      <c r="B830" s="42">
        <v>72.36</v>
      </c>
      <c r="D830" s="42"/>
      <c r="E830" s="40">
        <v>180</v>
      </c>
      <c r="F830" s="43">
        <v>102.14</v>
      </c>
      <c r="G830" s="40">
        <f t="shared" si="24"/>
        <v>2.9414669703468122E-3</v>
      </c>
      <c r="H830" s="40">
        <v>22.222000000000001</v>
      </c>
      <c r="I830">
        <f t="shared" si="25"/>
        <v>1.6332819290173425E-2</v>
      </c>
    </row>
    <row r="831" spans="1:9" x14ac:dyDescent="0.2">
      <c r="A831" s="40" t="s">
        <v>550</v>
      </c>
      <c r="B831" s="42">
        <v>71.14</v>
      </c>
      <c r="D831" s="42"/>
      <c r="E831" s="40">
        <v>179</v>
      </c>
      <c r="F831" s="43">
        <v>101.84</v>
      </c>
      <c r="G831" s="40">
        <f t="shared" si="24"/>
        <v>-1.1908388650927176E-2</v>
      </c>
      <c r="H831" s="40">
        <v>21.861999999999998</v>
      </c>
      <c r="I831">
        <f t="shared" si="25"/>
        <v>5.320137296086022E-3</v>
      </c>
    </row>
    <row r="832" spans="1:9" x14ac:dyDescent="0.2">
      <c r="A832" s="40" t="s">
        <v>551</v>
      </c>
      <c r="B832" s="42">
        <v>72.25</v>
      </c>
      <c r="D832" s="42"/>
      <c r="E832" s="40">
        <v>178</v>
      </c>
      <c r="F832" s="43">
        <v>103.06</v>
      </c>
      <c r="G832" s="40">
        <f t="shared" si="24"/>
        <v>-1.2630934931882188E-2</v>
      </c>
      <c r="H832" s="40">
        <v>21.745999999999999</v>
      </c>
      <c r="I832">
        <f t="shared" si="25"/>
        <v>3.7816383765378228E-2</v>
      </c>
    </row>
    <row r="833" spans="1:9" x14ac:dyDescent="0.2">
      <c r="A833" s="40" t="s">
        <v>552</v>
      </c>
      <c r="B833" s="42">
        <v>71.7</v>
      </c>
      <c r="D833" s="42"/>
      <c r="E833" s="40">
        <v>177</v>
      </c>
      <c r="F833" s="43">
        <v>104.37</v>
      </c>
      <c r="G833" s="40">
        <f t="shared" si="24"/>
        <v>-2.2641046704363059E-2</v>
      </c>
      <c r="H833" s="40">
        <v>20.939</v>
      </c>
      <c r="I833">
        <f t="shared" si="25"/>
        <v>1.2881696993080435E-2</v>
      </c>
    </row>
    <row r="834" spans="1:9" x14ac:dyDescent="0.2">
      <c r="A834" s="40" t="s">
        <v>553</v>
      </c>
      <c r="B834" s="42">
        <v>69.36</v>
      </c>
      <c r="D834" s="42"/>
      <c r="E834" s="40">
        <v>176</v>
      </c>
      <c r="F834" s="43">
        <v>106.76</v>
      </c>
      <c r="G834" s="40">
        <f t="shared" si="24"/>
        <v>-1.1270086222725614E-2</v>
      </c>
      <c r="H834" s="40">
        <v>20.670999999999999</v>
      </c>
      <c r="I834">
        <f t="shared" si="25"/>
        <v>-1.1603733835969031E-3</v>
      </c>
    </row>
    <row r="835" spans="1:9" x14ac:dyDescent="0.2">
      <c r="A835" s="40" t="s">
        <v>554</v>
      </c>
      <c r="B835" s="42">
        <v>70.39</v>
      </c>
      <c r="D835" s="42"/>
      <c r="E835" s="40">
        <v>175</v>
      </c>
      <c r="F835" s="43">
        <v>107.97</v>
      </c>
      <c r="G835" s="40">
        <f t="shared" ref="G835:G898" si="26">LN(F835/F836)</f>
        <v>-6.9223590838392007E-3</v>
      </c>
      <c r="H835" s="40">
        <v>20.695</v>
      </c>
      <c r="I835">
        <f t="shared" ref="I835:I898" si="27">LN(H835/H836)</f>
        <v>-6.5501366010819644E-3</v>
      </c>
    </row>
    <row r="836" spans="1:9" x14ac:dyDescent="0.2">
      <c r="A836" s="40" t="s">
        <v>555</v>
      </c>
      <c r="B836" s="42">
        <v>71</v>
      </c>
      <c r="D836" s="42"/>
      <c r="E836" s="40">
        <v>174</v>
      </c>
      <c r="F836" s="43">
        <v>108.72</v>
      </c>
      <c r="G836" s="40">
        <f t="shared" si="26"/>
        <v>-3.672424252263694E-3</v>
      </c>
      <c r="H836" s="40">
        <v>20.831</v>
      </c>
      <c r="I836">
        <f t="shared" si="27"/>
        <v>-1.1645242086141323E-2</v>
      </c>
    </row>
    <row r="837" spans="1:9" x14ac:dyDescent="0.2">
      <c r="A837" s="40" t="s">
        <v>556</v>
      </c>
      <c r="B837" s="42">
        <v>68.260000000000005</v>
      </c>
      <c r="D837" s="42"/>
      <c r="E837" s="40">
        <v>173</v>
      </c>
      <c r="F837" s="43">
        <v>109.12</v>
      </c>
      <c r="G837" s="40">
        <f t="shared" si="26"/>
        <v>-1.0665066222903589E-2</v>
      </c>
      <c r="H837" s="40">
        <v>21.074999999999999</v>
      </c>
      <c r="I837">
        <f t="shared" si="27"/>
        <v>1.7953803616595845E-2</v>
      </c>
    </row>
    <row r="838" spans="1:9" x14ac:dyDescent="0.2">
      <c r="A838" s="40" t="s">
        <v>557</v>
      </c>
      <c r="B838" s="42">
        <v>68.180000000000007</v>
      </c>
      <c r="D838" s="42"/>
      <c r="E838" s="40">
        <v>172</v>
      </c>
      <c r="F838" s="43">
        <v>110.29</v>
      </c>
      <c r="G838" s="40">
        <f t="shared" si="26"/>
        <v>2.776423970871772E-2</v>
      </c>
      <c r="H838" s="40">
        <v>20.7</v>
      </c>
      <c r="I838">
        <f t="shared" si="27"/>
        <v>1.2101919222565413E-2</v>
      </c>
    </row>
    <row r="839" spans="1:9" x14ac:dyDescent="0.2">
      <c r="A839" s="40" t="s">
        <v>558</v>
      </c>
      <c r="B839" s="42">
        <v>70.78</v>
      </c>
      <c r="D839" s="42"/>
      <c r="E839" s="40">
        <v>171</v>
      </c>
      <c r="F839" s="43">
        <v>107.27</v>
      </c>
      <c r="G839" s="40">
        <f t="shared" si="26"/>
        <v>-1.4904520691132147E-3</v>
      </c>
      <c r="H839" s="40">
        <v>20.451000000000001</v>
      </c>
      <c r="I839">
        <f t="shared" si="27"/>
        <v>3.5790097677266222E-2</v>
      </c>
    </row>
    <row r="840" spans="1:9" x14ac:dyDescent="0.2">
      <c r="A840" s="40" t="s">
        <v>559</v>
      </c>
      <c r="B840" s="42">
        <v>71.739999999999995</v>
      </c>
      <c r="D840" s="42"/>
      <c r="E840" s="40">
        <v>170</v>
      </c>
      <c r="F840" s="43">
        <v>107.43</v>
      </c>
      <c r="G840" s="40">
        <f t="shared" si="26"/>
        <v>-3.1969748069126259E-2</v>
      </c>
      <c r="H840" s="40">
        <v>19.731999999999999</v>
      </c>
      <c r="I840">
        <f t="shared" si="27"/>
        <v>-4.9918946796050696E-2</v>
      </c>
    </row>
    <row r="841" spans="1:9" x14ac:dyDescent="0.2">
      <c r="A841" s="40" t="s">
        <v>560</v>
      </c>
      <c r="B841" s="42">
        <v>70.540000000000006</v>
      </c>
      <c r="D841" s="42"/>
      <c r="E841" s="40">
        <v>169</v>
      </c>
      <c r="F841" s="43">
        <v>110.92</v>
      </c>
      <c r="G841" s="40">
        <f t="shared" si="26"/>
        <v>1.5338118223322374E-3</v>
      </c>
      <c r="H841" s="40">
        <v>20.742000000000001</v>
      </c>
      <c r="I841">
        <f t="shared" si="27"/>
        <v>1.2542816058973786E-3</v>
      </c>
    </row>
    <row r="842" spans="1:9" x14ac:dyDescent="0.2">
      <c r="A842" s="40" t="s">
        <v>561</v>
      </c>
      <c r="B842" s="42">
        <v>68.989999999999995</v>
      </c>
      <c r="D842" s="42"/>
      <c r="E842" s="40">
        <v>168</v>
      </c>
      <c r="F842" s="43">
        <v>110.75</v>
      </c>
      <c r="G842" s="40">
        <f t="shared" si="26"/>
        <v>-5.6350462754819169E-2</v>
      </c>
      <c r="H842" s="40">
        <v>20.716000000000001</v>
      </c>
      <c r="I842">
        <f t="shared" si="27"/>
        <v>9.6525377775764486E-3</v>
      </c>
    </row>
    <row r="843" spans="1:9" x14ac:dyDescent="0.2">
      <c r="A843" s="40" t="s">
        <v>562</v>
      </c>
      <c r="B843" s="42">
        <v>71.319999999999993</v>
      </c>
      <c r="D843" s="42"/>
      <c r="E843" s="40">
        <v>167</v>
      </c>
      <c r="F843" s="43">
        <v>117.17</v>
      </c>
      <c r="G843" s="40">
        <f t="shared" si="26"/>
        <v>3.4999881765054565E-2</v>
      </c>
      <c r="H843" s="40">
        <v>20.516999999999999</v>
      </c>
      <c r="I843">
        <f t="shared" si="27"/>
        <v>-8.8315791415849096E-3</v>
      </c>
    </row>
    <row r="844" spans="1:9" x14ac:dyDescent="0.2">
      <c r="A844" s="41">
        <v>39823</v>
      </c>
      <c r="B844" s="42">
        <v>76.25</v>
      </c>
      <c r="D844" s="42"/>
      <c r="E844" s="40">
        <v>166</v>
      </c>
      <c r="F844" s="43">
        <v>113.14</v>
      </c>
      <c r="G844" s="40">
        <f t="shared" si="26"/>
        <v>-4.2143376722647681E-2</v>
      </c>
      <c r="H844" s="40">
        <v>20.699000000000002</v>
      </c>
      <c r="I844">
        <f t="shared" si="27"/>
        <v>-4.5381851647190975E-2</v>
      </c>
    </row>
    <row r="845" spans="1:9" x14ac:dyDescent="0.2">
      <c r="A845" s="41">
        <v>39854</v>
      </c>
      <c r="B845" s="42">
        <v>76.13</v>
      </c>
      <c r="D845" s="42"/>
      <c r="E845" s="40">
        <v>165</v>
      </c>
      <c r="F845" s="43">
        <v>118.01</v>
      </c>
      <c r="G845" s="40">
        <f t="shared" si="26"/>
        <v>-8.6902044471244087E-3</v>
      </c>
      <c r="H845" s="40">
        <v>21.66</v>
      </c>
      <c r="I845">
        <f t="shared" si="27"/>
        <v>-1.9250268665567911E-2</v>
      </c>
    </row>
    <row r="846" spans="1:9" x14ac:dyDescent="0.2">
      <c r="A846" s="41">
        <v>39943</v>
      </c>
      <c r="B846" s="42">
        <v>73.56</v>
      </c>
      <c r="D846" s="42"/>
      <c r="E846" s="40">
        <v>164</v>
      </c>
      <c r="F846" s="43">
        <v>119.04</v>
      </c>
      <c r="G846" s="40">
        <f t="shared" si="26"/>
        <v>-1.6826719378759465E-2</v>
      </c>
      <c r="H846" s="40">
        <v>22.081</v>
      </c>
      <c r="I846">
        <f t="shared" si="27"/>
        <v>-1.799747880119279E-2</v>
      </c>
    </row>
    <row r="847" spans="1:9" x14ac:dyDescent="0.2">
      <c r="A847" s="41">
        <v>39974</v>
      </c>
      <c r="B847" s="42">
        <v>71.5</v>
      </c>
      <c r="D847" s="42"/>
      <c r="E847" s="40">
        <v>163</v>
      </c>
      <c r="F847" s="43">
        <v>121.06</v>
      </c>
      <c r="G847" s="40">
        <f t="shared" si="26"/>
        <v>0.11665819355744006</v>
      </c>
      <c r="H847" s="40">
        <v>22.481999999999999</v>
      </c>
      <c r="I847">
        <f t="shared" si="27"/>
        <v>2.4357956379792593E-2</v>
      </c>
    </row>
    <row r="848" spans="1:9" x14ac:dyDescent="0.2">
      <c r="A848" s="41">
        <v>40004</v>
      </c>
      <c r="B848" s="42">
        <v>71.010000000000005</v>
      </c>
      <c r="D848" s="42"/>
      <c r="E848" s="40">
        <v>162</v>
      </c>
      <c r="F848" s="43">
        <v>107.73</v>
      </c>
      <c r="G848" s="40">
        <f t="shared" si="26"/>
        <v>4.4219727857399874E-2</v>
      </c>
      <c r="H848" s="40">
        <v>21.940999999999999</v>
      </c>
      <c r="I848">
        <f t="shared" si="27"/>
        <v>3.2188390301991249E-2</v>
      </c>
    </row>
    <row r="849" spans="1:9" x14ac:dyDescent="0.2">
      <c r="A849" s="41">
        <v>40035</v>
      </c>
      <c r="B849" s="42">
        <v>68.099999999999994</v>
      </c>
      <c r="D849" s="42"/>
      <c r="E849" s="40">
        <v>161</v>
      </c>
      <c r="F849" s="43">
        <v>103.07</v>
      </c>
      <c r="G849" s="40">
        <f t="shared" si="26"/>
        <v>-4.9589116798944524E-2</v>
      </c>
      <c r="H849" s="40">
        <v>21.245999999999999</v>
      </c>
      <c r="I849">
        <f t="shared" si="27"/>
        <v>6.2796778518757462E-3</v>
      </c>
    </row>
    <row r="850" spans="1:9" x14ac:dyDescent="0.2">
      <c r="A850" s="41">
        <v>40066</v>
      </c>
      <c r="B850" s="42">
        <v>65.540000000000006</v>
      </c>
      <c r="D850" s="42"/>
      <c r="E850" s="40">
        <v>160</v>
      </c>
      <c r="F850" s="43">
        <v>108.31</v>
      </c>
      <c r="G850" s="40">
        <f t="shared" si="26"/>
        <v>-8.2461603184164192E-2</v>
      </c>
      <c r="H850" s="40">
        <v>21.113</v>
      </c>
      <c r="I850">
        <f t="shared" si="27"/>
        <v>-3.6597672316509094E-2</v>
      </c>
    </row>
    <row r="851" spans="1:9" x14ac:dyDescent="0.2">
      <c r="A851" s="41">
        <v>40157</v>
      </c>
      <c r="B851" s="42">
        <v>64.97</v>
      </c>
      <c r="D851" s="42"/>
      <c r="E851" s="40">
        <v>159</v>
      </c>
      <c r="F851" s="43">
        <v>117.62</v>
      </c>
      <c r="G851" s="40">
        <f t="shared" si="26"/>
        <v>-0.10590449282419986</v>
      </c>
      <c r="H851" s="40">
        <v>21.9</v>
      </c>
      <c r="I851">
        <f t="shared" si="27"/>
        <v>-1.5495756574195168E-2</v>
      </c>
    </row>
    <row r="852" spans="1:9" x14ac:dyDescent="0.2">
      <c r="A852" s="40" t="s">
        <v>563</v>
      </c>
      <c r="B852" s="42">
        <v>64.97</v>
      </c>
      <c r="D852" s="42"/>
      <c r="E852" s="40">
        <v>158</v>
      </c>
      <c r="F852" s="43">
        <v>130.76</v>
      </c>
      <c r="G852" s="40">
        <f t="shared" si="26"/>
        <v>-6.0606627304760491E-2</v>
      </c>
      <c r="H852" s="40">
        <v>22.242000000000001</v>
      </c>
      <c r="I852">
        <f t="shared" si="27"/>
        <v>-4.4411619999679365E-3</v>
      </c>
    </row>
    <row r="853" spans="1:9" x14ac:dyDescent="0.2">
      <c r="A853" s="40" t="s">
        <v>564</v>
      </c>
      <c r="B853" s="42">
        <v>68.84</v>
      </c>
      <c r="D853" s="42"/>
      <c r="E853" s="40">
        <v>157</v>
      </c>
      <c r="F853" s="43">
        <v>138.93</v>
      </c>
      <c r="G853" s="40">
        <f t="shared" si="26"/>
        <v>0.1556874054640342</v>
      </c>
      <c r="H853" s="40">
        <v>22.341000000000001</v>
      </c>
      <c r="I853">
        <f t="shared" si="27"/>
        <v>4.441161999968057E-3</v>
      </c>
    </row>
    <row r="854" spans="1:9" x14ac:dyDescent="0.2">
      <c r="A854" s="40" t="s">
        <v>565</v>
      </c>
      <c r="B854" s="42">
        <v>67.069999999999993</v>
      </c>
      <c r="D854" s="42"/>
      <c r="E854" s="40">
        <v>156</v>
      </c>
      <c r="F854" s="43">
        <v>118.9</v>
      </c>
      <c r="G854" s="40">
        <f t="shared" si="26"/>
        <v>5.8802271531233893E-2</v>
      </c>
      <c r="H854" s="40">
        <v>22.242000000000001</v>
      </c>
      <c r="I854">
        <f t="shared" si="27"/>
        <v>4.0546075279895462E-3</v>
      </c>
    </row>
    <row r="855" spans="1:9" x14ac:dyDescent="0.2">
      <c r="A855" s="40" t="s">
        <v>566</v>
      </c>
      <c r="B855" s="42">
        <v>69.849999999999994</v>
      </c>
      <c r="D855" s="42"/>
      <c r="E855" s="40">
        <v>155</v>
      </c>
      <c r="F855" s="43">
        <v>112.11</v>
      </c>
      <c r="G855" s="40">
        <f t="shared" si="26"/>
        <v>-3.2948958968526494E-3</v>
      </c>
      <c r="H855" s="40">
        <v>22.152000000000001</v>
      </c>
      <c r="I855">
        <f t="shared" si="27"/>
        <v>-1.4609267227414666E-2</v>
      </c>
    </row>
    <row r="856" spans="1:9" x14ac:dyDescent="0.2">
      <c r="A856" s="40" t="s">
        <v>567</v>
      </c>
      <c r="B856" s="42">
        <v>67.760000000000005</v>
      </c>
      <c r="D856" s="42"/>
      <c r="E856" s="40">
        <v>154</v>
      </c>
      <c r="F856" s="43">
        <v>112.48</v>
      </c>
      <c r="G856" s="40">
        <f t="shared" si="26"/>
        <v>-6.7794904329288697E-2</v>
      </c>
      <c r="H856" s="40">
        <v>22.478000000000002</v>
      </c>
      <c r="I856">
        <f t="shared" si="27"/>
        <v>1.348133731018358E-2</v>
      </c>
    </row>
    <row r="857" spans="1:9" x14ac:dyDescent="0.2">
      <c r="A857" s="40" t="s">
        <v>568</v>
      </c>
      <c r="B857" s="42">
        <v>68.63</v>
      </c>
      <c r="D857" s="42"/>
      <c r="E857" s="40">
        <v>153</v>
      </c>
      <c r="F857" s="43">
        <v>120.37</v>
      </c>
      <c r="G857" s="40">
        <f t="shared" si="26"/>
        <v>1.9800965753986155E-2</v>
      </c>
      <c r="H857" s="40">
        <v>22.177</v>
      </c>
      <c r="I857">
        <f t="shared" si="27"/>
        <v>-7.2783140958946838E-3</v>
      </c>
    </row>
    <row r="858" spans="1:9" x14ac:dyDescent="0.2">
      <c r="A858" s="40" t="s">
        <v>569</v>
      </c>
      <c r="B858" s="42">
        <v>78.16</v>
      </c>
      <c r="D858" s="42"/>
      <c r="E858" s="40">
        <v>152</v>
      </c>
      <c r="F858" s="43">
        <v>118.01</v>
      </c>
      <c r="G858" s="40">
        <f t="shared" si="26"/>
        <v>-5.7384357863278293E-2</v>
      </c>
      <c r="H858" s="40">
        <v>22.338999999999999</v>
      </c>
      <c r="I858">
        <f t="shared" si="27"/>
        <v>-1.4355483076588125E-2</v>
      </c>
    </row>
    <row r="859" spans="1:9" x14ac:dyDescent="0.2">
      <c r="A859" s="40" t="s">
        <v>570</v>
      </c>
      <c r="B859" s="42">
        <v>77.599999999999994</v>
      </c>
      <c r="D859" s="42"/>
      <c r="E859" s="40">
        <v>151</v>
      </c>
      <c r="F859" s="43">
        <v>124.98</v>
      </c>
      <c r="G859" s="40">
        <f t="shared" si="26"/>
        <v>6.5723412314260723E-2</v>
      </c>
      <c r="H859" s="40">
        <v>22.661999999999999</v>
      </c>
      <c r="I859">
        <f t="shared" si="27"/>
        <v>-7.9552117153578183E-3</v>
      </c>
    </row>
    <row r="860" spans="1:9" x14ac:dyDescent="0.2">
      <c r="A860" s="40" t="s">
        <v>571</v>
      </c>
      <c r="B860" s="42">
        <v>79.88</v>
      </c>
      <c r="D860" s="42"/>
      <c r="E860" s="40">
        <v>150</v>
      </c>
      <c r="F860" s="43">
        <v>117.03</v>
      </c>
      <c r="G860" s="40">
        <f t="shared" si="26"/>
        <v>1.6976580751527456E-2</v>
      </c>
      <c r="H860" s="40">
        <v>22.843</v>
      </c>
      <c r="I860">
        <f t="shared" si="27"/>
        <v>1.9762353187085739E-2</v>
      </c>
    </row>
    <row r="861" spans="1:9" x14ac:dyDescent="0.2">
      <c r="A861" s="40" t="s">
        <v>572</v>
      </c>
      <c r="B861" s="42">
        <v>82.28</v>
      </c>
      <c r="D861" s="42"/>
      <c r="E861" s="40">
        <v>149</v>
      </c>
      <c r="F861" s="43">
        <v>115.06</v>
      </c>
      <c r="G861" s="40">
        <f t="shared" si="26"/>
        <v>3.5833444090591568E-2</v>
      </c>
      <c r="H861" s="40">
        <v>22.396000000000001</v>
      </c>
      <c r="I861">
        <f t="shared" si="27"/>
        <v>-2.0072714547926117E-3</v>
      </c>
    </row>
    <row r="862" spans="1:9" x14ac:dyDescent="0.2">
      <c r="A862" s="40" t="s">
        <v>573</v>
      </c>
      <c r="B862" s="42">
        <v>80.41</v>
      </c>
      <c r="D862" s="42"/>
      <c r="E862" s="40">
        <v>148</v>
      </c>
      <c r="F862" s="43">
        <v>111.01</v>
      </c>
      <c r="G862" s="40">
        <f t="shared" si="26"/>
        <v>5.1098925859469901E-2</v>
      </c>
      <c r="H862" s="40">
        <v>22.440999999999999</v>
      </c>
      <c r="I862">
        <f t="shared" si="27"/>
        <v>2.4985512485104265E-3</v>
      </c>
    </row>
    <row r="863" spans="1:9" x14ac:dyDescent="0.2">
      <c r="A863" s="40" t="s">
        <v>574</v>
      </c>
      <c r="B863" s="42">
        <v>85.43</v>
      </c>
      <c r="D863" s="42"/>
      <c r="E863" s="40">
        <v>147</v>
      </c>
      <c r="F863" s="43">
        <v>105.48</v>
      </c>
      <c r="G863" s="40">
        <f t="shared" si="26"/>
        <v>-2.0835313911059957E-3</v>
      </c>
      <c r="H863" s="40">
        <v>22.385000000000002</v>
      </c>
      <c r="I863">
        <f t="shared" si="27"/>
        <v>-1.344505865678804E-2</v>
      </c>
    </row>
    <row r="864" spans="1:9" x14ac:dyDescent="0.2">
      <c r="A864" s="40" t="s">
        <v>575</v>
      </c>
      <c r="B864" s="42">
        <v>78.099999999999994</v>
      </c>
      <c r="D864" s="42"/>
      <c r="E864" s="40">
        <v>146</v>
      </c>
      <c r="F864" s="43">
        <v>105.7</v>
      </c>
      <c r="G864" s="40">
        <f t="shared" si="26"/>
        <v>4.7415925725825319E-3</v>
      </c>
      <c r="H864" s="40">
        <v>22.687999999999999</v>
      </c>
      <c r="I864">
        <f t="shared" si="27"/>
        <v>2.294591069439507E-3</v>
      </c>
    </row>
    <row r="865" spans="1:9" x14ac:dyDescent="0.2">
      <c r="A865" s="40" t="s">
        <v>576</v>
      </c>
      <c r="B865" s="42">
        <v>89.9</v>
      </c>
      <c r="D865" s="42"/>
      <c r="E865" s="40">
        <v>145</v>
      </c>
      <c r="F865" s="43">
        <v>105.2</v>
      </c>
      <c r="G865" s="40">
        <f t="shared" si="26"/>
        <v>-5.7817326124608064E-3</v>
      </c>
      <c r="H865" s="40">
        <v>22.635999999999999</v>
      </c>
      <c r="I865">
        <f t="shared" si="27"/>
        <v>2.5412963870092908E-2</v>
      </c>
    </row>
    <row r="866" spans="1:9" x14ac:dyDescent="0.2">
      <c r="A866" s="41">
        <v>39855</v>
      </c>
      <c r="B866" s="42">
        <v>91.98</v>
      </c>
      <c r="D866" s="42"/>
      <c r="E866" s="40">
        <v>144</v>
      </c>
      <c r="F866" s="43">
        <v>105.81</v>
      </c>
      <c r="G866" s="40">
        <f t="shared" si="26"/>
        <v>-1.9559839348018693E-2</v>
      </c>
      <c r="H866" s="40">
        <v>22.068000000000001</v>
      </c>
      <c r="I866">
        <f t="shared" si="27"/>
        <v>-6.5491076653011035E-3</v>
      </c>
    </row>
    <row r="867" spans="1:9" x14ac:dyDescent="0.2">
      <c r="A867" s="41">
        <v>39883</v>
      </c>
      <c r="B867" s="42">
        <v>90.16</v>
      </c>
      <c r="D867" s="42"/>
      <c r="E867" s="40">
        <v>143</v>
      </c>
      <c r="F867" s="43">
        <v>107.9</v>
      </c>
      <c r="G867" s="40">
        <f t="shared" si="26"/>
        <v>-1.581496735388134E-2</v>
      </c>
      <c r="H867" s="40">
        <v>22.213000000000001</v>
      </c>
      <c r="I867">
        <f t="shared" si="27"/>
        <v>1.9088885761811468E-2</v>
      </c>
    </row>
    <row r="868" spans="1:9" x14ac:dyDescent="0.2">
      <c r="A868" s="41">
        <v>39914</v>
      </c>
      <c r="B868" s="42">
        <v>85.97</v>
      </c>
      <c r="D868" s="42"/>
      <c r="E868" s="40">
        <v>142</v>
      </c>
      <c r="F868" s="43">
        <v>109.62</v>
      </c>
      <c r="G868" s="40">
        <f t="shared" si="26"/>
        <v>-6.172943429842162E-2</v>
      </c>
      <c r="H868" s="40">
        <v>21.792999999999999</v>
      </c>
      <c r="I868">
        <f t="shared" si="27"/>
        <v>-7.5427204988665125E-3</v>
      </c>
    </row>
    <row r="869" spans="1:9" x14ac:dyDescent="0.2">
      <c r="A869" s="41">
        <v>39944</v>
      </c>
      <c r="B869" s="42">
        <v>79.099999999999994</v>
      </c>
      <c r="D869" s="42"/>
      <c r="E869" s="40">
        <v>141</v>
      </c>
      <c r="F869" s="43">
        <v>116.6</v>
      </c>
      <c r="G869" s="40">
        <f t="shared" si="26"/>
        <v>6.8870360001346415E-2</v>
      </c>
      <c r="H869" s="40">
        <v>21.957999999999998</v>
      </c>
      <c r="I869">
        <f t="shared" si="27"/>
        <v>5.3409616042391209E-2</v>
      </c>
    </row>
    <row r="870" spans="1:9" x14ac:dyDescent="0.2">
      <c r="A870" s="41">
        <v>39975</v>
      </c>
      <c r="B870" s="42">
        <v>73.72</v>
      </c>
      <c r="D870" s="42"/>
      <c r="E870" s="40">
        <v>140</v>
      </c>
      <c r="F870" s="43">
        <v>108.84</v>
      </c>
      <c r="G870" s="40">
        <f t="shared" si="26"/>
        <v>-2.0461769678585484E-2</v>
      </c>
      <c r="H870" s="40">
        <v>20.815999999999999</v>
      </c>
      <c r="I870">
        <f t="shared" si="27"/>
        <v>5.0140999272533793E-2</v>
      </c>
    </row>
    <row r="871" spans="1:9" x14ac:dyDescent="0.2">
      <c r="A871" s="41">
        <v>40067</v>
      </c>
      <c r="B871" s="42">
        <v>68.83</v>
      </c>
      <c r="D871" s="42"/>
      <c r="E871" s="40">
        <v>139</v>
      </c>
      <c r="F871" s="43">
        <v>111.09</v>
      </c>
      <c r="G871" s="40">
        <f t="shared" si="26"/>
        <v>-1.9963233151226018E-2</v>
      </c>
      <c r="H871" s="40">
        <v>19.797999999999998</v>
      </c>
      <c r="I871">
        <f t="shared" si="27"/>
        <v>3.9038893134396242E-2</v>
      </c>
    </row>
    <row r="872" spans="1:9" x14ac:dyDescent="0.2">
      <c r="A872" s="41">
        <v>40097</v>
      </c>
      <c r="B872" s="42">
        <v>68.489999999999995</v>
      </c>
      <c r="D872" s="42"/>
      <c r="E872" s="40">
        <v>138</v>
      </c>
      <c r="F872" s="43">
        <v>113.33</v>
      </c>
      <c r="G872" s="40">
        <f t="shared" si="26"/>
        <v>-6.1428820294443458E-2</v>
      </c>
      <c r="H872" s="40">
        <v>19.04</v>
      </c>
      <c r="I872">
        <f t="shared" si="27"/>
        <v>-2.1716267190016611E-2</v>
      </c>
    </row>
    <row r="873" spans="1:9" x14ac:dyDescent="0.2">
      <c r="A873" s="41">
        <v>40128</v>
      </c>
      <c r="B873" s="42">
        <v>73.05</v>
      </c>
      <c r="D873" s="42"/>
      <c r="E873" s="40">
        <v>137</v>
      </c>
      <c r="F873" s="43">
        <v>120.51</v>
      </c>
      <c r="G873" s="40">
        <f t="shared" si="26"/>
        <v>-7.8950596629509776E-2</v>
      </c>
      <c r="H873" s="40">
        <v>19.457999999999998</v>
      </c>
      <c r="I873">
        <f t="shared" si="27"/>
        <v>-2.4970846782636585E-2</v>
      </c>
    </row>
    <row r="874" spans="1:9" x14ac:dyDescent="0.2">
      <c r="A874" s="41">
        <v>40158</v>
      </c>
      <c r="B874" s="42">
        <v>80.77</v>
      </c>
      <c r="D874" s="42"/>
      <c r="E874" s="40">
        <v>136</v>
      </c>
      <c r="F874" s="43">
        <v>130.41</v>
      </c>
      <c r="G874" s="40">
        <f t="shared" si="26"/>
        <v>1.5455063825627745E-2</v>
      </c>
      <c r="H874" s="40">
        <v>19.95</v>
      </c>
      <c r="I874">
        <f t="shared" si="27"/>
        <v>-1.1859225142143479E-2</v>
      </c>
    </row>
    <row r="875" spans="1:9" x14ac:dyDescent="0.2">
      <c r="A875" s="40" t="s">
        <v>577</v>
      </c>
      <c r="B875" s="42">
        <v>80.28</v>
      </c>
      <c r="D875" s="42"/>
      <c r="E875" s="40">
        <v>135</v>
      </c>
      <c r="F875" s="43">
        <v>128.41</v>
      </c>
      <c r="G875" s="40">
        <f t="shared" si="26"/>
        <v>6.3329585242930336E-2</v>
      </c>
      <c r="H875" s="40">
        <v>20.187999999999999</v>
      </c>
      <c r="I875">
        <f t="shared" si="27"/>
        <v>1.4117412025735224E-2</v>
      </c>
    </row>
    <row r="876" spans="1:9" x14ac:dyDescent="0.2">
      <c r="A876" s="40" t="s">
        <v>578</v>
      </c>
      <c r="B876" s="42">
        <v>83.31</v>
      </c>
      <c r="D876" s="42"/>
      <c r="E876" s="40">
        <v>134</v>
      </c>
      <c r="F876" s="43">
        <v>120.53</v>
      </c>
      <c r="G876" s="40">
        <f t="shared" si="26"/>
        <v>2.3844635710681385E-2</v>
      </c>
      <c r="H876" s="40">
        <v>19.905000000000001</v>
      </c>
      <c r="I876">
        <f t="shared" si="27"/>
        <v>1.0403083418062066E-2</v>
      </c>
    </row>
    <row r="877" spans="1:9" x14ac:dyDescent="0.2">
      <c r="A877" s="40" t="s">
        <v>579</v>
      </c>
      <c r="B877" s="42">
        <v>83.97</v>
      </c>
      <c r="D877" s="42"/>
      <c r="E877" s="40">
        <v>133</v>
      </c>
      <c r="F877" s="43">
        <v>117.69</v>
      </c>
      <c r="G877" s="40">
        <f t="shared" si="26"/>
        <v>-1.0191083684571141E-3</v>
      </c>
      <c r="H877" s="40">
        <v>19.699000000000002</v>
      </c>
      <c r="I877">
        <f t="shared" si="27"/>
        <v>-1.1959269570824103E-2</v>
      </c>
    </row>
    <row r="878" spans="1:9" x14ac:dyDescent="0.2">
      <c r="A878" s="40" t="s">
        <v>580</v>
      </c>
      <c r="B878" s="42">
        <v>79.150000000000006</v>
      </c>
      <c r="D878" s="42"/>
      <c r="E878" s="40">
        <v>132</v>
      </c>
      <c r="F878" s="43">
        <v>117.81</v>
      </c>
      <c r="G878" s="40">
        <f t="shared" si="26"/>
        <v>7.642338927558957E-4</v>
      </c>
      <c r="H878" s="40">
        <v>19.936</v>
      </c>
      <c r="I878">
        <f t="shared" si="27"/>
        <v>-1.7847407685818502E-2</v>
      </c>
    </row>
    <row r="879" spans="1:9" x14ac:dyDescent="0.2">
      <c r="A879" s="40" t="s">
        <v>581</v>
      </c>
      <c r="B879" s="42">
        <v>79.27</v>
      </c>
      <c r="D879" s="42"/>
      <c r="E879" s="40">
        <v>131</v>
      </c>
      <c r="F879" s="43">
        <v>117.72</v>
      </c>
      <c r="G879" s="40">
        <f t="shared" si="26"/>
        <v>-2.7993401662499183E-3</v>
      </c>
      <c r="H879" s="40">
        <v>20.295000000000002</v>
      </c>
      <c r="I879">
        <f t="shared" si="27"/>
        <v>-3.4922934586125733E-3</v>
      </c>
    </row>
    <row r="880" spans="1:9" x14ac:dyDescent="0.2">
      <c r="A880" s="40" t="s">
        <v>582</v>
      </c>
      <c r="B880" s="42">
        <v>75.56</v>
      </c>
      <c r="D880" s="42"/>
      <c r="E880" s="40">
        <v>130</v>
      </c>
      <c r="F880" s="43">
        <v>118.05</v>
      </c>
      <c r="G880" s="40">
        <f t="shared" si="26"/>
        <v>3.3594890555717342E-2</v>
      </c>
      <c r="H880" s="40">
        <v>20.366</v>
      </c>
      <c r="I880">
        <f t="shared" si="27"/>
        <v>-1.3218737462513076E-2</v>
      </c>
    </row>
    <row r="881" spans="1:9" x14ac:dyDescent="0.2">
      <c r="A881" s="40" t="s">
        <v>583</v>
      </c>
      <c r="B881" s="42">
        <v>75.84</v>
      </c>
      <c r="D881" s="42"/>
      <c r="E881" s="40">
        <v>129</v>
      </c>
      <c r="F881" s="43">
        <v>114.15</v>
      </c>
      <c r="G881" s="40">
        <f t="shared" si="26"/>
        <v>-8.2010580045951669E-3</v>
      </c>
      <c r="H881" s="40">
        <v>20.637</v>
      </c>
      <c r="I881">
        <f t="shared" si="27"/>
        <v>1.7746304251778831E-2</v>
      </c>
    </row>
    <row r="882" spans="1:9" x14ac:dyDescent="0.2">
      <c r="A882" s="40" t="s">
        <v>584</v>
      </c>
      <c r="B882" s="42">
        <v>75.05</v>
      </c>
      <c r="D882" s="42"/>
      <c r="E882" s="40">
        <v>128</v>
      </c>
      <c r="F882" s="43">
        <v>115.09</v>
      </c>
      <c r="G882" s="40">
        <f t="shared" si="26"/>
        <v>2.7215559685305101E-2</v>
      </c>
      <c r="H882" s="40">
        <v>20.274000000000001</v>
      </c>
      <c r="I882">
        <f t="shared" si="27"/>
        <v>2.2900050317809558E-2</v>
      </c>
    </row>
    <row r="883" spans="1:9" x14ac:dyDescent="0.2">
      <c r="A883" s="40" t="s">
        <v>585</v>
      </c>
      <c r="B883" s="42">
        <v>73.91</v>
      </c>
      <c r="D883" s="42"/>
      <c r="E883" s="40">
        <v>127</v>
      </c>
      <c r="F883" s="43">
        <v>112</v>
      </c>
      <c r="G883" s="40">
        <f t="shared" si="26"/>
        <v>-1.1981505658443369E-2</v>
      </c>
      <c r="H883" s="40">
        <v>19.815000000000001</v>
      </c>
      <c r="I883">
        <f t="shared" si="27"/>
        <v>3.2857352952675193E-3</v>
      </c>
    </row>
    <row r="884" spans="1:9" x14ac:dyDescent="0.2">
      <c r="A884" s="40" t="s">
        <v>586</v>
      </c>
      <c r="B884" s="42">
        <v>83.24</v>
      </c>
      <c r="D884" s="42"/>
      <c r="E884" s="40">
        <v>126</v>
      </c>
      <c r="F884" s="43">
        <v>113.35</v>
      </c>
      <c r="G884" s="40">
        <f t="shared" si="26"/>
        <v>-2.4918522281244318E-2</v>
      </c>
      <c r="H884" s="40">
        <v>19.75</v>
      </c>
      <c r="I884">
        <f t="shared" si="27"/>
        <v>1.2790309143681152E-2</v>
      </c>
    </row>
    <row r="885" spans="1:9" x14ac:dyDescent="0.2">
      <c r="A885" s="40" t="s">
        <v>587</v>
      </c>
      <c r="B885" s="42">
        <v>81.58</v>
      </c>
      <c r="D885" s="42"/>
      <c r="E885" s="40">
        <v>125</v>
      </c>
      <c r="F885" s="43">
        <v>116.21</v>
      </c>
      <c r="G885" s="40">
        <f t="shared" si="26"/>
        <v>-1.1464875751296165E-2</v>
      </c>
      <c r="H885" s="40">
        <v>19.498999999999999</v>
      </c>
      <c r="I885">
        <f t="shared" si="27"/>
        <v>-8.3246567412828612E-3</v>
      </c>
    </row>
    <row r="886" spans="1:9" x14ac:dyDescent="0.2">
      <c r="A886" s="41">
        <v>39825</v>
      </c>
      <c r="B886" s="42">
        <v>80.739999999999995</v>
      </c>
      <c r="D886" s="42"/>
      <c r="E886" s="40">
        <v>124</v>
      </c>
      <c r="F886" s="43">
        <v>117.55</v>
      </c>
      <c r="G886" s="40">
        <f t="shared" si="26"/>
        <v>-4.4100323981109635E-2</v>
      </c>
      <c r="H886" s="40">
        <v>19.661999999999999</v>
      </c>
      <c r="I886">
        <f t="shared" si="27"/>
        <v>8.1195390542912107E-3</v>
      </c>
    </row>
    <row r="887" spans="1:9" x14ac:dyDescent="0.2">
      <c r="A887" s="41">
        <v>39856</v>
      </c>
      <c r="B887" s="42">
        <v>78.260000000000005</v>
      </c>
      <c r="D887" s="42"/>
      <c r="E887" s="40">
        <v>123</v>
      </c>
      <c r="F887" s="43">
        <v>122.85</v>
      </c>
      <c r="G887" s="40">
        <f t="shared" si="26"/>
        <v>5.5823386402801656E-2</v>
      </c>
      <c r="H887" s="40">
        <v>19.503</v>
      </c>
      <c r="I887">
        <f t="shared" si="27"/>
        <v>1.5241440971489358E-2</v>
      </c>
    </row>
    <row r="888" spans="1:9" x14ac:dyDescent="0.2">
      <c r="A888" s="41">
        <v>39884</v>
      </c>
      <c r="B888" s="42">
        <v>78.52</v>
      </c>
      <c r="D888" s="42"/>
      <c r="E888" s="40">
        <v>122</v>
      </c>
      <c r="F888" s="43">
        <v>116.18</v>
      </c>
      <c r="G888" s="40">
        <f t="shared" si="26"/>
        <v>1.8591448519915274E-2</v>
      </c>
      <c r="H888" s="40">
        <v>19.207999999999998</v>
      </c>
      <c r="I888">
        <f t="shared" si="27"/>
        <v>-4.4673078294098518E-3</v>
      </c>
    </row>
    <row r="889" spans="1:9" x14ac:dyDescent="0.2">
      <c r="A889" s="41">
        <v>39915</v>
      </c>
      <c r="B889" s="42">
        <v>77.180000000000007</v>
      </c>
      <c r="D889" s="42"/>
      <c r="E889" s="40">
        <v>121</v>
      </c>
      <c r="F889" s="43">
        <v>114.04</v>
      </c>
      <c r="G889" s="40">
        <f t="shared" si="26"/>
        <v>-2.6308197779213803E-2</v>
      </c>
      <c r="H889" s="40">
        <v>19.294</v>
      </c>
      <c r="I889">
        <f t="shared" si="27"/>
        <v>-1.3590243141721466E-2</v>
      </c>
    </row>
    <row r="890" spans="1:9" x14ac:dyDescent="0.2">
      <c r="A890" s="41">
        <v>40006</v>
      </c>
      <c r="B890" s="42">
        <v>77.75</v>
      </c>
      <c r="D890" s="42"/>
      <c r="E890" s="40">
        <v>120</v>
      </c>
      <c r="F890" s="43">
        <v>117.08</v>
      </c>
      <c r="G890" s="40">
        <f t="shared" si="26"/>
        <v>-3.3841761709274006E-2</v>
      </c>
      <c r="H890" s="40">
        <v>19.558</v>
      </c>
      <c r="I890">
        <f t="shared" si="27"/>
        <v>-1.8389870323671685E-3</v>
      </c>
    </row>
    <row r="891" spans="1:9" x14ac:dyDescent="0.2">
      <c r="A891" s="41">
        <v>40037</v>
      </c>
      <c r="B891" s="42">
        <v>79.569999999999993</v>
      </c>
      <c r="D891" s="42"/>
      <c r="E891" s="40">
        <v>119</v>
      </c>
      <c r="F891" s="43">
        <v>121.11</v>
      </c>
      <c r="G891" s="40">
        <f t="shared" si="26"/>
        <v>5.2985228096808751E-2</v>
      </c>
      <c r="H891" s="40">
        <v>19.594000000000001</v>
      </c>
      <c r="I891">
        <f t="shared" si="27"/>
        <v>9.4349997415316186E-3</v>
      </c>
    </row>
    <row r="892" spans="1:9" x14ac:dyDescent="0.2">
      <c r="A892" s="41">
        <v>40068</v>
      </c>
      <c r="B892" s="42">
        <v>84.93</v>
      </c>
      <c r="D892" s="42"/>
      <c r="E892" s="40">
        <v>118</v>
      </c>
      <c r="F892" s="43">
        <v>114.86</v>
      </c>
      <c r="G892" s="40">
        <f t="shared" si="26"/>
        <v>-5.2223867493833207E-4</v>
      </c>
      <c r="H892" s="40">
        <v>19.41</v>
      </c>
      <c r="I892">
        <f t="shared" si="27"/>
        <v>4.1981863198516996E-2</v>
      </c>
    </row>
    <row r="893" spans="1:9" x14ac:dyDescent="0.2">
      <c r="A893" s="41">
        <v>40098</v>
      </c>
      <c r="B893" s="42">
        <v>84.56</v>
      </c>
      <c r="D893" s="42"/>
      <c r="E893" s="40">
        <v>117</v>
      </c>
      <c r="F893" s="43">
        <v>114.92</v>
      </c>
      <c r="G893" s="40">
        <f t="shared" si="26"/>
        <v>-3.3373508816506518E-2</v>
      </c>
      <c r="H893" s="40">
        <v>18.611999999999998</v>
      </c>
      <c r="I893">
        <f t="shared" si="27"/>
        <v>-8.9726276750300912E-3</v>
      </c>
    </row>
    <row r="894" spans="1:9" x14ac:dyDescent="0.2">
      <c r="A894" s="41">
        <v>40129</v>
      </c>
      <c r="B894" s="42">
        <v>82.87</v>
      </c>
      <c r="D894" s="42"/>
      <c r="E894" s="40">
        <v>116</v>
      </c>
      <c r="F894" s="43">
        <v>118.82</v>
      </c>
      <c r="G894" s="40">
        <f t="shared" si="26"/>
        <v>-3.0746155033759801E-2</v>
      </c>
      <c r="H894" s="40">
        <v>18.77975</v>
      </c>
      <c r="I894">
        <f t="shared" si="27"/>
        <v>3.3502723921070468E-2</v>
      </c>
    </row>
    <row r="895" spans="1:9" x14ac:dyDescent="0.2">
      <c r="A895" s="40" t="s">
        <v>588</v>
      </c>
      <c r="B895" s="42">
        <v>81.64</v>
      </c>
      <c r="D895" s="42"/>
      <c r="E895" s="40">
        <v>115</v>
      </c>
      <c r="F895" s="43">
        <v>122.53</v>
      </c>
      <c r="G895" s="40">
        <f t="shared" si="26"/>
        <v>-6.9128883347395476E-2</v>
      </c>
      <c r="H895" s="40">
        <v>18.161000000000001</v>
      </c>
      <c r="I895">
        <f t="shared" si="27"/>
        <v>-4.3384646120952226E-2</v>
      </c>
    </row>
    <row r="896" spans="1:9" x14ac:dyDescent="0.2">
      <c r="A896" s="40" t="s">
        <v>589</v>
      </c>
      <c r="B896" s="42">
        <v>80.989999999999995</v>
      </c>
      <c r="D896" s="42"/>
      <c r="E896" s="40">
        <v>114</v>
      </c>
      <c r="F896" s="43">
        <v>131.30000000000001</v>
      </c>
      <c r="G896" s="40">
        <f t="shared" si="26"/>
        <v>-6.0866517202339911E-2</v>
      </c>
      <c r="H896" s="40">
        <v>18.966249999999999</v>
      </c>
      <c r="I896">
        <f t="shared" si="27"/>
        <v>-4.5114619980220809E-2</v>
      </c>
    </row>
    <row r="897" spans="1:9" x14ac:dyDescent="0.2">
      <c r="A897" s="40" t="s">
        <v>590</v>
      </c>
      <c r="B897" s="42">
        <v>82.05</v>
      </c>
      <c r="D897" s="42"/>
      <c r="E897" s="40">
        <v>113</v>
      </c>
      <c r="F897" s="43">
        <v>139.54</v>
      </c>
      <c r="G897" s="40">
        <f t="shared" si="26"/>
        <v>7.9391971094402297E-2</v>
      </c>
      <c r="H897" s="40">
        <v>19.8415</v>
      </c>
      <c r="I897">
        <f t="shared" si="27"/>
        <v>-2.0379089715013548E-2</v>
      </c>
    </row>
    <row r="898" spans="1:9" x14ac:dyDescent="0.2">
      <c r="A898" s="40" t="s">
        <v>591</v>
      </c>
      <c r="B898" s="42">
        <v>83.56</v>
      </c>
      <c r="D898" s="42"/>
      <c r="E898" s="40">
        <v>112</v>
      </c>
      <c r="F898" s="43">
        <v>128.88999999999999</v>
      </c>
      <c r="G898" s="40">
        <f t="shared" si="26"/>
        <v>6.2920878666175642E-2</v>
      </c>
      <c r="H898" s="40">
        <v>20.25</v>
      </c>
      <c r="I898">
        <f t="shared" si="27"/>
        <v>-1.2879662863661139E-2</v>
      </c>
    </row>
    <row r="899" spans="1:9" x14ac:dyDescent="0.2">
      <c r="A899" s="40" t="s">
        <v>592</v>
      </c>
      <c r="B899" s="42">
        <v>81.75</v>
      </c>
      <c r="D899" s="42"/>
      <c r="E899" s="40">
        <v>111</v>
      </c>
      <c r="F899" s="43">
        <v>121.03</v>
      </c>
      <c r="G899" s="40">
        <f t="shared" ref="G899:G962" si="28">LN(F899/F900)</f>
        <v>2.8239339314202482E-2</v>
      </c>
      <c r="H899" s="40">
        <v>20.512499999999999</v>
      </c>
      <c r="I899">
        <f t="shared" ref="I899:I962" si="29">LN(H899/H900)</f>
        <v>2.2792833913436145E-2</v>
      </c>
    </row>
    <row r="900" spans="1:9" x14ac:dyDescent="0.2">
      <c r="A900" s="40" t="s">
        <v>593</v>
      </c>
      <c r="B900" s="42">
        <v>79.62</v>
      </c>
      <c r="D900" s="42"/>
      <c r="E900" s="40">
        <v>110</v>
      </c>
      <c r="F900" s="43">
        <v>117.66</v>
      </c>
      <c r="G900" s="40">
        <f t="shared" si="28"/>
        <v>1.0766574138972425E-2</v>
      </c>
      <c r="H900" s="40">
        <v>20.050249999999998</v>
      </c>
      <c r="I900">
        <f t="shared" si="29"/>
        <v>7.3837093650429061E-3</v>
      </c>
    </row>
    <row r="901" spans="1:9" x14ac:dyDescent="0.2">
      <c r="A901" s="40" t="s">
        <v>594</v>
      </c>
      <c r="B901" s="42">
        <v>71.45</v>
      </c>
      <c r="D901" s="42"/>
      <c r="E901" s="40">
        <v>109</v>
      </c>
      <c r="F901" s="43">
        <v>116.4</v>
      </c>
      <c r="G901" s="40">
        <f t="shared" si="28"/>
        <v>4.2201095099727547E-2</v>
      </c>
      <c r="H901" s="40">
        <v>19.902750000000001</v>
      </c>
      <c r="I901">
        <f t="shared" si="29"/>
        <v>-2.3291224063796277E-2</v>
      </c>
    </row>
    <row r="902" spans="1:9" x14ac:dyDescent="0.2">
      <c r="A902" s="40" t="s">
        <v>595</v>
      </c>
      <c r="B902" s="42">
        <v>69.81</v>
      </c>
      <c r="D902" s="42"/>
      <c r="E902" s="40">
        <v>108</v>
      </c>
      <c r="F902" s="43">
        <v>111.59</v>
      </c>
      <c r="G902" s="40">
        <f t="shared" si="28"/>
        <v>-9.1878796288626125E-3</v>
      </c>
      <c r="H902" s="40">
        <v>20.371749999999999</v>
      </c>
      <c r="I902">
        <f t="shared" si="29"/>
        <v>-1.5912096676055188E-2</v>
      </c>
    </row>
    <row r="903" spans="1:9" x14ac:dyDescent="0.2">
      <c r="A903" s="40" t="s">
        <v>596</v>
      </c>
      <c r="B903" s="42">
        <v>68.81</v>
      </c>
      <c r="D903" s="42"/>
      <c r="E903" s="40">
        <v>107</v>
      </c>
      <c r="F903" s="43">
        <v>112.62</v>
      </c>
      <c r="G903" s="40">
        <f t="shared" si="28"/>
        <v>-6.372239171078084E-2</v>
      </c>
      <c r="H903" s="40">
        <v>20.698499999999999</v>
      </c>
      <c r="I903">
        <f t="shared" si="29"/>
        <v>1.0270695230519938E-2</v>
      </c>
    </row>
    <row r="904" spans="1:9" x14ac:dyDescent="0.2">
      <c r="A904" s="40" t="s">
        <v>597</v>
      </c>
      <c r="B904" s="42">
        <v>69.89</v>
      </c>
      <c r="D904" s="42"/>
      <c r="E904" s="40">
        <v>106</v>
      </c>
      <c r="F904" s="43">
        <v>120.03</v>
      </c>
      <c r="G904" s="40">
        <f t="shared" si="28"/>
        <v>6.301229049152271E-2</v>
      </c>
      <c r="H904" s="40">
        <v>20.486999999999998</v>
      </c>
      <c r="I904">
        <f t="shared" si="29"/>
        <v>1.3514051217399597E-2</v>
      </c>
    </row>
    <row r="905" spans="1:9" x14ac:dyDescent="0.2">
      <c r="A905" s="40" t="s">
        <v>598</v>
      </c>
      <c r="B905" s="42">
        <v>69.099999999999994</v>
      </c>
      <c r="D905" s="42"/>
      <c r="E905" s="40">
        <v>105</v>
      </c>
      <c r="F905" s="43">
        <v>112.7</v>
      </c>
      <c r="G905" s="40">
        <f t="shared" si="28"/>
        <v>4.0899852515252876E-3</v>
      </c>
      <c r="H905" s="40">
        <v>20.212</v>
      </c>
      <c r="I905">
        <f t="shared" si="29"/>
        <v>1.0419221687520101E-2</v>
      </c>
    </row>
    <row r="906" spans="1:9" x14ac:dyDescent="0.2">
      <c r="A906" s="40" t="s">
        <v>599</v>
      </c>
      <c r="B906" s="42">
        <v>70.36</v>
      </c>
      <c r="D906" s="42"/>
      <c r="E906" s="40">
        <v>104</v>
      </c>
      <c r="F906" s="43">
        <v>112.24</v>
      </c>
      <c r="G906" s="40">
        <f t="shared" si="28"/>
        <v>5.616314390870647E-2</v>
      </c>
      <c r="H906" s="40">
        <v>20.002500000000001</v>
      </c>
      <c r="I906">
        <f t="shared" si="29"/>
        <v>-1.2116141554787386E-3</v>
      </c>
    </row>
    <row r="907" spans="1:9" x14ac:dyDescent="0.2">
      <c r="A907" s="40" t="s">
        <v>600</v>
      </c>
      <c r="B907" s="42">
        <v>74.989999999999995</v>
      </c>
      <c r="D907" s="42"/>
      <c r="E907" s="40">
        <v>103</v>
      </c>
      <c r="F907" s="43">
        <v>106.11</v>
      </c>
      <c r="G907" s="40">
        <f t="shared" si="28"/>
        <v>-2.4299477957389314E-2</v>
      </c>
      <c r="H907" s="40">
        <v>20.02675</v>
      </c>
      <c r="I907">
        <f t="shared" si="29"/>
        <v>2.0868877343340445E-3</v>
      </c>
    </row>
    <row r="908" spans="1:9" x14ac:dyDescent="0.2">
      <c r="A908" s="41">
        <v>40269</v>
      </c>
      <c r="B908" s="42">
        <v>73.3</v>
      </c>
      <c r="D908" s="42"/>
      <c r="E908" s="40">
        <v>102</v>
      </c>
      <c r="F908" s="43">
        <v>108.72</v>
      </c>
      <c r="G908" s="40">
        <f t="shared" si="28"/>
        <v>1.8473488917014551E-2</v>
      </c>
      <c r="H908" s="40">
        <v>19.984999999999999</v>
      </c>
      <c r="I908">
        <f t="shared" si="29"/>
        <v>4.8912763628396513E-2</v>
      </c>
    </row>
    <row r="909" spans="1:9" x14ac:dyDescent="0.2">
      <c r="A909" s="41">
        <v>40299</v>
      </c>
      <c r="B909" s="42">
        <v>70.36</v>
      </c>
      <c r="D909" s="42"/>
      <c r="E909" s="40">
        <v>101</v>
      </c>
      <c r="F909" s="43">
        <v>106.73</v>
      </c>
      <c r="G909" s="40">
        <f t="shared" si="28"/>
        <v>-2.6200071130362975E-3</v>
      </c>
      <c r="H909" s="40">
        <v>19.030999999999999</v>
      </c>
      <c r="I909">
        <f t="shared" si="29"/>
        <v>-9.127467810824335E-3</v>
      </c>
    </row>
    <row r="910" spans="1:9" x14ac:dyDescent="0.2">
      <c r="A910" s="41">
        <v>40330</v>
      </c>
      <c r="B910" s="42">
        <v>67.650000000000006</v>
      </c>
      <c r="D910" s="42"/>
      <c r="E910" s="40">
        <v>100</v>
      </c>
      <c r="F910" s="43">
        <v>107.01</v>
      </c>
      <c r="G910" s="40">
        <f t="shared" si="28"/>
        <v>6.4688736339200536E-3</v>
      </c>
      <c r="H910" s="40">
        <v>19.205500000000001</v>
      </c>
      <c r="I910">
        <f t="shared" si="29"/>
        <v>7.7490897464035438E-3</v>
      </c>
    </row>
    <row r="911" spans="1:9" x14ac:dyDescent="0.2">
      <c r="A911" s="41">
        <v>40360</v>
      </c>
      <c r="B911" s="42">
        <v>67.150000000000006</v>
      </c>
      <c r="D911" s="42"/>
      <c r="E911" s="40">
        <v>99</v>
      </c>
      <c r="F911" s="43">
        <v>106.32</v>
      </c>
      <c r="G911" s="40">
        <f t="shared" si="28"/>
        <v>3.8637375494120899E-3</v>
      </c>
      <c r="H911" s="40">
        <v>19.05725</v>
      </c>
      <c r="I911">
        <f t="shared" si="29"/>
        <v>8.9869885909864538E-3</v>
      </c>
    </row>
    <row r="912" spans="1:9" x14ac:dyDescent="0.2">
      <c r="A912" s="41">
        <v>40391</v>
      </c>
      <c r="B912" s="42">
        <v>65.709999999999994</v>
      </c>
      <c r="D912" s="42"/>
      <c r="E912" s="40">
        <v>98</v>
      </c>
      <c r="F912" s="43">
        <v>105.91</v>
      </c>
      <c r="G912" s="40">
        <f t="shared" si="28"/>
        <v>-1.833712153175994E-2</v>
      </c>
      <c r="H912" s="40">
        <v>18.886749999999999</v>
      </c>
      <c r="I912">
        <f t="shared" si="29"/>
        <v>2.4630070699279444E-2</v>
      </c>
    </row>
    <row r="913" spans="1:9" x14ac:dyDescent="0.2">
      <c r="A913" s="41">
        <v>40483</v>
      </c>
      <c r="B913" s="42">
        <v>64.87</v>
      </c>
      <c r="D913" s="42"/>
      <c r="E913" s="40">
        <v>97</v>
      </c>
      <c r="F913" s="43">
        <v>107.87</v>
      </c>
      <c r="G913" s="40">
        <f t="shared" si="28"/>
        <v>-2.3907710713699033E-2</v>
      </c>
      <c r="H913" s="40">
        <v>18.427250000000001</v>
      </c>
      <c r="I913">
        <f t="shared" si="29"/>
        <v>-1.1412199613934965E-2</v>
      </c>
    </row>
    <row r="914" spans="1:9" x14ac:dyDescent="0.2">
      <c r="A914" s="41">
        <v>40513</v>
      </c>
      <c r="B914" s="42">
        <v>70.42</v>
      </c>
      <c r="D914" s="42"/>
      <c r="E914" s="40">
        <v>96</v>
      </c>
      <c r="F914" s="43">
        <v>110.48</v>
      </c>
      <c r="G914" s="40">
        <f t="shared" si="28"/>
        <v>-3.1451654744591766E-2</v>
      </c>
      <c r="H914" s="40">
        <v>18.638750000000002</v>
      </c>
      <c r="I914">
        <f t="shared" si="29"/>
        <v>-9.9206357342836431E-4</v>
      </c>
    </row>
    <row r="915" spans="1:9" x14ac:dyDescent="0.2">
      <c r="A915" s="40" t="s">
        <v>601</v>
      </c>
      <c r="B915" s="42">
        <v>75.53</v>
      </c>
      <c r="D915" s="42"/>
      <c r="E915" s="40">
        <v>95</v>
      </c>
      <c r="F915" s="43">
        <v>114.01</v>
      </c>
      <c r="G915" s="40">
        <f t="shared" si="28"/>
        <v>-6.1568365971964113E-2</v>
      </c>
      <c r="H915" s="40">
        <v>18.657250000000001</v>
      </c>
      <c r="I915">
        <f t="shared" si="29"/>
        <v>4.6460676235524329E-2</v>
      </c>
    </row>
    <row r="916" spans="1:9" x14ac:dyDescent="0.2">
      <c r="A916" s="40" t="s">
        <v>602</v>
      </c>
      <c r="B916" s="42">
        <v>74.52</v>
      </c>
      <c r="D916" s="42"/>
      <c r="E916" s="40">
        <v>94</v>
      </c>
      <c r="F916" s="43">
        <v>121.25</v>
      </c>
      <c r="G916" s="40">
        <f t="shared" si="28"/>
        <v>-6.0639175985840892E-2</v>
      </c>
      <c r="H916" s="40">
        <v>17.81025</v>
      </c>
      <c r="I916">
        <f t="shared" si="29"/>
        <v>1.2219531700619825E-3</v>
      </c>
    </row>
    <row r="917" spans="1:9" x14ac:dyDescent="0.2">
      <c r="A917" s="40" t="s">
        <v>603</v>
      </c>
      <c r="B917" s="42">
        <v>74.27</v>
      </c>
      <c r="D917" s="42"/>
      <c r="E917" s="40">
        <v>93</v>
      </c>
      <c r="F917" s="43">
        <v>128.83000000000001</v>
      </c>
      <c r="G917" s="40">
        <f t="shared" si="28"/>
        <v>6.576569622614109E-2</v>
      </c>
      <c r="H917" s="40">
        <v>17.788499999999999</v>
      </c>
      <c r="I917">
        <f t="shared" si="29"/>
        <v>-1.2860701313752875E-2</v>
      </c>
    </row>
    <row r="918" spans="1:9" x14ac:dyDescent="0.2">
      <c r="A918" s="40" t="s">
        <v>604</v>
      </c>
      <c r="B918" s="42">
        <v>73.5</v>
      </c>
      <c r="D918" s="42"/>
      <c r="E918" s="40">
        <v>92</v>
      </c>
      <c r="F918" s="43">
        <v>120.63</v>
      </c>
      <c r="G918" s="40">
        <f t="shared" si="28"/>
        <v>-7.7622189904102004E-3</v>
      </c>
      <c r="H918" s="40">
        <v>18.018750000000001</v>
      </c>
      <c r="I918">
        <f t="shared" si="29"/>
        <v>1.0796890957126741E-2</v>
      </c>
    </row>
    <row r="919" spans="1:9" x14ac:dyDescent="0.2">
      <c r="A919" s="40" t="s">
        <v>605</v>
      </c>
      <c r="B919" s="42">
        <v>80.36</v>
      </c>
      <c r="D919" s="42"/>
      <c r="E919" s="40">
        <v>91</v>
      </c>
      <c r="F919" s="43">
        <v>121.57</v>
      </c>
      <c r="G919" s="40">
        <f t="shared" si="28"/>
        <v>-1.0880788004286613E-2</v>
      </c>
      <c r="H919" s="40">
        <v>17.82525</v>
      </c>
      <c r="I919">
        <f t="shared" si="29"/>
        <v>2.2710034800860993E-2</v>
      </c>
    </row>
    <row r="920" spans="1:9" x14ac:dyDescent="0.2">
      <c r="A920" s="40" t="s">
        <v>606</v>
      </c>
      <c r="B920" s="42">
        <v>88.82</v>
      </c>
      <c r="D920" s="42"/>
      <c r="E920" s="40">
        <v>90</v>
      </c>
      <c r="F920" s="43">
        <v>122.9</v>
      </c>
      <c r="G920" s="40">
        <f t="shared" si="28"/>
        <v>2.5547330890640277E-2</v>
      </c>
      <c r="H920" s="40">
        <v>17.425000000000001</v>
      </c>
      <c r="I920">
        <f t="shared" si="29"/>
        <v>3.8380589473081708E-3</v>
      </c>
    </row>
    <row r="921" spans="1:9" x14ac:dyDescent="0.2">
      <c r="A921" s="40" t="s">
        <v>607</v>
      </c>
      <c r="B921" s="42">
        <v>100.06</v>
      </c>
      <c r="D921" s="42"/>
      <c r="E921" s="40">
        <v>89</v>
      </c>
      <c r="F921" s="43">
        <v>119.8</v>
      </c>
      <c r="G921" s="40">
        <f t="shared" si="28"/>
        <v>3.1199546524919873E-2</v>
      </c>
      <c r="H921" s="40">
        <v>17.358250000000002</v>
      </c>
      <c r="I921">
        <f t="shared" si="29"/>
        <v>-5.6728166433630996E-3</v>
      </c>
    </row>
    <row r="922" spans="1:9" x14ac:dyDescent="0.2">
      <c r="A922" s="40" t="s">
        <v>608</v>
      </c>
      <c r="B922" s="42">
        <v>90.58</v>
      </c>
      <c r="D922" s="42"/>
      <c r="E922" s="40">
        <v>88</v>
      </c>
      <c r="F922" s="43">
        <v>116.12</v>
      </c>
      <c r="G922" s="40">
        <f t="shared" si="28"/>
        <v>-5.4964068294849067E-3</v>
      </c>
      <c r="H922" s="40">
        <v>17.457000000000001</v>
      </c>
      <c r="I922">
        <f t="shared" si="29"/>
        <v>-9.237150865849534E-3</v>
      </c>
    </row>
    <row r="923" spans="1:9" x14ac:dyDescent="0.2">
      <c r="A923" s="40" t="s">
        <v>609</v>
      </c>
      <c r="B923" s="42">
        <v>90.04</v>
      </c>
      <c r="D923" s="42"/>
      <c r="E923" s="40">
        <v>87</v>
      </c>
      <c r="F923" s="43">
        <v>116.76</v>
      </c>
      <c r="G923" s="40">
        <f t="shared" si="28"/>
        <v>-3.5422034985842822E-2</v>
      </c>
      <c r="H923" s="40">
        <v>17.619</v>
      </c>
      <c r="I923">
        <f t="shared" si="29"/>
        <v>2.315522843816083E-3</v>
      </c>
    </row>
    <row r="924" spans="1:9" x14ac:dyDescent="0.2">
      <c r="A924" s="40" t="s">
        <v>610</v>
      </c>
      <c r="B924" s="42">
        <v>85.86</v>
      </c>
      <c r="D924" s="42"/>
      <c r="E924" s="40">
        <v>86</v>
      </c>
      <c r="F924" s="43">
        <v>120.97</v>
      </c>
      <c r="G924" s="40">
        <f t="shared" si="28"/>
        <v>9.8522741353786539E-2</v>
      </c>
      <c r="H924" s="40">
        <v>17.578250000000001</v>
      </c>
      <c r="I924">
        <f t="shared" si="29"/>
        <v>3.5229995106844103E-2</v>
      </c>
    </row>
    <row r="925" spans="1:9" x14ac:dyDescent="0.2">
      <c r="A925" s="40" t="s">
        <v>611</v>
      </c>
      <c r="B925" s="42">
        <v>87.91</v>
      </c>
      <c r="D925" s="42"/>
      <c r="E925" s="40">
        <v>85</v>
      </c>
      <c r="F925" s="43">
        <v>109.62</v>
      </c>
      <c r="G925" s="40">
        <f t="shared" si="28"/>
        <v>1.4610873289076877E-2</v>
      </c>
      <c r="H925" s="40">
        <v>16.969750000000001</v>
      </c>
      <c r="I925">
        <f t="shared" si="29"/>
        <v>1.1348942479845464E-2</v>
      </c>
    </row>
    <row r="926" spans="1:9" x14ac:dyDescent="0.2">
      <c r="A926" s="40" t="s">
        <v>612</v>
      </c>
      <c r="B926" s="42">
        <v>89</v>
      </c>
      <c r="D926" s="42"/>
      <c r="E926" s="40">
        <v>84</v>
      </c>
      <c r="F926" s="43">
        <v>108.03</v>
      </c>
      <c r="G926" s="40">
        <f t="shared" si="28"/>
        <v>-1.2026459657603415E-3</v>
      </c>
      <c r="H926" s="40">
        <v>16.77825</v>
      </c>
      <c r="I926">
        <f t="shared" si="29"/>
        <v>3.1098586179777239E-2</v>
      </c>
    </row>
    <row r="927" spans="1:9" x14ac:dyDescent="0.2">
      <c r="A927" s="41">
        <v>40180</v>
      </c>
      <c r="B927" s="42">
        <v>83.73</v>
      </c>
      <c r="D927" s="42"/>
      <c r="E927" s="40">
        <v>83</v>
      </c>
      <c r="F927" s="43">
        <v>108.16</v>
      </c>
      <c r="G927" s="40">
        <f t="shared" si="28"/>
        <v>-5.5302443743033086E-2</v>
      </c>
      <c r="H927" s="40">
        <v>16.264500000000002</v>
      </c>
      <c r="I927">
        <f t="shared" si="29"/>
        <v>1.2304286519586539E-3</v>
      </c>
    </row>
    <row r="928" spans="1:9" x14ac:dyDescent="0.2">
      <c r="A928" s="41">
        <v>40211</v>
      </c>
      <c r="B928" s="42">
        <v>80.98</v>
      </c>
      <c r="D928" s="42"/>
      <c r="E928" s="40">
        <v>82</v>
      </c>
      <c r="F928" s="43">
        <v>114.31</v>
      </c>
      <c r="G928" s="40">
        <f t="shared" si="28"/>
        <v>1.5338805670974556E-2</v>
      </c>
      <c r="H928" s="40">
        <v>16.244499999999999</v>
      </c>
      <c r="I928">
        <f t="shared" si="29"/>
        <v>4.7688859412029543E-2</v>
      </c>
    </row>
    <row r="929" spans="1:9" x14ac:dyDescent="0.2">
      <c r="A929" s="41">
        <v>40239</v>
      </c>
      <c r="B929" s="42">
        <v>80.55</v>
      </c>
      <c r="D929" s="42"/>
      <c r="E929" s="40">
        <v>81</v>
      </c>
      <c r="F929" s="43">
        <v>112.57</v>
      </c>
      <c r="G929" s="40">
        <f t="shared" si="28"/>
        <v>-4.1664880095595262E-3</v>
      </c>
      <c r="H929" s="40">
        <v>15.488</v>
      </c>
      <c r="I929">
        <f t="shared" si="29"/>
        <v>-1.3595181820041123E-2</v>
      </c>
    </row>
    <row r="930" spans="1:9" x14ac:dyDescent="0.2">
      <c r="A930" s="41">
        <v>40270</v>
      </c>
      <c r="B930" s="42">
        <v>91.42</v>
      </c>
      <c r="D930" s="42"/>
      <c r="E930" s="40">
        <v>80</v>
      </c>
      <c r="F930" s="43">
        <v>113.04</v>
      </c>
      <c r="G930" s="40">
        <f t="shared" si="28"/>
        <v>6.9884230109174203E-2</v>
      </c>
      <c r="H930" s="40">
        <v>15.7</v>
      </c>
      <c r="I930">
        <f t="shared" si="29"/>
        <v>3.3335756720436617E-3</v>
      </c>
    </row>
    <row r="931" spans="1:9" x14ac:dyDescent="0.2">
      <c r="A931" s="41">
        <v>40300</v>
      </c>
      <c r="B931" s="42">
        <v>88.22</v>
      </c>
      <c r="D931" s="42"/>
      <c r="E931" s="40">
        <v>79</v>
      </c>
      <c r="F931" s="43">
        <v>105.41</v>
      </c>
      <c r="G931" s="40">
        <f t="shared" si="28"/>
        <v>1.462112147255014E-2</v>
      </c>
      <c r="H931" s="40">
        <v>15.64775</v>
      </c>
      <c r="I931">
        <f t="shared" si="29"/>
        <v>2.2872873638500784E-3</v>
      </c>
    </row>
    <row r="932" spans="1:9" x14ac:dyDescent="0.2">
      <c r="A932" s="41">
        <v>40392</v>
      </c>
      <c r="B932" s="42">
        <v>90.01</v>
      </c>
      <c r="D932" s="42"/>
      <c r="E932" s="40">
        <v>78</v>
      </c>
      <c r="F932" s="43">
        <v>103.88</v>
      </c>
      <c r="G932" s="40">
        <f t="shared" si="28"/>
        <v>-2.2934820750942747E-2</v>
      </c>
      <c r="H932" s="40">
        <v>15.612</v>
      </c>
      <c r="I932">
        <f t="shared" si="29"/>
        <v>4.0539799521639788E-2</v>
      </c>
    </row>
    <row r="933" spans="1:9" x14ac:dyDescent="0.2">
      <c r="A933" s="41">
        <v>40423</v>
      </c>
      <c r="B933" s="42">
        <v>88.8</v>
      </c>
      <c r="D933" s="42"/>
      <c r="E933" s="40">
        <v>77</v>
      </c>
      <c r="F933" s="43">
        <v>106.29</v>
      </c>
      <c r="G933" s="40">
        <f t="shared" si="28"/>
        <v>-6.6072061006077126E-2</v>
      </c>
      <c r="H933" s="40">
        <v>14.99175</v>
      </c>
      <c r="I933">
        <f t="shared" si="29"/>
        <v>2.5622722998541961E-2</v>
      </c>
    </row>
    <row r="934" spans="1:9" x14ac:dyDescent="0.2">
      <c r="A934" s="41">
        <v>40453</v>
      </c>
      <c r="B934" s="42">
        <v>92.18</v>
      </c>
      <c r="D934" s="42"/>
      <c r="E934" s="40">
        <v>76</v>
      </c>
      <c r="F934" s="43">
        <v>113.55</v>
      </c>
      <c r="G934" s="40">
        <f t="shared" si="28"/>
        <v>-2.23808706048617E-2</v>
      </c>
      <c r="H934" s="40">
        <v>14.612500000000001</v>
      </c>
      <c r="I934">
        <f t="shared" si="29"/>
        <v>3.8134562424495734E-2</v>
      </c>
    </row>
    <row r="935" spans="1:9" x14ac:dyDescent="0.2">
      <c r="A935" s="41">
        <v>40484</v>
      </c>
      <c r="B935" s="42">
        <v>89.59</v>
      </c>
      <c r="D935" s="42"/>
      <c r="E935" s="40">
        <v>75</v>
      </c>
      <c r="F935" s="43">
        <v>116.12</v>
      </c>
      <c r="G935" s="40">
        <f t="shared" si="28"/>
        <v>-6.7430047974727667E-2</v>
      </c>
      <c r="H935" s="40">
        <v>14.06575</v>
      </c>
      <c r="I935">
        <f t="shared" si="29"/>
        <v>3.5610670967231601E-3</v>
      </c>
    </row>
    <row r="936" spans="1:9" x14ac:dyDescent="0.2">
      <c r="A936" s="41">
        <v>40514</v>
      </c>
      <c r="B936" s="42">
        <v>88.16</v>
      </c>
      <c r="D936" s="42"/>
      <c r="E936" s="40">
        <v>74</v>
      </c>
      <c r="F936" s="43">
        <v>124.22</v>
      </c>
      <c r="G936" s="40">
        <f t="shared" si="28"/>
        <v>-1.6922498339397397E-2</v>
      </c>
      <c r="H936" s="40">
        <v>14.015750000000001</v>
      </c>
      <c r="I936">
        <f t="shared" si="29"/>
        <v>-1.0627733652927426E-2</v>
      </c>
    </row>
    <row r="937" spans="1:9" x14ac:dyDescent="0.2">
      <c r="A937" s="40" t="s">
        <v>613</v>
      </c>
      <c r="B937" s="42">
        <v>81.77</v>
      </c>
      <c r="D937" s="42"/>
      <c r="E937" s="40">
        <v>73</v>
      </c>
      <c r="F937" s="43">
        <v>126.34</v>
      </c>
      <c r="G937" s="40">
        <f t="shared" si="28"/>
        <v>-2.9864603007814516E-2</v>
      </c>
      <c r="H937" s="40">
        <v>14.1655</v>
      </c>
      <c r="I937">
        <f t="shared" si="29"/>
        <v>-5.4561270225538831E-3</v>
      </c>
    </row>
    <row r="938" spans="1:9" x14ac:dyDescent="0.2">
      <c r="A938" s="40" t="s">
        <v>614</v>
      </c>
      <c r="B938" s="42">
        <v>80.290000000000006</v>
      </c>
      <c r="D938" s="42"/>
      <c r="E938" s="40">
        <v>72</v>
      </c>
      <c r="F938" s="43">
        <v>130.16999999999999</v>
      </c>
      <c r="G938" s="40">
        <f t="shared" si="28"/>
        <v>4.9124398401586035E-2</v>
      </c>
      <c r="H938" s="40">
        <v>14.243</v>
      </c>
      <c r="I938">
        <f t="shared" si="29"/>
        <v>4.1409443825753768E-2</v>
      </c>
    </row>
    <row r="939" spans="1:9" x14ac:dyDescent="0.2">
      <c r="A939" s="40" t="s">
        <v>615</v>
      </c>
      <c r="B939" s="42">
        <v>79.2</v>
      </c>
      <c r="D939" s="42"/>
      <c r="E939" s="40">
        <v>71</v>
      </c>
      <c r="F939" s="43">
        <v>123.93</v>
      </c>
      <c r="G939" s="40">
        <f t="shared" si="28"/>
        <v>2.6408761973297008E-2</v>
      </c>
      <c r="H939" s="40">
        <v>13.66525</v>
      </c>
      <c r="I939">
        <f t="shared" si="29"/>
        <v>-6.8007008083959281E-3</v>
      </c>
    </row>
    <row r="940" spans="1:9" x14ac:dyDescent="0.2">
      <c r="A940" s="40" t="s">
        <v>616</v>
      </c>
      <c r="B940" s="42">
        <v>77.97</v>
      </c>
      <c r="D940" s="42"/>
      <c r="E940" s="40">
        <v>70</v>
      </c>
      <c r="F940" s="43">
        <v>120.7</v>
      </c>
      <c r="G940" s="40">
        <f t="shared" si="28"/>
        <v>2.6359286552769114E-2</v>
      </c>
      <c r="H940" s="40">
        <v>13.7585</v>
      </c>
      <c r="I940">
        <f t="shared" si="29"/>
        <v>-3.9039689783648551E-2</v>
      </c>
    </row>
    <row r="941" spans="1:9" x14ac:dyDescent="0.2">
      <c r="A941" s="40" t="s">
        <v>617</v>
      </c>
      <c r="B941" s="42">
        <v>75.44</v>
      </c>
      <c r="D941" s="42"/>
      <c r="E941" s="40">
        <v>69</v>
      </c>
      <c r="F941" s="43">
        <v>117.56</v>
      </c>
      <c r="G941" s="40">
        <f t="shared" si="28"/>
        <v>-0.10066252902336069</v>
      </c>
      <c r="H941" s="40">
        <v>14.30625</v>
      </c>
      <c r="I941">
        <f t="shared" si="29"/>
        <v>2.8349451998168416E-3</v>
      </c>
    </row>
    <row r="942" spans="1:9" x14ac:dyDescent="0.2">
      <c r="A942" s="40" t="s">
        <v>618</v>
      </c>
      <c r="B942" s="42">
        <v>77.819999999999993</v>
      </c>
      <c r="D942" s="42"/>
      <c r="E942" s="40">
        <v>68</v>
      </c>
      <c r="F942" s="43">
        <v>130.01</v>
      </c>
      <c r="G942" s="40">
        <f t="shared" si="28"/>
        <v>-0.11791122270710316</v>
      </c>
      <c r="H942" s="40">
        <v>14.265750000000001</v>
      </c>
      <c r="I942">
        <f t="shared" si="29"/>
        <v>-3.759298159686722E-2</v>
      </c>
    </row>
    <row r="943" spans="1:9" x14ac:dyDescent="0.2">
      <c r="A943" s="40" t="s">
        <v>619</v>
      </c>
      <c r="B943" s="42">
        <v>75.930000000000007</v>
      </c>
      <c r="D943" s="42"/>
      <c r="E943" s="40">
        <v>67</v>
      </c>
      <c r="F943" s="43">
        <v>146.28</v>
      </c>
      <c r="G943" s="40">
        <f t="shared" si="28"/>
        <v>0.17765649124798458</v>
      </c>
      <c r="H943" s="40">
        <v>14.812250000000001</v>
      </c>
      <c r="I943">
        <f t="shared" si="29"/>
        <v>1.9720941490123305E-2</v>
      </c>
    </row>
    <row r="944" spans="1:9" x14ac:dyDescent="0.2">
      <c r="A944" s="40" t="s">
        <v>620</v>
      </c>
      <c r="B944" s="42">
        <v>75.3</v>
      </c>
      <c r="D944" s="42"/>
      <c r="E944" s="40">
        <v>66</v>
      </c>
      <c r="F944" s="43">
        <v>122.47</v>
      </c>
      <c r="G944" s="40">
        <f t="shared" si="28"/>
        <v>7.0790845165166094E-2</v>
      </c>
      <c r="H944" s="40">
        <v>14.523</v>
      </c>
      <c r="I944">
        <f t="shared" si="29"/>
        <v>4.4511227156714024E-3</v>
      </c>
    </row>
    <row r="945" spans="1:9" x14ac:dyDescent="0.2">
      <c r="A945" s="40" t="s">
        <v>621</v>
      </c>
      <c r="B945" s="42">
        <v>73.13</v>
      </c>
      <c r="D945" s="42"/>
      <c r="E945" s="40">
        <v>65</v>
      </c>
      <c r="F945" s="43">
        <v>114.1</v>
      </c>
      <c r="G945" s="40">
        <f t="shared" si="28"/>
        <v>6.3966087871745736E-2</v>
      </c>
      <c r="H945" s="40">
        <v>14.458500000000001</v>
      </c>
      <c r="I945">
        <f t="shared" si="29"/>
        <v>7.4454304841108281E-3</v>
      </c>
    </row>
    <row r="946" spans="1:9" x14ac:dyDescent="0.2">
      <c r="A946" s="41">
        <v>40181</v>
      </c>
      <c r="B946" s="42">
        <v>73.239999999999995</v>
      </c>
      <c r="D946" s="42"/>
      <c r="E946" s="40">
        <v>64</v>
      </c>
      <c r="F946" s="43">
        <v>107.03</v>
      </c>
      <c r="G946" s="40">
        <f t="shared" si="28"/>
        <v>-1.2626664831374342E-2</v>
      </c>
      <c r="H946" s="40">
        <v>14.35125</v>
      </c>
      <c r="I946">
        <f t="shared" si="29"/>
        <v>-3.3270164633339788E-2</v>
      </c>
    </row>
    <row r="947" spans="1:9" x14ac:dyDescent="0.2">
      <c r="A947" s="41">
        <v>40212</v>
      </c>
      <c r="B947" s="42">
        <v>73.430000000000007</v>
      </c>
      <c r="D947" s="42"/>
      <c r="E947" s="40">
        <v>63</v>
      </c>
      <c r="F947" s="43">
        <v>108.39</v>
      </c>
      <c r="G947" s="40">
        <f t="shared" si="28"/>
        <v>-1.0280035460009261E-2</v>
      </c>
      <c r="H947" s="40">
        <v>14.83675</v>
      </c>
      <c r="I947">
        <f t="shared" si="29"/>
        <v>-1.1576122905402178E-2</v>
      </c>
    </row>
    <row r="948" spans="1:9" x14ac:dyDescent="0.2">
      <c r="A948" s="41">
        <v>40240</v>
      </c>
      <c r="B948" s="42">
        <v>72.61</v>
      </c>
      <c r="D948" s="42"/>
      <c r="E948" s="40">
        <v>62</v>
      </c>
      <c r="F948" s="43">
        <v>109.51</v>
      </c>
      <c r="G948" s="40">
        <f t="shared" si="28"/>
        <v>-1.5494352471750033E-2</v>
      </c>
      <c r="H948" s="40">
        <v>15.009499999999999</v>
      </c>
      <c r="I948">
        <f t="shared" si="29"/>
        <v>-2.0785834510883519E-2</v>
      </c>
    </row>
    <row r="949" spans="1:9" x14ac:dyDescent="0.2">
      <c r="A949" s="41">
        <v>40271</v>
      </c>
      <c r="B949" s="42">
        <v>70.510000000000005</v>
      </c>
      <c r="D949" s="42"/>
      <c r="E949" s="40">
        <v>61</v>
      </c>
      <c r="F949" s="43">
        <v>111.22</v>
      </c>
      <c r="G949" s="40">
        <f t="shared" si="28"/>
        <v>2.6420412595453184E-2</v>
      </c>
      <c r="H949" s="40">
        <v>15.32475</v>
      </c>
      <c r="I949">
        <f t="shared" si="29"/>
        <v>3.1371036952876543E-3</v>
      </c>
    </row>
    <row r="950" spans="1:9" x14ac:dyDescent="0.2">
      <c r="A950" s="41">
        <v>40301</v>
      </c>
      <c r="B950" s="42">
        <v>71.06</v>
      </c>
      <c r="D950" s="42"/>
      <c r="E950" s="40">
        <v>60</v>
      </c>
      <c r="F950" s="43">
        <v>108.32</v>
      </c>
      <c r="G950" s="40">
        <f t="shared" si="28"/>
        <v>-8.2743875600427893E-3</v>
      </c>
      <c r="H950" s="40">
        <v>15.27675</v>
      </c>
      <c r="I950">
        <f t="shared" si="29"/>
        <v>-6.8496769595923898E-3</v>
      </c>
    </row>
    <row r="951" spans="1:9" x14ac:dyDescent="0.2">
      <c r="A951" s="41">
        <v>40393</v>
      </c>
      <c r="B951" s="42">
        <v>70.900000000000006</v>
      </c>
      <c r="D951" s="42"/>
      <c r="E951" s="40">
        <v>59</v>
      </c>
      <c r="F951" s="43">
        <v>109.22</v>
      </c>
      <c r="G951" s="40">
        <f t="shared" si="28"/>
        <v>3.5032462621684038E-2</v>
      </c>
      <c r="H951" s="40">
        <v>15.38175</v>
      </c>
      <c r="I951">
        <f t="shared" si="29"/>
        <v>-6.2379191084525791E-3</v>
      </c>
    </row>
    <row r="952" spans="1:9" x14ac:dyDescent="0.2">
      <c r="A952" s="41">
        <v>40424</v>
      </c>
      <c r="B952" s="42">
        <v>71.489999999999995</v>
      </c>
      <c r="D952" s="42"/>
      <c r="E952" s="40">
        <v>58</v>
      </c>
      <c r="F952" s="43">
        <v>105.46</v>
      </c>
      <c r="G952" s="40">
        <f t="shared" si="28"/>
        <v>6.4688201222500401E-3</v>
      </c>
      <c r="H952" s="40">
        <v>15.478</v>
      </c>
      <c r="I952">
        <f t="shared" si="29"/>
        <v>1.3840657461763209E-2</v>
      </c>
    </row>
    <row r="953" spans="1:9" x14ac:dyDescent="0.2">
      <c r="A953" s="41">
        <v>40454</v>
      </c>
      <c r="B953" s="42">
        <v>76.2</v>
      </c>
      <c r="D953" s="42"/>
      <c r="E953" s="40">
        <v>57</v>
      </c>
      <c r="F953" s="43">
        <v>104.78</v>
      </c>
      <c r="G953" s="40">
        <f t="shared" si="28"/>
        <v>1.3354668381471931E-2</v>
      </c>
      <c r="H953" s="40">
        <v>15.26525</v>
      </c>
      <c r="I953">
        <f t="shared" si="29"/>
        <v>2.7562303262667731E-2</v>
      </c>
    </row>
    <row r="954" spans="1:9" x14ac:dyDescent="0.2">
      <c r="A954" s="41">
        <v>40485</v>
      </c>
      <c r="B954" s="42">
        <v>76.16</v>
      </c>
      <c r="D954" s="42"/>
      <c r="E954" s="40">
        <v>56</v>
      </c>
      <c r="F954" s="43">
        <v>103.39</v>
      </c>
      <c r="G954" s="40">
        <f t="shared" si="28"/>
        <v>-5.9788027664400565E-3</v>
      </c>
      <c r="H954" s="40">
        <v>14.850250000000001</v>
      </c>
      <c r="I954">
        <f t="shared" si="29"/>
        <v>-3.3782579149215543E-2</v>
      </c>
    </row>
    <row r="955" spans="1:9" x14ac:dyDescent="0.2">
      <c r="A955" s="41">
        <v>40515</v>
      </c>
      <c r="B955" s="42">
        <v>73.739999999999995</v>
      </c>
      <c r="D955" s="42"/>
      <c r="E955" s="40">
        <v>55</v>
      </c>
      <c r="F955" s="43">
        <v>104.01</v>
      </c>
      <c r="G955" s="40">
        <f t="shared" si="28"/>
        <v>-4.0971968851852579E-2</v>
      </c>
      <c r="H955" s="40">
        <v>15.3605</v>
      </c>
      <c r="I955">
        <f t="shared" si="29"/>
        <v>1.2397089834617701E-2</v>
      </c>
    </row>
    <row r="956" spans="1:9" x14ac:dyDescent="0.2">
      <c r="A956" s="40" t="s">
        <v>622</v>
      </c>
      <c r="B956" s="42">
        <v>75.22</v>
      </c>
      <c r="D956" s="42"/>
      <c r="E956" s="40">
        <v>54</v>
      </c>
      <c r="F956" s="43">
        <v>108.36</v>
      </c>
      <c r="G956" s="40">
        <f t="shared" si="28"/>
        <v>-6.8562115503551679E-2</v>
      </c>
      <c r="H956" s="40">
        <v>15.171250000000001</v>
      </c>
      <c r="I956">
        <f t="shared" si="29"/>
        <v>-1.2478464082968007E-2</v>
      </c>
    </row>
    <row r="957" spans="1:9" x14ac:dyDescent="0.2">
      <c r="A957" s="40" t="s">
        <v>623</v>
      </c>
      <c r="B957" s="42">
        <v>76.41</v>
      </c>
      <c r="D957" s="42"/>
      <c r="E957" s="40">
        <v>53</v>
      </c>
      <c r="F957" s="43">
        <v>116.05</v>
      </c>
      <c r="G957" s="40">
        <f t="shared" si="28"/>
        <v>2.7518661564829728E-2</v>
      </c>
      <c r="H957" s="40">
        <v>15.361750000000001</v>
      </c>
      <c r="I957">
        <f t="shared" si="29"/>
        <v>-3.522431036212266E-2</v>
      </c>
    </row>
    <row r="958" spans="1:9" x14ac:dyDescent="0.2">
      <c r="A958" s="40" t="s">
        <v>624</v>
      </c>
      <c r="B958" s="42">
        <v>73.16</v>
      </c>
      <c r="D958" s="42"/>
      <c r="E958" s="40">
        <v>52</v>
      </c>
      <c r="F958" s="43">
        <v>112.9</v>
      </c>
      <c r="G958" s="40">
        <f t="shared" si="28"/>
        <v>-3.0272298964369171E-2</v>
      </c>
      <c r="H958" s="40">
        <v>15.9125</v>
      </c>
      <c r="I958">
        <f t="shared" si="29"/>
        <v>-1.4025300302465998E-2</v>
      </c>
    </row>
    <row r="959" spans="1:9" x14ac:dyDescent="0.2">
      <c r="A959" s="40" t="s">
        <v>625</v>
      </c>
      <c r="B959" s="42">
        <v>76.459999999999994</v>
      </c>
      <c r="D959" s="42"/>
      <c r="E959" s="40">
        <v>51</v>
      </c>
      <c r="F959" s="43">
        <v>116.37</v>
      </c>
      <c r="G959" s="40">
        <f t="shared" si="28"/>
        <v>3.9169154802106032E-2</v>
      </c>
      <c r="H959" s="40">
        <v>16.137250000000002</v>
      </c>
      <c r="I959">
        <f t="shared" si="29"/>
        <v>5.4781834802405199E-2</v>
      </c>
    </row>
    <row r="960" spans="1:9" x14ac:dyDescent="0.2">
      <c r="A960" s="40" t="s">
        <v>626</v>
      </c>
      <c r="B960" s="42">
        <v>76.680000000000007</v>
      </c>
      <c r="D960" s="42"/>
      <c r="E960" s="40">
        <v>50</v>
      </c>
      <c r="F960" s="43">
        <v>111.9</v>
      </c>
      <c r="G960" s="40">
        <f t="shared" si="28"/>
        <v>3.7327956842982818E-2</v>
      </c>
      <c r="H960" s="40">
        <v>15.276999999999999</v>
      </c>
      <c r="I960">
        <f t="shared" si="29"/>
        <v>-2.6005697275148832E-2</v>
      </c>
    </row>
    <row r="961" spans="1:9" x14ac:dyDescent="0.2">
      <c r="A961" s="40" t="s">
        <v>627</v>
      </c>
      <c r="B961" s="42">
        <v>77.75</v>
      </c>
      <c r="D961" s="42"/>
      <c r="E961" s="40">
        <v>49</v>
      </c>
      <c r="F961" s="43">
        <v>107.8</v>
      </c>
      <c r="G961" s="40">
        <f t="shared" si="28"/>
        <v>-7.9460826484802367E-3</v>
      </c>
      <c r="H961" s="40">
        <v>15.679500000000001</v>
      </c>
      <c r="I961">
        <f t="shared" si="29"/>
        <v>3.0466768768502892E-2</v>
      </c>
    </row>
    <row r="962" spans="1:9" x14ac:dyDescent="0.2">
      <c r="A962" s="40" t="s">
        <v>628</v>
      </c>
      <c r="B962" s="42">
        <v>78.31</v>
      </c>
      <c r="D962" s="42"/>
      <c r="E962" s="40">
        <v>48</v>
      </c>
      <c r="F962" s="43">
        <v>108.66</v>
      </c>
      <c r="G962" s="40">
        <f t="shared" si="28"/>
        <v>1.1012002270315019E-2</v>
      </c>
      <c r="H962" s="40">
        <v>15.209</v>
      </c>
      <c r="I962">
        <f t="shared" si="29"/>
        <v>5.465915130827665E-2</v>
      </c>
    </row>
    <row r="963" spans="1:9" x14ac:dyDescent="0.2">
      <c r="A963" s="40" t="s">
        <v>629</v>
      </c>
      <c r="B963" s="42">
        <v>80.680000000000007</v>
      </c>
      <c r="D963" s="42"/>
      <c r="E963" s="40">
        <v>47</v>
      </c>
      <c r="F963" s="43">
        <v>107.47</v>
      </c>
      <c r="G963" s="40">
        <f t="shared" ref="G963:G1008" si="30">LN(F963/F964)</f>
        <v>6.7651204563677708E-2</v>
      </c>
      <c r="H963" s="40">
        <v>14.4</v>
      </c>
      <c r="I963">
        <f t="shared" ref="I963:I1009" si="31">LN(H963/H964)</f>
        <v>5.7805642037644179E-3</v>
      </c>
    </row>
    <row r="964" spans="1:9" x14ac:dyDescent="0.2">
      <c r="A964" s="40" t="s">
        <v>630</v>
      </c>
      <c r="B964" s="42">
        <v>83.82</v>
      </c>
      <c r="D964" s="42"/>
      <c r="E964" s="40">
        <v>46</v>
      </c>
      <c r="F964" s="43">
        <v>100.44</v>
      </c>
      <c r="G964" s="40">
        <f t="shared" si="30"/>
        <v>-1.6196285307095448E-2</v>
      </c>
      <c r="H964" s="40">
        <v>14.317</v>
      </c>
      <c r="I964">
        <f t="shared" si="31"/>
        <v>1.2192487786485875E-2</v>
      </c>
    </row>
    <row r="965" spans="1:9" x14ac:dyDescent="0.2">
      <c r="A965" s="40" t="s">
        <v>631</v>
      </c>
      <c r="B965" s="42">
        <v>81.56</v>
      </c>
      <c r="D965" s="42"/>
      <c r="E965" s="40">
        <v>45</v>
      </c>
      <c r="F965" s="43">
        <v>102.08</v>
      </c>
      <c r="G965" s="40">
        <f t="shared" si="30"/>
        <v>1.9594396065434927E-4</v>
      </c>
      <c r="H965" s="40">
        <v>14.1435</v>
      </c>
      <c r="I965">
        <f t="shared" si="31"/>
        <v>2.013994157763685E-2</v>
      </c>
    </row>
    <row r="966" spans="1:9" x14ac:dyDescent="0.2">
      <c r="A966" s="40" t="s">
        <v>632</v>
      </c>
      <c r="B966" s="42">
        <v>78.75</v>
      </c>
      <c r="D966" s="42"/>
      <c r="E966" s="40">
        <v>44</v>
      </c>
      <c r="F966" s="43">
        <v>102.06</v>
      </c>
      <c r="G966" s="40">
        <f t="shared" si="30"/>
        <v>1.32164858997336E-2</v>
      </c>
      <c r="H966" s="40">
        <v>13.861499999999999</v>
      </c>
      <c r="I966">
        <f t="shared" si="31"/>
        <v>-9.0488606239759409E-3</v>
      </c>
    </row>
    <row r="967" spans="1:9" x14ac:dyDescent="0.2">
      <c r="A967" s="40" t="s">
        <v>633</v>
      </c>
      <c r="B967" s="42">
        <v>76.91</v>
      </c>
      <c r="D967" s="42"/>
      <c r="E967" s="40">
        <v>43</v>
      </c>
      <c r="F967" s="43">
        <v>100.72</v>
      </c>
      <c r="G967" s="40">
        <f t="shared" si="30"/>
        <v>3.6706006354038145E-2</v>
      </c>
      <c r="H967" s="40">
        <v>13.987500000000001</v>
      </c>
      <c r="I967">
        <f t="shared" si="31"/>
        <v>1.2644394476830639E-2</v>
      </c>
    </row>
    <row r="968" spans="1:9" x14ac:dyDescent="0.2">
      <c r="A968" s="40" t="s">
        <v>634</v>
      </c>
      <c r="B968" s="42">
        <v>77.489999999999995</v>
      </c>
      <c r="D968" s="42"/>
      <c r="E968" s="40">
        <v>42</v>
      </c>
      <c r="F968" s="43">
        <v>97.09</v>
      </c>
      <c r="G968" s="40">
        <f t="shared" si="30"/>
        <v>-2.0087343778038121E-2</v>
      </c>
      <c r="H968" s="40">
        <v>13.81175</v>
      </c>
      <c r="I968">
        <f t="shared" si="31"/>
        <v>3.4134389049815833E-2</v>
      </c>
    </row>
    <row r="969" spans="1:9" x14ac:dyDescent="0.2">
      <c r="A969" s="41">
        <v>40182</v>
      </c>
      <c r="B969" s="42">
        <v>78.290000000000006</v>
      </c>
      <c r="D969" s="42"/>
      <c r="E969" s="40">
        <v>41</v>
      </c>
      <c r="F969" s="43">
        <v>99.06</v>
      </c>
      <c r="G969" s="40">
        <f t="shared" si="30"/>
        <v>-1.8154316635085382E-3</v>
      </c>
      <c r="H969" s="40">
        <v>13.34825</v>
      </c>
      <c r="I969">
        <f t="shared" si="31"/>
        <v>3.6350302611167666E-2</v>
      </c>
    </row>
    <row r="970" spans="1:9" x14ac:dyDescent="0.2">
      <c r="A970" s="41">
        <v>40302</v>
      </c>
      <c r="B970" s="42">
        <v>76.97</v>
      </c>
      <c r="D970" s="42"/>
      <c r="E970" s="40">
        <v>40</v>
      </c>
      <c r="F970" s="43">
        <v>99.24</v>
      </c>
      <c r="G970" s="40">
        <f t="shared" si="30"/>
        <v>2.7243849150005417E-3</v>
      </c>
      <c r="H970" s="40">
        <v>12.87175</v>
      </c>
      <c r="I970">
        <f t="shared" si="31"/>
        <v>-5.9256563786069354E-3</v>
      </c>
    </row>
    <row r="971" spans="1:9" x14ac:dyDescent="0.2">
      <c r="A971" s="41">
        <v>40333</v>
      </c>
      <c r="B971" s="42">
        <v>76.819999999999993</v>
      </c>
      <c r="D971" s="42"/>
      <c r="E971" s="40">
        <v>39</v>
      </c>
      <c r="F971" s="43">
        <v>98.97</v>
      </c>
      <c r="G971" s="40">
        <f t="shared" si="30"/>
        <v>-1.0753332100818582E-2</v>
      </c>
      <c r="H971" s="40">
        <v>12.94825</v>
      </c>
      <c r="I971">
        <f t="shared" si="31"/>
        <v>8.4537585379761294E-3</v>
      </c>
    </row>
    <row r="972" spans="1:9" x14ac:dyDescent="0.2">
      <c r="A972" s="41">
        <v>40363</v>
      </c>
      <c r="B972" s="42">
        <v>78.16</v>
      </c>
      <c r="D972" s="42"/>
      <c r="E972" s="40">
        <v>38</v>
      </c>
      <c r="F972" s="43">
        <v>100.04</v>
      </c>
      <c r="G972" s="40">
        <f t="shared" si="30"/>
        <v>-1.8421834219260812E-2</v>
      </c>
      <c r="H972" s="40">
        <v>12.83925</v>
      </c>
      <c r="I972">
        <f t="shared" si="31"/>
        <v>2.3962209773123626E-2</v>
      </c>
    </row>
    <row r="973" spans="1:9" x14ac:dyDescent="0.2">
      <c r="A973" s="41">
        <v>40394</v>
      </c>
      <c r="B973" s="42">
        <v>77.06</v>
      </c>
      <c r="D973" s="42"/>
      <c r="E973" s="40">
        <v>37</v>
      </c>
      <c r="F973" s="43">
        <v>101.9</v>
      </c>
      <c r="G973" s="40">
        <f t="shared" si="30"/>
        <v>-3.7936579578021046E-2</v>
      </c>
      <c r="H973" s="40">
        <v>12.53525</v>
      </c>
      <c r="I973">
        <f t="shared" si="31"/>
        <v>-8.5590267620238667E-3</v>
      </c>
    </row>
    <row r="974" spans="1:9" x14ac:dyDescent="0.2">
      <c r="A974" s="41">
        <v>40425</v>
      </c>
      <c r="B974" s="42">
        <v>78.239999999999995</v>
      </c>
      <c r="D974" s="42"/>
      <c r="E974" s="40">
        <v>36</v>
      </c>
      <c r="F974" s="43">
        <v>105.84</v>
      </c>
      <c r="G974" s="40">
        <f t="shared" si="30"/>
        <v>2.4678440355197197E-2</v>
      </c>
      <c r="H974" s="40">
        <v>12.643000000000001</v>
      </c>
      <c r="I974">
        <f t="shared" si="31"/>
        <v>-3.3273206980591656E-2</v>
      </c>
    </row>
    <row r="975" spans="1:9" x14ac:dyDescent="0.2">
      <c r="A975" s="41">
        <v>40516</v>
      </c>
      <c r="B975" s="42">
        <v>80.06</v>
      </c>
      <c r="D975" s="42"/>
      <c r="E975" s="40">
        <v>35</v>
      </c>
      <c r="F975" s="43">
        <v>103.26</v>
      </c>
      <c r="G975" s="40">
        <f t="shared" si="30"/>
        <v>-1.4326479350743982E-2</v>
      </c>
      <c r="H975" s="40">
        <v>13.07075</v>
      </c>
      <c r="I975">
        <f t="shared" si="31"/>
        <v>-8.7977107035290842E-3</v>
      </c>
    </row>
    <row r="976" spans="1:9" x14ac:dyDescent="0.2">
      <c r="A976" s="40" t="s">
        <v>635</v>
      </c>
      <c r="B976" s="42">
        <v>79.97</v>
      </c>
      <c r="D976" s="42"/>
      <c r="E976" s="40">
        <v>34</v>
      </c>
      <c r="F976" s="43">
        <v>104.75</v>
      </c>
      <c r="G976" s="40">
        <f t="shared" si="30"/>
        <v>-5.4976241474446838E-2</v>
      </c>
      <c r="H976" s="40">
        <v>13.186249999999999</v>
      </c>
      <c r="I976">
        <f t="shared" si="31"/>
        <v>2.6161602678568239E-2</v>
      </c>
    </row>
    <row r="977" spans="1:9" x14ac:dyDescent="0.2">
      <c r="A977" s="40" t="s">
        <v>636</v>
      </c>
      <c r="B977" s="42">
        <v>83.31</v>
      </c>
      <c r="D977" s="42"/>
      <c r="E977" s="40">
        <v>33</v>
      </c>
      <c r="F977" s="43">
        <v>110.67</v>
      </c>
      <c r="G977" s="40">
        <f t="shared" si="30"/>
        <v>-9.1743762760412694E-3</v>
      </c>
      <c r="H977" s="40">
        <v>12.845750000000001</v>
      </c>
      <c r="I977">
        <f t="shared" si="31"/>
        <v>9.6409378544624665E-3</v>
      </c>
    </row>
    <row r="978" spans="1:9" x14ac:dyDescent="0.2">
      <c r="A978" s="40" t="s">
        <v>637</v>
      </c>
      <c r="B978" s="42">
        <v>83.1</v>
      </c>
      <c r="D978" s="42"/>
      <c r="E978" s="40">
        <v>32</v>
      </c>
      <c r="F978" s="43">
        <v>111.69</v>
      </c>
      <c r="G978" s="40">
        <f t="shared" si="30"/>
        <v>2.7779564107075671E-2</v>
      </c>
      <c r="H978" s="40">
        <v>12.7225</v>
      </c>
      <c r="I978">
        <f t="shared" si="31"/>
        <v>-4.7488659765187041E-2</v>
      </c>
    </row>
    <row r="979" spans="1:9" x14ac:dyDescent="0.2">
      <c r="A979" s="40" t="s">
        <v>638</v>
      </c>
      <c r="B979" s="42">
        <v>86.29</v>
      </c>
      <c r="D979" s="42"/>
      <c r="E979" s="40">
        <v>31</v>
      </c>
      <c r="F979" s="43">
        <v>108.63</v>
      </c>
      <c r="G979" s="40">
        <f t="shared" si="30"/>
        <v>-6.5211451255881181E-2</v>
      </c>
      <c r="H979" s="40">
        <v>13.34125</v>
      </c>
      <c r="I979">
        <f t="shared" si="31"/>
        <v>3.7548152628787803E-3</v>
      </c>
    </row>
    <row r="980" spans="1:9" x14ac:dyDescent="0.2">
      <c r="A980" s="40" t="s">
        <v>639</v>
      </c>
      <c r="B980" s="42">
        <v>81.72</v>
      </c>
      <c r="D980" s="42"/>
      <c r="E980" s="40">
        <v>30</v>
      </c>
      <c r="F980" s="43">
        <v>115.95</v>
      </c>
      <c r="G980" s="40">
        <f t="shared" si="30"/>
        <v>-1.5829207515945569E-2</v>
      </c>
      <c r="H980" s="40">
        <v>13.29125</v>
      </c>
      <c r="I980">
        <f t="shared" si="31"/>
        <v>7.5521929799959725E-3</v>
      </c>
    </row>
    <row r="981" spans="1:9" x14ac:dyDescent="0.2">
      <c r="A981" s="40" t="s">
        <v>640</v>
      </c>
      <c r="B981" s="42">
        <v>79.650000000000006</v>
      </c>
      <c r="D981" s="42"/>
      <c r="E981" s="40">
        <v>29</v>
      </c>
      <c r="F981" s="43">
        <v>117.8</v>
      </c>
      <c r="G981" s="40">
        <f t="shared" si="30"/>
        <v>6.9417409807910543E-2</v>
      </c>
      <c r="H981" s="40">
        <v>13.19125</v>
      </c>
      <c r="I981">
        <f t="shared" si="31"/>
        <v>2.5743102567951391E-2</v>
      </c>
    </row>
    <row r="982" spans="1:9" x14ac:dyDescent="0.2">
      <c r="A982" s="40" t="s">
        <v>641</v>
      </c>
      <c r="B982" s="42">
        <v>83.89</v>
      </c>
      <c r="D982" s="42"/>
      <c r="E982" s="40">
        <v>28</v>
      </c>
      <c r="F982" s="43">
        <v>109.9</v>
      </c>
      <c r="G982" s="40">
        <f t="shared" si="30"/>
        <v>-3.4256356786777416E-2</v>
      </c>
      <c r="H982" s="40">
        <v>12.856</v>
      </c>
      <c r="I982">
        <f t="shared" si="31"/>
        <v>-1.063860398464295E-2</v>
      </c>
    </row>
    <row r="983" spans="1:9" x14ac:dyDescent="0.2">
      <c r="A983" s="40" t="s">
        <v>642</v>
      </c>
      <c r="B983" s="42">
        <v>85.76</v>
      </c>
      <c r="D983" s="42"/>
      <c r="E983" s="40">
        <v>27</v>
      </c>
      <c r="F983" s="43">
        <v>113.73</v>
      </c>
      <c r="G983" s="40">
        <f t="shared" si="30"/>
        <v>2.8902199071269591E-2</v>
      </c>
      <c r="H983" s="40">
        <v>12.993499999999999</v>
      </c>
      <c r="I983">
        <f t="shared" si="31"/>
        <v>4.1263819384380625E-2</v>
      </c>
    </row>
    <row r="984" spans="1:9" x14ac:dyDescent="0.2">
      <c r="A984" s="40" t="s">
        <v>643</v>
      </c>
      <c r="B984" s="42">
        <v>88.14</v>
      </c>
      <c r="D984" s="42"/>
      <c r="E984" s="40">
        <v>26</v>
      </c>
      <c r="F984" s="43">
        <v>110.49</v>
      </c>
      <c r="G984" s="40">
        <f t="shared" si="30"/>
        <v>-1.116022743416298E-2</v>
      </c>
      <c r="H984" s="40">
        <v>12.468249999999999</v>
      </c>
      <c r="I984">
        <f t="shared" si="31"/>
        <v>-4.1619204882381144E-3</v>
      </c>
    </row>
    <row r="985" spans="1:9" x14ac:dyDescent="0.2">
      <c r="A985" s="40" t="s">
        <v>644</v>
      </c>
      <c r="B985" s="42">
        <v>87.53</v>
      </c>
      <c r="D985" s="42"/>
      <c r="E985" s="40">
        <v>25</v>
      </c>
      <c r="F985" s="43">
        <v>111.73</v>
      </c>
      <c r="G985" s="40">
        <f t="shared" si="30"/>
        <v>-1.0151467408288402E-2</v>
      </c>
      <c r="H985" s="40">
        <v>12.520250000000001</v>
      </c>
      <c r="I985">
        <f t="shared" si="31"/>
        <v>7.6924301330621669E-2</v>
      </c>
    </row>
    <row r="986" spans="1:9" x14ac:dyDescent="0.2">
      <c r="A986" s="40" t="s">
        <v>645</v>
      </c>
      <c r="B986" s="42">
        <v>103.23</v>
      </c>
      <c r="D986" s="42"/>
      <c r="E986" s="40">
        <v>24</v>
      </c>
      <c r="F986" s="43">
        <v>112.87</v>
      </c>
      <c r="G986" s="40">
        <f t="shared" si="30"/>
        <v>-1.5908927047634171E-2</v>
      </c>
      <c r="H986" s="40">
        <v>11.593249999999999</v>
      </c>
      <c r="I986">
        <f t="shared" si="31"/>
        <v>-7.222085915324096E-2</v>
      </c>
    </row>
    <row r="987" spans="1:9" x14ac:dyDescent="0.2">
      <c r="A987" s="40" t="s">
        <v>646</v>
      </c>
      <c r="B987" s="42">
        <v>101.7</v>
      </c>
      <c r="D987" s="42"/>
      <c r="E987" s="40">
        <v>23</v>
      </c>
      <c r="F987" s="43">
        <v>114.68</v>
      </c>
      <c r="G987" s="40">
        <f t="shared" si="30"/>
        <v>5.3461854799260113E-2</v>
      </c>
      <c r="H987" s="40">
        <v>12.461499999999999</v>
      </c>
      <c r="I987">
        <f t="shared" si="31"/>
        <v>7.3494949602238985E-3</v>
      </c>
    </row>
    <row r="988" spans="1:9" x14ac:dyDescent="0.2">
      <c r="A988" s="40" t="s">
        <v>647</v>
      </c>
      <c r="B988" s="42">
        <v>92.44</v>
      </c>
      <c r="D988" s="42"/>
      <c r="E988" s="40">
        <v>22</v>
      </c>
      <c r="F988" s="43">
        <v>108.71</v>
      </c>
      <c r="G988" s="40">
        <f t="shared" si="30"/>
        <v>-5.2938522907682445E-2</v>
      </c>
      <c r="H988" s="40">
        <v>12.37025</v>
      </c>
      <c r="I988">
        <f t="shared" si="31"/>
        <v>-3.4521799451208389E-2</v>
      </c>
    </row>
    <row r="989" spans="1:9" x14ac:dyDescent="0.2">
      <c r="A989" s="40" t="s">
        <v>648</v>
      </c>
      <c r="B989" s="42">
        <v>101.41</v>
      </c>
      <c r="D989" s="42"/>
      <c r="E989" s="40">
        <v>21</v>
      </c>
      <c r="F989" s="43">
        <v>114.62</v>
      </c>
      <c r="G989" s="40">
        <f t="shared" si="30"/>
        <v>-1.3776590111190793E-2</v>
      </c>
      <c r="H989" s="40">
        <v>12.80475</v>
      </c>
      <c r="I989">
        <f t="shared" si="31"/>
        <v>-4.5904820290974792E-2</v>
      </c>
    </row>
    <row r="990" spans="1:9" x14ac:dyDescent="0.2">
      <c r="A990" s="41">
        <v>40242</v>
      </c>
      <c r="B990" s="42">
        <v>95.68</v>
      </c>
      <c r="D990" s="42"/>
      <c r="E990" s="40">
        <v>20</v>
      </c>
      <c r="F990" s="43">
        <v>116.21</v>
      </c>
      <c r="G990" s="40">
        <f t="shared" si="30"/>
        <v>-6.9870207881293653E-2</v>
      </c>
      <c r="H990" s="40">
        <v>13.40625</v>
      </c>
      <c r="I990">
        <f t="shared" si="31"/>
        <v>-3.1968371154432025E-2</v>
      </c>
    </row>
    <row r="991" spans="1:9" x14ac:dyDescent="0.2">
      <c r="A991" s="41">
        <v>40273</v>
      </c>
      <c r="B991" s="42">
        <v>101.88</v>
      </c>
      <c r="D991" s="42"/>
      <c r="E991" s="40">
        <v>19</v>
      </c>
      <c r="F991" s="43">
        <v>124.62</v>
      </c>
      <c r="G991" s="40">
        <f t="shared" si="30"/>
        <v>2.7579539357583983E-2</v>
      </c>
      <c r="H991" s="40">
        <v>13.841749999999999</v>
      </c>
      <c r="I991">
        <f t="shared" si="31"/>
        <v>9.2357199922687341E-3</v>
      </c>
    </row>
    <row r="992" spans="1:9" x14ac:dyDescent="0.2">
      <c r="A992" s="41">
        <v>40303</v>
      </c>
      <c r="B992" s="42">
        <v>105.59</v>
      </c>
      <c r="D992" s="42"/>
      <c r="E992" s="40">
        <v>18</v>
      </c>
      <c r="F992" s="43">
        <v>121.23</v>
      </c>
      <c r="G992" s="40">
        <f t="shared" si="30"/>
        <v>5.3453333647403123E-2</v>
      </c>
      <c r="H992" s="40">
        <v>13.714499999999999</v>
      </c>
      <c r="I992">
        <f t="shared" si="31"/>
        <v>3.0125881225678539E-2</v>
      </c>
    </row>
    <row r="993" spans="1:9" x14ac:dyDescent="0.2">
      <c r="A993" s="41">
        <v>40334</v>
      </c>
      <c r="B993" s="42">
        <v>125.36</v>
      </c>
      <c r="D993" s="42"/>
      <c r="E993" s="40">
        <v>17</v>
      </c>
      <c r="F993" s="43">
        <v>114.92</v>
      </c>
      <c r="G993" s="40">
        <f t="shared" si="30"/>
        <v>-1.7401896850663756E-4</v>
      </c>
      <c r="H993" s="40">
        <v>13.307499999999999</v>
      </c>
      <c r="I993">
        <f t="shared" si="31"/>
        <v>-8.5751895466281439E-2</v>
      </c>
    </row>
    <row r="994" spans="1:9" x14ac:dyDescent="0.2">
      <c r="A994" s="41">
        <v>40364</v>
      </c>
      <c r="B994" s="42">
        <v>135.38</v>
      </c>
      <c r="D994" s="42"/>
      <c r="E994" s="40">
        <v>16</v>
      </c>
      <c r="F994" s="43">
        <v>114.94</v>
      </c>
      <c r="G994" s="40">
        <f t="shared" si="30"/>
        <v>-8.3583433011780367E-2</v>
      </c>
      <c r="H994" s="40">
        <v>14.499000000000001</v>
      </c>
      <c r="I994">
        <f t="shared" si="31"/>
        <v>2.4930588349007729E-2</v>
      </c>
    </row>
    <row r="995" spans="1:9" x14ac:dyDescent="0.2">
      <c r="A995" s="41">
        <v>40456</v>
      </c>
      <c r="B995" s="42">
        <v>110.96</v>
      </c>
      <c r="D995" s="42"/>
      <c r="E995" s="40">
        <v>15</v>
      </c>
      <c r="F995" s="43">
        <v>124.96</v>
      </c>
      <c r="G995" s="40">
        <f t="shared" si="30"/>
        <v>-2.2707570088554504E-2</v>
      </c>
      <c r="H995" s="40">
        <v>14.141999999999999</v>
      </c>
      <c r="I995">
        <f t="shared" si="31"/>
        <v>-1.5001465630142746E-2</v>
      </c>
    </row>
    <row r="996" spans="1:9" x14ac:dyDescent="0.2">
      <c r="A996" s="41">
        <v>40487</v>
      </c>
      <c r="B996" s="42">
        <v>113.95</v>
      </c>
      <c r="D996" s="42"/>
      <c r="E996" s="40">
        <v>14</v>
      </c>
      <c r="F996" s="43">
        <v>127.83</v>
      </c>
      <c r="G996" s="40">
        <f t="shared" si="30"/>
        <v>0.1538638816660152</v>
      </c>
      <c r="H996" s="40">
        <v>14.35575</v>
      </c>
      <c r="I996">
        <f t="shared" si="31"/>
        <v>-3.8987597928997711E-2</v>
      </c>
    </row>
    <row r="997" spans="1:9" x14ac:dyDescent="0.2">
      <c r="A997" s="41">
        <v>40517</v>
      </c>
      <c r="B997" s="42">
        <v>116.53</v>
      </c>
      <c r="D997" s="42"/>
      <c r="E997" s="40">
        <v>13</v>
      </c>
      <c r="F997" s="43">
        <v>109.6</v>
      </c>
      <c r="G997" s="40">
        <f t="shared" si="30"/>
        <v>-2.8601643865120915E-2</v>
      </c>
      <c r="H997" s="40">
        <v>14.926500000000001</v>
      </c>
      <c r="I997">
        <f t="shared" si="31"/>
        <v>6.5534337482576147E-3</v>
      </c>
    </row>
    <row r="998" spans="1:9" x14ac:dyDescent="0.2">
      <c r="A998" s="40" t="s">
        <v>649</v>
      </c>
      <c r="B998" s="42">
        <v>123.17</v>
      </c>
      <c r="D998" s="42"/>
      <c r="E998" s="40">
        <v>12</v>
      </c>
      <c r="F998" s="43">
        <v>112.78</v>
      </c>
      <c r="G998" s="40">
        <f t="shared" si="30"/>
        <v>-3.7247605484038757E-2</v>
      </c>
      <c r="H998" s="40">
        <v>14.829000000000001</v>
      </c>
      <c r="I998">
        <f t="shared" si="31"/>
        <v>-5.1790934665700908E-3</v>
      </c>
    </row>
    <row r="999" spans="1:9" x14ac:dyDescent="0.2">
      <c r="A999" s="40" t="s">
        <v>650</v>
      </c>
      <c r="B999" s="42">
        <v>128.34</v>
      </c>
      <c r="D999" s="42"/>
      <c r="E999" s="40">
        <v>11</v>
      </c>
      <c r="F999" s="43">
        <v>117.06</v>
      </c>
      <c r="G999" s="40">
        <f t="shared" si="30"/>
        <v>-3.3260872418469909E-3</v>
      </c>
      <c r="H999" s="40">
        <v>14.906000000000001</v>
      </c>
      <c r="I999">
        <f t="shared" si="31"/>
        <v>-2.8064184184268638E-2</v>
      </c>
    </row>
    <row r="1000" spans="1:9" x14ac:dyDescent="0.2">
      <c r="A1000" s="40" t="s">
        <v>651</v>
      </c>
      <c r="B1000" s="42">
        <v>120.97</v>
      </c>
      <c r="D1000" s="42"/>
      <c r="E1000" s="40">
        <v>10</v>
      </c>
      <c r="F1000" s="43">
        <v>117.45</v>
      </c>
      <c r="G1000" s="40">
        <f t="shared" si="30"/>
        <v>-3.0190972279145682E-2</v>
      </c>
      <c r="H1000" s="40">
        <v>15.330249999999999</v>
      </c>
      <c r="I1000">
        <f t="shared" si="31"/>
        <v>2.4364475438327579E-2</v>
      </c>
    </row>
    <row r="1001" spans="1:9" x14ac:dyDescent="0.2">
      <c r="A1001" s="40" t="s">
        <v>652</v>
      </c>
      <c r="B1001" s="42">
        <v>135.82</v>
      </c>
      <c r="D1001" s="42"/>
      <c r="E1001" s="40">
        <v>9</v>
      </c>
      <c r="F1001" s="43">
        <v>121.05</v>
      </c>
      <c r="G1001" s="40">
        <f t="shared" si="30"/>
        <v>-1.4597602166935481E-2</v>
      </c>
      <c r="H1001" s="40">
        <v>14.96125</v>
      </c>
      <c r="I1001">
        <f t="shared" si="31"/>
        <v>-1.9165156966533661E-2</v>
      </c>
    </row>
    <row r="1002" spans="1:9" x14ac:dyDescent="0.2">
      <c r="A1002" s="40" t="s">
        <v>653</v>
      </c>
      <c r="B1002" s="42">
        <v>128.44</v>
      </c>
      <c r="D1002" s="42"/>
      <c r="E1002" s="40">
        <v>8</v>
      </c>
      <c r="F1002" s="43">
        <v>122.83</v>
      </c>
      <c r="G1002" s="40">
        <f t="shared" si="30"/>
        <v>-1.4788745829701477E-2</v>
      </c>
      <c r="H1002" s="40">
        <v>15.25075</v>
      </c>
      <c r="I1002">
        <f t="shared" si="31"/>
        <v>3.2419964067121568E-2</v>
      </c>
    </row>
    <row r="1003" spans="1:9" x14ac:dyDescent="0.2">
      <c r="A1003" s="40" t="s">
        <v>654</v>
      </c>
      <c r="B1003" s="42">
        <v>145.12</v>
      </c>
      <c r="D1003" s="42"/>
      <c r="E1003" s="40">
        <v>7</v>
      </c>
      <c r="F1003" s="43">
        <v>124.66</v>
      </c>
      <c r="G1003" s="40">
        <f t="shared" si="30"/>
        <v>4.9917865404000658E-2</v>
      </c>
      <c r="H1003" s="40">
        <v>14.764250000000001</v>
      </c>
      <c r="I1003">
        <f t="shared" si="31"/>
        <v>3.4522418847869087E-2</v>
      </c>
    </row>
    <row r="1004" spans="1:9" x14ac:dyDescent="0.2">
      <c r="A1004" s="40" t="s">
        <v>655</v>
      </c>
      <c r="B1004" s="42">
        <v>130.66999999999999</v>
      </c>
      <c r="D1004" s="42"/>
      <c r="E1004" s="40">
        <v>6</v>
      </c>
      <c r="F1004" s="43">
        <v>118.59</v>
      </c>
      <c r="G1004" s="40">
        <f t="shared" si="30"/>
        <v>2.018721932974429E-2</v>
      </c>
      <c r="H1004" s="40">
        <v>14.263249999999999</v>
      </c>
      <c r="I1004">
        <f t="shared" si="31"/>
        <v>-1.2229265363767002E-2</v>
      </c>
    </row>
    <row r="1005" spans="1:9" x14ac:dyDescent="0.2">
      <c r="A1005" s="40" t="s">
        <v>656</v>
      </c>
      <c r="B1005" s="42">
        <v>123.87</v>
      </c>
      <c r="D1005" s="42"/>
      <c r="E1005" s="40">
        <v>5</v>
      </c>
      <c r="F1005" s="43">
        <v>116.22</v>
      </c>
      <c r="G1005" s="40">
        <f t="shared" si="30"/>
        <v>1.1161699266292213E-2</v>
      </c>
      <c r="H1005" s="40">
        <v>14.438750000000001</v>
      </c>
      <c r="I1005">
        <f t="shared" si="31"/>
        <v>6.050775564754287E-2</v>
      </c>
    </row>
    <row r="1006" spans="1:9" x14ac:dyDescent="0.2">
      <c r="A1006" s="40" t="s">
        <v>657</v>
      </c>
      <c r="B1006" s="42">
        <v>119.36</v>
      </c>
      <c r="D1006" s="42"/>
      <c r="E1006" s="40">
        <v>4</v>
      </c>
      <c r="F1006" s="43">
        <v>114.93</v>
      </c>
      <c r="G1006" s="40">
        <f t="shared" si="30"/>
        <v>6.0896563426808499E-2</v>
      </c>
      <c r="H1006" s="40">
        <v>13.590999999999999</v>
      </c>
      <c r="I1006" t="e">
        <f t="shared" si="31"/>
        <v>#DIV/0!</v>
      </c>
    </row>
    <row r="1007" spans="1:9" x14ac:dyDescent="0.2">
      <c r="A1007" s="40" t="s">
        <v>658</v>
      </c>
      <c r="B1007" s="42">
        <v>115.68</v>
      </c>
      <c r="D1007" s="42"/>
      <c r="E1007" s="40">
        <v>3</v>
      </c>
      <c r="F1007" s="43">
        <v>108.14</v>
      </c>
      <c r="G1007" s="40">
        <f t="shared" si="30"/>
        <v>1.4249367991475066E-2</v>
      </c>
      <c r="I1007" t="e">
        <f t="shared" si="31"/>
        <v>#DIV/0!</v>
      </c>
    </row>
    <row r="1008" spans="1:9" x14ac:dyDescent="0.2">
      <c r="A1008" s="40" t="s">
        <v>659</v>
      </c>
      <c r="B1008" s="42">
        <v>107.64</v>
      </c>
      <c r="D1008" s="42"/>
      <c r="E1008" s="40">
        <v>2</v>
      </c>
      <c r="F1008" s="43">
        <v>106.61</v>
      </c>
      <c r="G1008" s="40">
        <f t="shared" si="30"/>
        <v>-9.6150098963213131E-3</v>
      </c>
      <c r="I1008" t="e">
        <f t="shared" si="31"/>
        <v>#DIV/0!</v>
      </c>
    </row>
    <row r="1009" spans="1:9" x14ac:dyDescent="0.2">
      <c r="A1009" s="40" t="s">
        <v>660</v>
      </c>
      <c r="B1009" s="42">
        <v>110.13</v>
      </c>
      <c r="D1009" s="42"/>
      <c r="E1009" s="40">
        <v>1</v>
      </c>
      <c r="F1009" s="43">
        <v>107.64</v>
      </c>
      <c r="I1009" t="e">
        <f t="shared" si="31"/>
        <v>#DIV/0!</v>
      </c>
    </row>
    <row r="1010" spans="1:9" x14ac:dyDescent="0.2">
      <c r="A1010" s="41">
        <v>40184</v>
      </c>
      <c r="B1010" s="42">
        <v>109.92</v>
      </c>
    </row>
    <row r="1011" spans="1:9" x14ac:dyDescent="0.2">
      <c r="A1011" s="41">
        <v>40215</v>
      </c>
      <c r="B1011" s="42">
        <v>98.02</v>
      </c>
    </row>
    <row r="1012" spans="1:9" x14ac:dyDescent="0.2">
      <c r="A1012" s="41">
        <v>40243</v>
      </c>
      <c r="B1012" s="42">
        <v>95.61</v>
      </c>
    </row>
    <row r="1013" spans="1:9" x14ac:dyDescent="0.2">
      <c r="A1013" s="41">
        <v>40274</v>
      </c>
      <c r="B1013" s="42">
        <v>103.31</v>
      </c>
    </row>
    <row r="1014" spans="1:9" x14ac:dyDescent="0.2">
      <c r="A1014" s="41">
        <v>40365</v>
      </c>
      <c r="B1014" s="42">
        <v>102.76</v>
      </c>
    </row>
    <row r="1015" spans="1:9" x14ac:dyDescent="0.2">
      <c r="A1015" s="41">
        <v>40396</v>
      </c>
      <c r="B1015" s="42">
        <v>101.79</v>
      </c>
    </row>
    <row r="1016" spans="1:9" x14ac:dyDescent="0.2">
      <c r="A1016" s="41">
        <v>40427</v>
      </c>
      <c r="B1016" s="42">
        <v>111.77</v>
      </c>
    </row>
    <row r="1017" spans="1:9" x14ac:dyDescent="0.2">
      <c r="A1017" s="41">
        <v>40457</v>
      </c>
      <c r="B1017" s="42">
        <v>108.61</v>
      </c>
    </row>
    <row r="1018" spans="1:9" x14ac:dyDescent="0.2">
      <c r="A1018" s="41">
        <v>40488</v>
      </c>
      <c r="B1018" s="42">
        <v>103.69</v>
      </c>
    </row>
    <row r="1019" spans="1:9" x14ac:dyDescent="0.2">
      <c r="A1019" s="40" t="s">
        <v>661</v>
      </c>
      <c r="B1019" s="42">
        <v>99.92</v>
      </c>
    </row>
    <row r="1020" spans="1:9" x14ac:dyDescent="0.2">
      <c r="A1020" s="40" t="s">
        <v>662</v>
      </c>
      <c r="B1020" s="42">
        <v>99</v>
      </c>
    </row>
    <row r="1021" spans="1:9" x14ac:dyDescent="0.2">
      <c r="A1021" s="40" t="s">
        <v>663</v>
      </c>
      <c r="B1021" s="42">
        <v>93.67</v>
      </c>
    </row>
    <row r="1022" spans="1:9" x14ac:dyDescent="0.2">
      <c r="A1022" s="40" t="s">
        <v>664</v>
      </c>
      <c r="B1022" s="42">
        <v>89.65</v>
      </c>
    </row>
    <row r="1023" spans="1:9" x14ac:dyDescent="0.2">
      <c r="A1023" s="40" t="s">
        <v>665</v>
      </c>
      <c r="B1023" s="42">
        <v>92.36</v>
      </c>
    </row>
    <row r="1024" spans="1:9" x14ac:dyDescent="0.2">
      <c r="A1024" s="40" t="s">
        <v>666</v>
      </c>
      <c r="B1024" s="42">
        <v>96.01</v>
      </c>
    </row>
    <row r="1025" spans="1:2" x14ac:dyDescent="0.2">
      <c r="A1025" s="40" t="s">
        <v>667</v>
      </c>
      <c r="B1025" s="42">
        <v>101.65</v>
      </c>
    </row>
    <row r="1026" spans="1:2" x14ac:dyDescent="0.2">
      <c r="A1026" s="40" t="s">
        <v>668</v>
      </c>
      <c r="B1026" s="42">
        <v>98.93</v>
      </c>
    </row>
    <row r="1027" spans="1:2" x14ac:dyDescent="0.2">
      <c r="A1027" s="40" t="s">
        <v>669</v>
      </c>
      <c r="B1027" s="42">
        <v>103.69</v>
      </c>
    </row>
    <row r="1028" spans="1:2" x14ac:dyDescent="0.2">
      <c r="A1028" s="40" t="s">
        <v>670</v>
      </c>
      <c r="B1028" s="42">
        <v>97.51</v>
      </c>
    </row>
    <row r="1029" spans="1:2" x14ac:dyDescent="0.2">
      <c r="A1029" s="40" t="s">
        <v>671</v>
      </c>
      <c r="B1029" s="42">
        <v>99.01</v>
      </c>
    </row>
    <row r="1030" spans="1:2" x14ac:dyDescent="0.2">
      <c r="A1030" s="40" t="s">
        <v>672</v>
      </c>
      <c r="B1030" s="42">
        <v>104</v>
      </c>
    </row>
    <row r="1031" spans="1:2" x14ac:dyDescent="0.2">
      <c r="A1031" s="40" t="s">
        <v>673</v>
      </c>
      <c r="B1031" s="42">
        <v>105.16</v>
      </c>
    </row>
    <row r="1032" spans="1:2" x14ac:dyDescent="0.2">
      <c r="A1032" s="41">
        <v>40185</v>
      </c>
      <c r="B1032" s="42">
        <v>100.69</v>
      </c>
    </row>
    <row r="1033" spans="1:2" x14ac:dyDescent="0.2">
      <c r="A1033" s="41">
        <v>40216</v>
      </c>
      <c r="B1033" s="42">
        <v>97.19</v>
      </c>
    </row>
    <row r="1034" spans="1:2" x14ac:dyDescent="0.2">
      <c r="A1034" s="41">
        <v>40336</v>
      </c>
      <c r="B1034" s="42">
        <v>97.58</v>
      </c>
    </row>
    <row r="1035" spans="1:2" x14ac:dyDescent="0.2">
      <c r="A1035" s="41">
        <v>40366</v>
      </c>
      <c r="B1035" s="42">
        <v>92.14</v>
      </c>
    </row>
    <row r="1036" spans="1:2" x14ac:dyDescent="0.2">
      <c r="A1036" s="41">
        <v>40397</v>
      </c>
      <c r="B1036" s="42">
        <v>89.85</v>
      </c>
    </row>
    <row r="1037" spans="1:2" x14ac:dyDescent="0.2">
      <c r="A1037" s="41">
        <v>40428</v>
      </c>
      <c r="B1037" s="42">
        <v>88.58</v>
      </c>
    </row>
    <row r="1038" spans="1:2" x14ac:dyDescent="0.2">
      <c r="A1038" s="41">
        <v>40519</v>
      </c>
      <c r="B1038" s="42">
        <v>91.75</v>
      </c>
    </row>
    <row r="1039" spans="1:2" x14ac:dyDescent="0.2">
      <c r="A1039" s="40" t="s">
        <v>674</v>
      </c>
      <c r="B1039" s="42">
        <v>90.8</v>
      </c>
    </row>
    <row r="1040" spans="1:2" x14ac:dyDescent="0.2">
      <c r="A1040" s="40" t="s">
        <v>675</v>
      </c>
      <c r="B1040" s="42">
        <v>96.13</v>
      </c>
    </row>
    <row r="1041" spans="1:2" x14ac:dyDescent="0.2">
      <c r="A1041" s="40" t="s">
        <v>676</v>
      </c>
      <c r="B1041" s="42">
        <v>97.75</v>
      </c>
    </row>
    <row r="1042" spans="1:2" x14ac:dyDescent="0.2">
      <c r="A1042" s="40" t="s">
        <v>677</v>
      </c>
      <c r="B1042" s="42">
        <v>101.57</v>
      </c>
    </row>
    <row r="1043" spans="1:2" x14ac:dyDescent="0.2">
      <c r="A1043" s="40" t="s">
        <v>678</v>
      </c>
      <c r="B1043" s="42">
        <v>102.58</v>
      </c>
    </row>
    <row r="1044" spans="1:2" x14ac:dyDescent="0.2">
      <c r="A1044" s="40" t="s">
        <v>679</v>
      </c>
      <c r="B1044" s="42">
        <v>98.89</v>
      </c>
    </row>
    <row r="1045" spans="1:2" x14ac:dyDescent="0.2">
      <c r="A1045" s="40" t="s">
        <v>680</v>
      </c>
      <c r="B1045" s="42">
        <v>97.02</v>
      </c>
    </row>
    <row r="1046" spans="1:2" x14ac:dyDescent="0.2">
      <c r="A1046" s="40" t="s">
        <v>681</v>
      </c>
      <c r="B1046" s="42">
        <v>93.2</v>
      </c>
    </row>
    <row r="1047" spans="1:2" x14ac:dyDescent="0.2">
      <c r="A1047" s="40" t="s">
        <v>682</v>
      </c>
      <c r="B1047" s="42">
        <v>89.9</v>
      </c>
    </row>
    <row r="1048" spans="1:2" x14ac:dyDescent="0.2">
      <c r="A1048" s="40" t="s">
        <v>683</v>
      </c>
      <c r="B1048" s="42">
        <v>88.55</v>
      </c>
    </row>
    <row r="1049" spans="1:2" x14ac:dyDescent="0.2">
      <c r="A1049" s="40" t="s">
        <v>684</v>
      </c>
      <c r="B1049" s="42">
        <v>90.14</v>
      </c>
    </row>
    <row r="1050" spans="1:2" x14ac:dyDescent="0.2">
      <c r="A1050" s="40" t="s">
        <v>685</v>
      </c>
      <c r="B1050" s="42">
        <v>90.71</v>
      </c>
    </row>
    <row r="1051" spans="1:2" x14ac:dyDescent="0.2">
      <c r="A1051" s="40" t="s">
        <v>686</v>
      </c>
      <c r="B1051" s="42">
        <v>90.62</v>
      </c>
    </row>
    <row r="1052" spans="1:2" x14ac:dyDescent="0.2">
      <c r="A1052" s="40" t="s">
        <v>687</v>
      </c>
      <c r="B1052" s="42">
        <v>89.55</v>
      </c>
    </row>
    <row r="1053" spans="1:2" x14ac:dyDescent="0.2">
      <c r="A1053" s="41">
        <v>40217</v>
      </c>
      <c r="B1053" s="42">
        <v>85.02</v>
      </c>
    </row>
    <row r="1054" spans="1:2" x14ac:dyDescent="0.2">
      <c r="A1054" s="41">
        <v>40245</v>
      </c>
      <c r="B1054" s="42">
        <v>85.04</v>
      </c>
    </row>
    <row r="1055" spans="1:2" x14ac:dyDescent="0.2">
      <c r="A1055" s="41">
        <v>40276</v>
      </c>
      <c r="B1055" s="42">
        <v>85.05</v>
      </c>
    </row>
    <row r="1056" spans="1:2" x14ac:dyDescent="0.2">
      <c r="A1056" s="41">
        <v>40306</v>
      </c>
      <c r="B1056" s="42">
        <v>86.52</v>
      </c>
    </row>
    <row r="1057" spans="1:2" x14ac:dyDescent="0.2">
      <c r="A1057" s="41">
        <v>40337</v>
      </c>
      <c r="B1057" s="42">
        <v>87.44</v>
      </c>
    </row>
    <row r="1058" spans="1:2" x14ac:dyDescent="0.2">
      <c r="A1058" s="41">
        <v>40429</v>
      </c>
      <c r="B1058" s="42">
        <v>87.86</v>
      </c>
    </row>
    <row r="1059" spans="1:2" x14ac:dyDescent="0.2">
      <c r="A1059" s="41">
        <v>40459</v>
      </c>
      <c r="B1059" s="42">
        <v>90.35</v>
      </c>
    </row>
    <row r="1060" spans="1:2" x14ac:dyDescent="0.2">
      <c r="A1060" s="41">
        <v>40490</v>
      </c>
      <c r="B1060" s="42">
        <v>102.65</v>
      </c>
    </row>
    <row r="1061" spans="1:2" x14ac:dyDescent="0.2">
      <c r="A1061" s="41">
        <v>40520</v>
      </c>
      <c r="B1061" s="42">
        <v>99.75</v>
      </c>
    </row>
    <row r="1062" spans="1:2" x14ac:dyDescent="0.2">
      <c r="A1062" s="40" t="s">
        <v>688</v>
      </c>
      <c r="B1062" s="42">
        <v>99.54</v>
      </c>
    </row>
    <row r="1063" spans="1:2" x14ac:dyDescent="0.2">
      <c r="A1063" s="40" t="s">
        <v>689</v>
      </c>
      <c r="B1063" s="42">
        <v>98.73</v>
      </c>
    </row>
    <row r="1064" spans="1:2" x14ac:dyDescent="0.2">
      <c r="A1064" s="40" t="s">
        <v>690</v>
      </c>
      <c r="B1064" s="42">
        <v>93.25</v>
      </c>
    </row>
    <row r="1065" spans="1:2" x14ac:dyDescent="0.2">
      <c r="A1065" s="40" t="s">
        <v>691</v>
      </c>
      <c r="B1065" s="42">
        <v>91.3</v>
      </c>
    </row>
    <row r="1066" spans="1:2" x14ac:dyDescent="0.2">
      <c r="A1066" s="40" t="s">
        <v>692</v>
      </c>
      <c r="B1066" s="42">
        <v>91.96</v>
      </c>
    </row>
    <row r="1067" spans="1:2" x14ac:dyDescent="0.2">
      <c r="A1067" s="40" t="s">
        <v>693</v>
      </c>
      <c r="B1067" s="42">
        <v>89.34</v>
      </c>
    </row>
    <row r="1068" spans="1:2" x14ac:dyDescent="0.2">
      <c r="A1068" s="40" t="s">
        <v>694</v>
      </c>
      <c r="B1068" s="42">
        <v>87.66</v>
      </c>
    </row>
    <row r="1069" spans="1:2" x14ac:dyDescent="0.2">
      <c r="A1069" s="40" t="s">
        <v>695</v>
      </c>
      <c r="B1069" s="42">
        <v>85.7</v>
      </c>
    </row>
    <row r="1070" spans="1:2" x14ac:dyDescent="0.2">
      <c r="A1070" s="40" t="s">
        <v>696</v>
      </c>
      <c r="B1070" s="42">
        <v>82.64</v>
      </c>
    </row>
    <row r="1071" spans="1:2" x14ac:dyDescent="0.2">
      <c r="A1071" s="40" t="s">
        <v>697</v>
      </c>
      <c r="B1071" s="42">
        <v>82.95</v>
      </c>
    </row>
    <row r="1072" spans="1:2" x14ac:dyDescent="0.2">
      <c r="A1072" s="40" t="s">
        <v>698</v>
      </c>
      <c r="B1072" s="42">
        <v>79</v>
      </c>
    </row>
    <row r="1073" spans="1:2" x14ac:dyDescent="0.2">
      <c r="A1073" s="40" t="s">
        <v>699</v>
      </c>
      <c r="B1073" s="42">
        <v>82.52</v>
      </c>
    </row>
    <row r="1074" spans="1:2" x14ac:dyDescent="0.2">
      <c r="A1074" s="40" t="s">
        <v>700</v>
      </c>
      <c r="B1074" s="42">
        <v>81.489999999999995</v>
      </c>
    </row>
    <row r="1075" spans="1:2" x14ac:dyDescent="0.2">
      <c r="A1075" s="41">
        <v>40187</v>
      </c>
      <c r="B1075" s="42">
        <v>78.28</v>
      </c>
    </row>
    <row r="1076" spans="1:2" x14ac:dyDescent="0.2">
      <c r="A1076" s="41">
        <v>40218</v>
      </c>
      <c r="B1076" s="42">
        <v>79.05</v>
      </c>
    </row>
    <row r="1077" spans="1:2" x14ac:dyDescent="0.2">
      <c r="A1077" s="41">
        <v>40246</v>
      </c>
      <c r="B1077" s="42">
        <v>76.64</v>
      </c>
    </row>
    <row r="1078" spans="1:2" x14ac:dyDescent="0.2">
      <c r="A1078" s="41">
        <v>40368</v>
      </c>
      <c r="B1078" s="42">
        <v>78.98</v>
      </c>
    </row>
    <row r="1079" spans="1:2" x14ac:dyDescent="0.2">
      <c r="A1079" s="41">
        <v>40399</v>
      </c>
      <c r="B1079" s="42">
        <v>89.88</v>
      </c>
    </row>
    <row r="1080" spans="1:2" x14ac:dyDescent="0.2">
      <c r="A1080" s="41">
        <v>40430</v>
      </c>
      <c r="B1080" s="42">
        <v>87.97</v>
      </c>
    </row>
    <row r="1081" spans="1:2" x14ac:dyDescent="0.2">
      <c r="A1081" s="41">
        <v>40460</v>
      </c>
      <c r="B1081" s="42">
        <v>87.6</v>
      </c>
    </row>
    <row r="1082" spans="1:2" x14ac:dyDescent="0.2">
      <c r="A1082" s="40" t="s">
        <v>701</v>
      </c>
      <c r="B1082" s="42">
        <v>87.33</v>
      </c>
    </row>
    <row r="1083" spans="1:2" x14ac:dyDescent="0.2">
      <c r="A1083" s="40" t="s">
        <v>702</v>
      </c>
      <c r="B1083" s="42">
        <v>87.95</v>
      </c>
    </row>
    <row r="1084" spans="1:2" x14ac:dyDescent="0.2">
      <c r="A1084" s="40" t="s">
        <v>703</v>
      </c>
      <c r="B1084" s="42">
        <v>88.4</v>
      </c>
    </row>
    <row r="1085" spans="1:2" x14ac:dyDescent="0.2">
      <c r="A1085" s="40" t="s">
        <v>704</v>
      </c>
      <c r="B1085" s="42">
        <v>87.63</v>
      </c>
    </row>
    <row r="1086" spans="1:2" x14ac:dyDescent="0.2">
      <c r="A1086" s="40" t="s">
        <v>705</v>
      </c>
      <c r="B1086" s="42">
        <v>85.45</v>
      </c>
    </row>
    <row r="1087" spans="1:2" x14ac:dyDescent="0.2">
      <c r="A1087" s="40" t="s">
        <v>706</v>
      </c>
      <c r="B1087" s="42">
        <v>81.5</v>
      </c>
    </row>
    <row r="1088" spans="1:2" x14ac:dyDescent="0.2">
      <c r="A1088" s="40" t="s">
        <v>707</v>
      </c>
      <c r="B1088" s="42">
        <v>80.97</v>
      </c>
    </row>
    <row r="1089" spans="1:2" x14ac:dyDescent="0.2">
      <c r="A1089" s="40" t="s">
        <v>708</v>
      </c>
      <c r="B1089" s="42">
        <v>81.86</v>
      </c>
    </row>
    <row r="1090" spans="1:2" x14ac:dyDescent="0.2">
      <c r="A1090" s="40" t="s">
        <v>709</v>
      </c>
      <c r="B1090" s="42">
        <v>83.02</v>
      </c>
    </row>
    <row r="1091" spans="1:2" x14ac:dyDescent="0.2">
      <c r="A1091" s="40" t="s">
        <v>710</v>
      </c>
      <c r="B1091" s="42">
        <v>80</v>
      </c>
    </row>
    <row r="1092" spans="1:2" x14ac:dyDescent="0.2">
      <c r="A1092" s="40" t="s">
        <v>711</v>
      </c>
      <c r="B1092" s="42">
        <v>82.62</v>
      </c>
    </row>
    <row r="1093" spans="1:2" x14ac:dyDescent="0.2">
      <c r="A1093" s="40" t="s">
        <v>712</v>
      </c>
      <c r="B1093" s="42">
        <v>83.62</v>
      </c>
    </row>
    <row r="1094" spans="1:2" x14ac:dyDescent="0.2">
      <c r="A1094" s="40" t="s">
        <v>713</v>
      </c>
      <c r="B1094" s="42">
        <v>83.35</v>
      </c>
    </row>
    <row r="1095" spans="1:2" x14ac:dyDescent="0.2">
      <c r="A1095" s="40" t="s">
        <v>714</v>
      </c>
      <c r="B1095" s="42">
        <v>86.49</v>
      </c>
    </row>
    <row r="1096" spans="1:2" x14ac:dyDescent="0.2">
      <c r="A1096" s="41">
        <v>40188</v>
      </c>
      <c r="B1096" s="42">
        <v>84.08</v>
      </c>
    </row>
    <row r="1097" spans="1:2" x14ac:dyDescent="0.2">
      <c r="A1097" s="41">
        <v>40278</v>
      </c>
      <c r="B1097" s="42">
        <v>86.22</v>
      </c>
    </row>
    <row r="1098" spans="1:2" x14ac:dyDescent="0.2">
      <c r="A1098" s="41">
        <v>40308</v>
      </c>
      <c r="B1098" s="42">
        <v>82.62</v>
      </c>
    </row>
    <row r="1099" spans="1:2" x14ac:dyDescent="0.2">
      <c r="A1099" s="41">
        <v>40339</v>
      </c>
      <c r="B1099" s="42">
        <v>81.05</v>
      </c>
    </row>
    <row r="1100" spans="1:2" x14ac:dyDescent="0.2">
      <c r="A1100" s="41">
        <v>40369</v>
      </c>
      <c r="B1100" s="42">
        <v>80.7</v>
      </c>
    </row>
    <row r="1101" spans="1:2" x14ac:dyDescent="0.2">
      <c r="A1101" s="41">
        <v>40400</v>
      </c>
      <c r="B1101" s="42">
        <v>81.41</v>
      </c>
    </row>
    <row r="1102" spans="1:2" x14ac:dyDescent="0.2">
      <c r="A1102" s="41">
        <v>40492</v>
      </c>
      <c r="B1102" s="42">
        <v>84.75</v>
      </c>
    </row>
    <row r="1103" spans="1:2" x14ac:dyDescent="0.2">
      <c r="A1103" s="41">
        <v>40522</v>
      </c>
      <c r="B1103" s="42">
        <v>84.77</v>
      </c>
    </row>
    <row r="1104" spans="1:2" x14ac:dyDescent="0.2">
      <c r="A1104" s="40" t="s">
        <v>715</v>
      </c>
      <c r="B1104" s="42">
        <v>88.72</v>
      </c>
    </row>
    <row r="1105" spans="1:2" x14ac:dyDescent="0.2">
      <c r="A1105" s="40" t="s">
        <v>716</v>
      </c>
      <c r="B1105" s="42">
        <v>87.14</v>
      </c>
    </row>
    <row r="1106" spans="1:2" x14ac:dyDescent="0.2">
      <c r="A1106" s="40" t="s">
        <v>717</v>
      </c>
      <c r="B1106" s="42">
        <v>89.82</v>
      </c>
    </row>
    <row r="1107" spans="1:2" x14ac:dyDescent="0.2">
      <c r="A1107" s="40" t="s">
        <v>718</v>
      </c>
      <c r="B1107" s="42">
        <v>91.75</v>
      </c>
    </row>
    <row r="1108" spans="1:2" x14ac:dyDescent="0.2">
      <c r="A1108" s="40" t="s">
        <v>719</v>
      </c>
      <c r="B1108" s="42">
        <v>91.53</v>
      </c>
    </row>
    <row r="1109" spans="1:2" x14ac:dyDescent="0.2">
      <c r="A1109" s="40" t="s">
        <v>720</v>
      </c>
      <c r="B1109" s="42">
        <v>85.48</v>
      </c>
    </row>
    <row r="1110" spans="1:2" x14ac:dyDescent="0.2">
      <c r="A1110" s="40" t="s">
        <v>721</v>
      </c>
      <c r="B1110" s="42">
        <v>83.59</v>
      </c>
    </row>
    <row r="1111" spans="1:2" x14ac:dyDescent="0.2">
      <c r="A1111" s="40" t="s">
        <v>722</v>
      </c>
      <c r="B1111" s="42">
        <v>81.97</v>
      </c>
    </row>
    <row r="1112" spans="1:2" x14ac:dyDescent="0.2">
      <c r="A1112" s="40" t="s">
        <v>723</v>
      </c>
      <c r="B1112" s="42">
        <v>82.02</v>
      </c>
    </row>
    <row r="1113" spans="1:2" x14ac:dyDescent="0.2">
      <c r="A1113" s="40" t="s">
        <v>724</v>
      </c>
      <c r="B1113" s="42">
        <v>82.79</v>
      </c>
    </row>
    <row r="1114" spans="1:2" x14ac:dyDescent="0.2">
      <c r="A1114" s="40" t="s">
        <v>725</v>
      </c>
      <c r="B1114" s="42">
        <v>80.42</v>
      </c>
    </row>
    <row r="1115" spans="1:2" x14ac:dyDescent="0.2">
      <c r="A1115" s="40" t="s">
        <v>726</v>
      </c>
      <c r="B1115" s="42">
        <v>78.47</v>
      </c>
    </row>
    <row r="1116" spans="1:2" x14ac:dyDescent="0.2">
      <c r="A1116" s="40" t="s">
        <v>727</v>
      </c>
      <c r="B1116" s="42">
        <v>77.459999999999994</v>
      </c>
    </row>
    <row r="1117" spans="1:2" x14ac:dyDescent="0.2">
      <c r="A1117" s="41">
        <v>40189</v>
      </c>
      <c r="B1117" s="42">
        <v>79.72</v>
      </c>
    </row>
    <row r="1118" spans="1:2" x14ac:dyDescent="0.2">
      <c r="A1118" s="41">
        <v>40220</v>
      </c>
      <c r="B1118" s="42">
        <v>80.180000000000007</v>
      </c>
    </row>
    <row r="1119" spans="1:2" x14ac:dyDescent="0.2">
      <c r="A1119" s="41">
        <v>40248</v>
      </c>
      <c r="B1119" s="42">
        <v>76.569999999999993</v>
      </c>
    </row>
    <row r="1120" spans="1:2" x14ac:dyDescent="0.2">
      <c r="A1120" s="41">
        <v>40279</v>
      </c>
      <c r="B1120" s="42">
        <v>70.78</v>
      </c>
    </row>
    <row r="1121" spans="1:2" x14ac:dyDescent="0.2">
      <c r="A1121" s="41">
        <v>40309</v>
      </c>
      <c r="B1121" s="42">
        <v>74.02</v>
      </c>
    </row>
    <row r="1122" spans="1:2" x14ac:dyDescent="0.2">
      <c r="A1122" s="41">
        <v>40401</v>
      </c>
      <c r="B1122" s="42">
        <v>73.67</v>
      </c>
    </row>
    <row r="1123" spans="1:2" x14ac:dyDescent="0.2">
      <c r="A1123" s="41">
        <v>40432</v>
      </c>
      <c r="B1123" s="42">
        <v>76.489999999999995</v>
      </c>
    </row>
    <row r="1124" spans="1:2" x14ac:dyDescent="0.2">
      <c r="A1124" s="41">
        <v>40462</v>
      </c>
      <c r="B1124" s="42">
        <v>83.07</v>
      </c>
    </row>
    <row r="1125" spans="1:2" x14ac:dyDescent="0.2">
      <c r="A1125" s="41">
        <v>40523</v>
      </c>
      <c r="B1125" s="42">
        <v>88.18</v>
      </c>
    </row>
    <row r="1126" spans="1:2" x14ac:dyDescent="0.2">
      <c r="A1126" s="40" t="s">
        <v>728</v>
      </c>
      <c r="B1126" s="42">
        <v>88.13</v>
      </c>
    </row>
    <row r="1127" spans="1:2" x14ac:dyDescent="0.2">
      <c r="A1127" s="40" t="s">
        <v>729</v>
      </c>
      <c r="B1127" s="42">
        <v>93.65</v>
      </c>
    </row>
    <row r="1128" spans="1:2" x14ac:dyDescent="0.2">
      <c r="A1128" s="40" t="s">
        <v>730</v>
      </c>
      <c r="B1128" s="42">
        <v>89.25</v>
      </c>
    </row>
    <row r="1129" spans="1:2" x14ac:dyDescent="0.2">
      <c r="A1129" s="40" t="s">
        <v>731</v>
      </c>
      <c r="B1129" s="42">
        <v>83.92</v>
      </c>
    </row>
    <row r="1130" spans="1:2" x14ac:dyDescent="0.2">
      <c r="A1130" s="40" t="s">
        <v>732</v>
      </c>
      <c r="B1130" s="42">
        <v>84.73</v>
      </c>
    </row>
    <row r="1131" spans="1:2" x14ac:dyDescent="0.2">
      <c r="A1131" s="40" t="s">
        <v>733</v>
      </c>
      <c r="B1131" s="42">
        <v>78.39</v>
      </c>
    </row>
    <row r="1132" spans="1:2" x14ac:dyDescent="0.2">
      <c r="A1132" s="40" t="s">
        <v>734</v>
      </c>
      <c r="B1132" s="42">
        <v>87.44</v>
      </c>
    </row>
    <row r="1133" spans="1:2" x14ac:dyDescent="0.2">
      <c r="A1133" s="40" t="s">
        <v>735</v>
      </c>
      <c r="B1133" s="42">
        <v>81.55</v>
      </c>
    </row>
    <row r="1134" spans="1:2" x14ac:dyDescent="0.2">
      <c r="A1134" s="40" t="s">
        <v>736</v>
      </c>
      <c r="B1134" s="42">
        <v>90.55</v>
      </c>
    </row>
    <row r="1135" spans="1:2" x14ac:dyDescent="0.2">
      <c r="A1135" s="40" t="s">
        <v>737</v>
      </c>
      <c r="B1135" s="42">
        <v>89.01</v>
      </c>
    </row>
    <row r="1136" spans="1:2" x14ac:dyDescent="0.2">
      <c r="A1136" s="40" t="s">
        <v>738</v>
      </c>
      <c r="B1136" s="42">
        <v>95.73</v>
      </c>
    </row>
    <row r="1137" spans="1:2" x14ac:dyDescent="0.2">
      <c r="A1137" s="41">
        <v>40190</v>
      </c>
      <c r="B1137" s="42">
        <v>92.03</v>
      </c>
    </row>
    <row r="1138" spans="1:2" x14ac:dyDescent="0.2">
      <c r="A1138" s="41">
        <v>40221</v>
      </c>
      <c r="B1138" s="42">
        <v>87.74</v>
      </c>
    </row>
    <row r="1139" spans="1:2" x14ac:dyDescent="0.2">
      <c r="A1139" s="41">
        <v>40249</v>
      </c>
      <c r="B1139" s="42">
        <v>84.28</v>
      </c>
    </row>
    <row r="1140" spans="1:2" x14ac:dyDescent="0.2">
      <c r="A1140" s="41">
        <v>40341</v>
      </c>
      <c r="B1140" s="42">
        <v>82.6</v>
      </c>
    </row>
    <row r="1141" spans="1:2" x14ac:dyDescent="0.2">
      <c r="A1141" s="41">
        <v>40371</v>
      </c>
      <c r="B1141" s="42">
        <v>82.66</v>
      </c>
    </row>
    <row r="1142" spans="1:2" x14ac:dyDescent="0.2">
      <c r="A1142" s="41">
        <v>40402</v>
      </c>
      <c r="B1142" s="42">
        <v>81.8</v>
      </c>
    </row>
    <row r="1143" spans="1:2" x14ac:dyDescent="0.2">
      <c r="A1143" s="41">
        <v>40433</v>
      </c>
      <c r="B1143" s="42">
        <v>79.8</v>
      </c>
    </row>
    <row r="1144" spans="1:2" x14ac:dyDescent="0.2">
      <c r="A1144" s="41">
        <v>40463</v>
      </c>
      <c r="B1144" s="42">
        <v>79.36</v>
      </c>
    </row>
    <row r="1145" spans="1:2" x14ac:dyDescent="0.2">
      <c r="A1145" s="40" t="s">
        <v>739</v>
      </c>
      <c r="B1145" s="42">
        <v>81.67</v>
      </c>
    </row>
    <row r="1146" spans="1:2" x14ac:dyDescent="0.2">
      <c r="A1146" s="40" t="s">
        <v>740</v>
      </c>
      <c r="B1146" s="42">
        <v>81.67</v>
      </c>
    </row>
    <row r="1147" spans="1:2" x14ac:dyDescent="0.2">
      <c r="A1147" s="40" t="s">
        <v>741</v>
      </c>
      <c r="B1147" s="42">
        <v>83.42</v>
      </c>
    </row>
    <row r="1148" spans="1:2" x14ac:dyDescent="0.2">
      <c r="A1148" s="40" t="s">
        <v>742</v>
      </c>
      <c r="B1148" s="42">
        <v>81.319999999999993</v>
      </c>
    </row>
    <row r="1149" spans="1:2" x14ac:dyDescent="0.2">
      <c r="A1149" s="40" t="s">
        <v>743</v>
      </c>
      <c r="B1149" s="42">
        <v>86.62</v>
      </c>
    </row>
    <row r="1150" spans="1:2" x14ac:dyDescent="0.2">
      <c r="A1150" s="40" t="s">
        <v>744</v>
      </c>
      <c r="B1150" s="42">
        <v>84.09</v>
      </c>
    </row>
    <row r="1151" spans="1:2" x14ac:dyDescent="0.2">
      <c r="A1151" s="40" t="s">
        <v>745</v>
      </c>
      <c r="B1151" s="42">
        <v>84.38</v>
      </c>
    </row>
    <row r="1152" spans="1:2" x14ac:dyDescent="0.2">
      <c r="A1152" s="40" t="s">
        <v>746</v>
      </c>
      <c r="B1152" s="42">
        <v>86.03</v>
      </c>
    </row>
    <row r="1153" spans="1:2" x14ac:dyDescent="0.2">
      <c r="A1153" s="40" t="s">
        <v>747</v>
      </c>
      <c r="B1153" s="42">
        <v>86.74</v>
      </c>
    </row>
    <row r="1154" spans="1:2" x14ac:dyDescent="0.2">
      <c r="A1154" s="40" t="s">
        <v>748</v>
      </c>
      <c r="B1154" s="42">
        <v>87.44</v>
      </c>
    </row>
    <row r="1155" spans="1:2" x14ac:dyDescent="0.2">
      <c r="A1155" s="40" t="s">
        <v>749</v>
      </c>
      <c r="B1155" s="42">
        <v>86.34</v>
      </c>
    </row>
    <row r="1156" spans="1:2" x14ac:dyDescent="0.2">
      <c r="A1156" s="40" t="s">
        <v>750</v>
      </c>
      <c r="B1156" s="42">
        <v>85.71</v>
      </c>
    </row>
    <row r="1157" spans="1:2" x14ac:dyDescent="0.2">
      <c r="A1157" s="40" t="s">
        <v>751</v>
      </c>
      <c r="B1157" s="42">
        <v>86.52</v>
      </c>
    </row>
    <row r="1158" spans="1:2" x14ac:dyDescent="0.2">
      <c r="A1158" s="40" t="s">
        <v>752</v>
      </c>
      <c r="B1158" s="42">
        <v>86.36</v>
      </c>
    </row>
    <row r="1159" spans="1:2" x14ac:dyDescent="0.2">
      <c r="A1159" s="41">
        <v>40603</v>
      </c>
      <c r="B1159" s="42">
        <v>84.8</v>
      </c>
    </row>
    <row r="1160" spans="1:2" x14ac:dyDescent="0.2">
      <c r="A1160" s="41">
        <v>40634</v>
      </c>
      <c r="B1160" s="42">
        <v>85.25</v>
      </c>
    </row>
    <row r="1161" spans="1:2" x14ac:dyDescent="0.2">
      <c r="A1161" s="41">
        <v>40664</v>
      </c>
      <c r="B1161" s="42">
        <v>84.7</v>
      </c>
    </row>
    <row r="1162" spans="1:2" x14ac:dyDescent="0.2">
      <c r="A1162" s="41">
        <v>40695</v>
      </c>
      <c r="B1162" s="42">
        <v>84.6</v>
      </c>
    </row>
    <row r="1163" spans="1:2" x14ac:dyDescent="0.2">
      <c r="A1163" s="41">
        <v>40725</v>
      </c>
      <c r="B1163" s="42">
        <v>83.73</v>
      </c>
    </row>
    <row r="1164" spans="1:2" x14ac:dyDescent="0.2">
      <c r="A1164" s="41">
        <v>40817</v>
      </c>
      <c r="B1164" s="42">
        <v>81.650000000000006</v>
      </c>
    </row>
    <row r="1165" spans="1:2" x14ac:dyDescent="0.2">
      <c r="A1165" s="41">
        <v>40848</v>
      </c>
      <c r="B1165" s="42">
        <v>79.819999999999993</v>
      </c>
    </row>
    <row r="1166" spans="1:2" x14ac:dyDescent="0.2">
      <c r="A1166" s="41">
        <v>40878</v>
      </c>
      <c r="B1166" s="42">
        <v>77.94</v>
      </c>
    </row>
    <row r="1167" spans="1:2" x14ac:dyDescent="0.2">
      <c r="A1167" s="40" t="s">
        <v>753</v>
      </c>
      <c r="B1167" s="42">
        <v>78.64</v>
      </c>
    </row>
    <row r="1168" spans="1:2" x14ac:dyDescent="0.2">
      <c r="A1168" s="40" t="s">
        <v>754</v>
      </c>
      <c r="B1168" s="42">
        <v>75.94</v>
      </c>
    </row>
    <row r="1169" spans="1:2" x14ac:dyDescent="0.2">
      <c r="A1169" s="40" t="s">
        <v>755</v>
      </c>
      <c r="B1169" s="42">
        <v>79.77</v>
      </c>
    </row>
    <row r="1170" spans="1:2" x14ac:dyDescent="0.2">
      <c r="A1170" s="40" t="s">
        <v>756</v>
      </c>
      <c r="B1170" s="42">
        <v>83.7</v>
      </c>
    </row>
    <row r="1171" spans="1:2" x14ac:dyDescent="0.2">
      <c r="A1171" s="40" t="s">
        <v>757</v>
      </c>
      <c r="B1171" s="42">
        <v>82.69</v>
      </c>
    </row>
    <row r="1172" spans="1:2" x14ac:dyDescent="0.2">
      <c r="A1172" s="40" t="s">
        <v>758</v>
      </c>
      <c r="B1172" s="42">
        <v>85.41</v>
      </c>
    </row>
    <row r="1173" spans="1:2" x14ac:dyDescent="0.2">
      <c r="A1173" s="40" t="s">
        <v>759</v>
      </c>
      <c r="B1173" s="42">
        <v>82.97</v>
      </c>
    </row>
    <row r="1174" spans="1:2" x14ac:dyDescent="0.2">
      <c r="A1174" s="40" t="s">
        <v>760</v>
      </c>
      <c r="B1174" s="42">
        <v>82.67</v>
      </c>
    </row>
    <row r="1175" spans="1:2" x14ac:dyDescent="0.2">
      <c r="A1175" s="40" t="s">
        <v>761</v>
      </c>
      <c r="B1175" s="42">
        <v>79.430000000000007</v>
      </c>
    </row>
    <row r="1176" spans="1:2" x14ac:dyDescent="0.2">
      <c r="A1176" s="40" t="s">
        <v>762</v>
      </c>
      <c r="B1176" s="42">
        <v>77.040000000000006</v>
      </c>
    </row>
    <row r="1177" spans="1:2" x14ac:dyDescent="0.2">
      <c r="A1177" s="40" t="s">
        <v>763</v>
      </c>
      <c r="B1177" s="42">
        <v>91.52</v>
      </c>
    </row>
    <row r="1178" spans="1:2" x14ac:dyDescent="0.2">
      <c r="A1178" s="40" t="s">
        <v>764</v>
      </c>
      <c r="B1178" s="42">
        <v>86.08</v>
      </c>
    </row>
    <row r="1179" spans="1:2" x14ac:dyDescent="0.2">
      <c r="A1179" s="41">
        <v>40545</v>
      </c>
      <c r="B1179" s="42">
        <v>84.48</v>
      </c>
    </row>
    <row r="1180" spans="1:2" x14ac:dyDescent="0.2">
      <c r="A1180" s="41">
        <v>40576</v>
      </c>
      <c r="B1180" s="42">
        <v>83.16</v>
      </c>
    </row>
    <row r="1181" spans="1:2" x14ac:dyDescent="0.2">
      <c r="A1181" s="41">
        <v>40604</v>
      </c>
      <c r="B1181" s="42">
        <v>81.75</v>
      </c>
    </row>
    <row r="1182" spans="1:2" x14ac:dyDescent="0.2">
      <c r="A1182" s="41">
        <v>40635</v>
      </c>
      <c r="B1182" s="42">
        <v>81.11</v>
      </c>
    </row>
    <row r="1183" spans="1:2" x14ac:dyDescent="0.2">
      <c r="A1183" s="41">
        <v>40726</v>
      </c>
      <c r="B1183" s="42">
        <v>80.540000000000006</v>
      </c>
    </row>
    <row r="1184" spans="1:2" x14ac:dyDescent="0.2">
      <c r="A1184" s="41">
        <v>40757</v>
      </c>
      <c r="B1184" s="42">
        <v>78.930000000000007</v>
      </c>
    </row>
    <row r="1185" spans="1:2" x14ac:dyDescent="0.2">
      <c r="A1185" s="41">
        <v>40788</v>
      </c>
      <c r="B1185" s="42">
        <v>82.11</v>
      </c>
    </row>
    <row r="1186" spans="1:2" x14ac:dyDescent="0.2">
      <c r="A1186" s="41">
        <v>40818</v>
      </c>
      <c r="B1186" s="42">
        <v>83.73</v>
      </c>
    </row>
    <row r="1187" spans="1:2" x14ac:dyDescent="0.2">
      <c r="A1187" s="41">
        <v>40849</v>
      </c>
      <c r="B1187" s="42">
        <v>84.5</v>
      </c>
    </row>
    <row r="1188" spans="1:2" x14ac:dyDescent="0.2">
      <c r="A1188" s="40" t="s">
        <v>765</v>
      </c>
      <c r="B1188" s="42">
        <v>82.67</v>
      </c>
    </row>
    <row r="1189" spans="1:2" x14ac:dyDescent="0.2">
      <c r="A1189" s="40" t="s">
        <v>766</v>
      </c>
      <c r="B1189" s="42">
        <v>84.38</v>
      </c>
    </row>
    <row r="1190" spans="1:2" x14ac:dyDescent="0.2">
      <c r="A1190" s="40" t="s">
        <v>767</v>
      </c>
      <c r="B1190" s="42">
        <v>83.05</v>
      </c>
    </row>
    <row r="1191" spans="1:2" x14ac:dyDescent="0.2">
      <c r="A1191" s="40" t="s">
        <v>768</v>
      </c>
      <c r="B1191" s="42">
        <v>83.03</v>
      </c>
    </row>
    <row r="1192" spans="1:2" x14ac:dyDescent="0.2">
      <c r="A1192" s="40" t="s">
        <v>769</v>
      </c>
      <c r="B1192" s="42">
        <v>85.47</v>
      </c>
    </row>
    <row r="1193" spans="1:2" x14ac:dyDescent="0.2">
      <c r="A1193" s="40" t="s">
        <v>770</v>
      </c>
      <c r="B1193" s="42">
        <v>99.18</v>
      </c>
    </row>
    <row r="1194" spans="1:2" x14ac:dyDescent="0.2">
      <c r="A1194" s="40" t="s">
        <v>771</v>
      </c>
      <c r="B1194" s="42">
        <v>99.04</v>
      </c>
    </row>
    <row r="1195" spans="1:2" x14ac:dyDescent="0.2">
      <c r="A1195" s="40" t="s">
        <v>772</v>
      </c>
      <c r="B1195" s="42">
        <v>94.07</v>
      </c>
    </row>
    <row r="1196" spans="1:2" x14ac:dyDescent="0.2">
      <c r="A1196" s="40" t="s">
        <v>773</v>
      </c>
      <c r="B1196" s="42">
        <v>86.17</v>
      </c>
    </row>
    <row r="1197" spans="1:2" x14ac:dyDescent="0.2">
      <c r="A1197" s="40" t="s">
        <v>774</v>
      </c>
      <c r="B1197" s="42">
        <v>81.78</v>
      </c>
    </row>
    <row r="1198" spans="1:2" x14ac:dyDescent="0.2">
      <c r="A1198" s="41">
        <v>40546</v>
      </c>
      <c r="B1198" s="42">
        <v>89.28</v>
      </c>
    </row>
    <row r="1199" spans="1:2" x14ac:dyDescent="0.2">
      <c r="A1199" s="41">
        <v>40577</v>
      </c>
      <c r="B1199" s="42">
        <v>87.55</v>
      </c>
    </row>
    <row r="1200" spans="1:2" x14ac:dyDescent="0.2">
      <c r="A1200" s="41">
        <v>40605</v>
      </c>
      <c r="B1200" s="42">
        <v>82.36</v>
      </c>
    </row>
    <row r="1201" spans="1:2" x14ac:dyDescent="0.2">
      <c r="A1201" s="41">
        <v>40636</v>
      </c>
      <c r="B1201" s="42">
        <v>81.48</v>
      </c>
    </row>
    <row r="1202" spans="1:2" x14ac:dyDescent="0.2">
      <c r="A1202" s="41">
        <v>40727</v>
      </c>
      <c r="B1202" s="42">
        <v>84.32</v>
      </c>
    </row>
    <row r="1203" spans="1:2" x14ac:dyDescent="0.2">
      <c r="A1203" s="41">
        <v>40758</v>
      </c>
      <c r="B1203" s="42">
        <v>80.84</v>
      </c>
    </row>
    <row r="1204" spans="1:2" x14ac:dyDescent="0.2">
      <c r="A1204" s="41">
        <v>40789</v>
      </c>
      <c r="B1204" s="42">
        <v>84.89</v>
      </c>
    </row>
    <row r="1205" spans="1:2" x14ac:dyDescent="0.2">
      <c r="A1205" s="41">
        <v>40819</v>
      </c>
      <c r="B1205" s="42">
        <v>88.16</v>
      </c>
    </row>
    <row r="1206" spans="1:2" x14ac:dyDescent="0.2">
      <c r="A1206" s="41">
        <v>40850</v>
      </c>
      <c r="B1206" s="42">
        <v>83.21</v>
      </c>
    </row>
    <row r="1207" spans="1:2" x14ac:dyDescent="0.2">
      <c r="A1207" s="40" t="s">
        <v>775</v>
      </c>
      <c r="B1207" s="42">
        <v>83.89</v>
      </c>
    </row>
    <row r="1208" spans="1:2" x14ac:dyDescent="0.2">
      <c r="A1208" s="40" t="s">
        <v>776</v>
      </c>
      <c r="B1208" s="42">
        <v>89.68</v>
      </c>
    </row>
    <row r="1209" spans="1:2" x14ac:dyDescent="0.2">
      <c r="A1209" s="40" t="s">
        <v>777</v>
      </c>
      <c r="B1209" s="42">
        <v>112.39</v>
      </c>
    </row>
    <row r="1210" spans="1:2" x14ac:dyDescent="0.2">
      <c r="A1210" s="40" t="s">
        <v>778</v>
      </c>
      <c r="B1210" s="42">
        <v>101.45</v>
      </c>
    </row>
    <row r="1211" spans="1:2" x14ac:dyDescent="0.2">
      <c r="A1211" s="40" t="s">
        <v>779</v>
      </c>
      <c r="B1211" s="42">
        <v>96.28</v>
      </c>
    </row>
    <row r="1212" spans="1:2" x14ac:dyDescent="0.2">
      <c r="A1212" s="40" t="s">
        <v>780</v>
      </c>
      <c r="B1212" s="42">
        <v>89.17</v>
      </c>
    </row>
    <row r="1213" spans="1:2" x14ac:dyDescent="0.2">
      <c r="A1213" s="40" t="s">
        <v>781</v>
      </c>
      <c r="B1213" s="42">
        <v>87.39</v>
      </c>
    </row>
    <row r="1214" spans="1:2" x14ac:dyDescent="0.2">
      <c r="A1214" s="40" t="s">
        <v>782</v>
      </c>
      <c r="B1214" s="42">
        <v>84.77</v>
      </c>
    </row>
    <row r="1215" spans="1:2" x14ac:dyDescent="0.2">
      <c r="A1215" s="40" t="s">
        <v>783</v>
      </c>
      <c r="B1215" s="42">
        <v>84.17</v>
      </c>
    </row>
    <row r="1216" spans="1:2" x14ac:dyDescent="0.2">
      <c r="A1216" s="40" t="s">
        <v>784</v>
      </c>
      <c r="B1216" s="42">
        <v>84.53</v>
      </c>
    </row>
    <row r="1217" spans="1:2" x14ac:dyDescent="0.2">
      <c r="A1217" s="40" t="s">
        <v>785</v>
      </c>
      <c r="B1217" s="42">
        <v>89.94</v>
      </c>
    </row>
    <row r="1218" spans="1:2" x14ac:dyDescent="0.2">
      <c r="A1218" s="40" t="s">
        <v>786</v>
      </c>
      <c r="B1218" s="42">
        <v>84.96</v>
      </c>
    </row>
    <row r="1219" spans="1:2" x14ac:dyDescent="0.2">
      <c r="A1219" s="40" t="s">
        <v>787</v>
      </c>
      <c r="B1219" s="42">
        <v>82.75</v>
      </c>
    </row>
    <row r="1220" spans="1:2" x14ac:dyDescent="0.2">
      <c r="A1220" s="40" t="s">
        <v>788</v>
      </c>
      <c r="B1220" s="42">
        <v>82.51</v>
      </c>
    </row>
    <row r="1221" spans="1:2" x14ac:dyDescent="0.2">
      <c r="A1221" s="41">
        <v>40547</v>
      </c>
      <c r="B1221" s="42">
        <v>81.98</v>
      </c>
    </row>
    <row r="1222" spans="1:2" x14ac:dyDescent="0.2">
      <c r="A1222" s="41">
        <v>40637</v>
      </c>
      <c r="B1222" s="42">
        <v>81.84</v>
      </c>
    </row>
    <row r="1223" spans="1:2" x14ac:dyDescent="0.2">
      <c r="A1223" s="41">
        <v>40667</v>
      </c>
      <c r="B1223" s="42">
        <v>81.44</v>
      </c>
    </row>
    <row r="1224" spans="1:2" x14ac:dyDescent="0.2">
      <c r="A1224" s="41">
        <v>40698</v>
      </c>
      <c r="B1224" s="42">
        <v>83.22</v>
      </c>
    </row>
    <row r="1225" spans="1:2" x14ac:dyDescent="0.2">
      <c r="A1225" s="41">
        <v>40728</v>
      </c>
      <c r="B1225" s="42">
        <v>82.39</v>
      </c>
    </row>
    <row r="1226" spans="1:2" x14ac:dyDescent="0.2">
      <c r="A1226" s="41">
        <v>40759</v>
      </c>
      <c r="B1226" s="42">
        <v>83.43</v>
      </c>
    </row>
    <row r="1227" spans="1:2" x14ac:dyDescent="0.2">
      <c r="A1227" s="41">
        <v>40851</v>
      </c>
      <c r="B1227" s="42">
        <v>84.16</v>
      </c>
    </row>
    <row r="1228" spans="1:2" x14ac:dyDescent="0.2">
      <c r="A1228" s="41">
        <v>40881</v>
      </c>
      <c r="B1228" s="42">
        <v>85.36</v>
      </c>
    </row>
    <row r="1229" spans="1:2" x14ac:dyDescent="0.2">
      <c r="A1229" s="40" t="s">
        <v>789</v>
      </c>
      <c r="B1229" s="42">
        <v>86.04</v>
      </c>
    </row>
    <row r="1230" spans="1:2" x14ac:dyDescent="0.2">
      <c r="A1230" s="40" t="s">
        <v>790</v>
      </c>
      <c r="B1230" s="42">
        <v>86.07</v>
      </c>
    </row>
    <row r="1231" spans="1:2" x14ac:dyDescent="0.2">
      <c r="A1231" s="40" t="s">
        <v>791</v>
      </c>
      <c r="B1231" s="42">
        <v>85.72</v>
      </c>
    </row>
    <row r="1232" spans="1:2" x14ac:dyDescent="0.2">
      <c r="A1232" s="40" t="s">
        <v>792</v>
      </c>
      <c r="B1232" s="42">
        <v>89.11</v>
      </c>
    </row>
    <row r="1233" spans="1:2" x14ac:dyDescent="0.2">
      <c r="A1233" s="40" t="s">
        <v>793</v>
      </c>
      <c r="B1233" s="42">
        <v>85.73</v>
      </c>
    </row>
    <row r="1234" spans="1:2" x14ac:dyDescent="0.2">
      <c r="A1234" s="40" t="s">
        <v>794</v>
      </c>
      <c r="B1234" s="42">
        <v>86.21</v>
      </c>
    </row>
    <row r="1235" spans="1:2" x14ac:dyDescent="0.2">
      <c r="A1235" s="40" t="s">
        <v>795</v>
      </c>
      <c r="B1235" s="42">
        <v>87.71</v>
      </c>
    </row>
    <row r="1236" spans="1:2" x14ac:dyDescent="0.2">
      <c r="A1236" s="40" t="s">
        <v>796</v>
      </c>
      <c r="B1236" s="42">
        <v>87.68</v>
      </c>
    </row>
    <row r="1237" spans="1:2" x14ac:dyDescent="0.2">
      <c r="A1237" s="40" t="s">
        <v>797</v>
      </c>
      <c r="B1237" s="42">
        <v>85.72</v>
      </c>
    </row>
    <row r="1238" spans="1:2" x14ac:dyDescent="0.2">
      <c r="A1238" s="40" t="s">
        <v>798</v>
      </c>
      <c r="B1238" s="42">
        <v>83.21</v>
      </c>
    </row>
    <row r="1239" spans="1:2" x14ac:dyDescent="0.2">
      <c r="A1239" s="40" t="s">
        <v>799</v>
      </c>
      <c r="B1239" s="42">
        <v>82.89</v>
      </c>
    </row>
    <row r="1240" spans="1:2" x14ac:dyDescent="0.2">
      <c r="A1240" s="40" t="s">
        <v>800</v>
      </c>
      <c r="B1240" s="42">
        <v>83.98</v>
      </c>
    </row>
    <row r="1241" spans="1:2" x14ac:dyDescent="0.2">
      <c r="A1241" s="41">
        <v>40579</v>
      </c>
      <c r="B1241" s="42">
        <v>88.5</v>
      </c>
    </row>
    <row r="1242" spans="1:2" x14ac:dyDescent="0.2">
      <c r="A1242" s="41">
        <v>40607</v>
      </c>
      <c r="B1242" s="42">
        <v>90.62</v>
      </c>
    </row>
    <row r="1243" spans="1:2" x14ac:dyDescent="0.2">
      <c r="A1243" s="41">
        <v>40638</v>
      </c>
      <c r="B1243" s="42">
        <v>91.39</v>
      </c>
    </row>
    <row r="1244" spans="1:2" x14ac:dyDescent="0.2">
      <c r="A1244" s="41">
        <v>40668</v>
      </c>
      <c r="B1244" s="42">
        <v>95.08</v>
      </c>
    </row>
    <row r="1245" spans="1:2" x14ac:dyDescent="0.2">
      <c r="A1245" s="41">
        <v>40699</v>
      </c>
      <c r="B1245" s="42">
        <v>94.43</v>
      </c>
    </row>
    <row r="1246" spans="1:2" x14ac:dyDescent="0.2">
      <c r="A1246" s="41">
        <v>40791</v>
      </c>
      <c r="B1246" s="42">
        <v>90.86</v>
      </c>
    </row>
    <row r="1247" spans="1:2" x14ac:dyDescent="0.2">
      <c r="A1247" s="41">
        <v>40821</v>
      </c>
      <c r="B1247" s="42">
        <v>87.56</v>
      </c>
    </row>
    <row r="1248" spans="1:2" x14ac:dyDescent="0.2">
      <c r="A1248" s="41">
        <v>40852</v>
      </c>
      <c r="B1248" s="42">
        <v>96.25</v>
      </c>
    </row>
    <row r="1249" spans="1:2" x14ac:dyDescent="0.2">
      <c r="A1249" s="41">
        <v>40882</v>
      </c>
      <c r="B1249" s="42">
        <v>93.57</v>
      </c>
    </row>
    <row r="1250" spans="1:2" x14ac:dyDescent="0.2">
      <c r="A1250" s="40" t="s">
        <v>801</v>
      </c>
      <c r="B1250" s="42">
        <v>93.86</v>
      </c>
    </row>
    <row r="1251" spans="1:2" x14ac:dyDescent="0.2">
      <c r="A1251" s="40" t="s">
        <v>802</v>
      </c>
      <c r="B1251" s="42">
        <v>94.44</v>
      </c>
    </row>
    <row r="1252" spans="1:2" x14ac:dyDescent="0.2">
      <c r="A1252" s="40" t="s">
        <v>803</v>
      </c>
      <c r="B1252" s="42">
        <v>93.64</v>
      </c>
    </row>
    <row r="1253" spans="1:2" x14ac:dyDescent="0.2">
      <c r="A1253" s="40" t="s">
        <v>804</v>
      </c>
      <c r="B1253" s="42">
        <v>90.7</v>
      </c>
    </row>
    <row r="1254" spans="1:2" x14ac:dyDescent="0.2">
      <c r="A1254" s="40" t="s">
        <v>805</v>
      </c>
      <c r="B1254" s="42">
        <v>87.53</v>
      </c>
    </row>
    <row r="1255" spans="1:2" x14ac:dyDescent="0.2">
      <c r="A1255" s="40" t="s">
        <v>806</v>
      </c>
      <c r="B1255" s="42">
        <v>90.23</v>
      </c>
    </row>
    <row r="1256" spans="1:2" x14ac:dyDescent="0.2">
      <c r="A1256" s="40" t="s">
        <v>807</v>
      </c>
      <c r="B1256" s="42">
        <v>92.08</v>
      </c>
    </row>
    <row r="1257" spans="1:2" x14ac:dyDescent="0.2">
      <c r="A1257" s="40" t="s">
        <v>808</v>
      </c>
      <c r="B1257" s="42">
        <v>88.47</v>
      </c>
    </row>
    <row r="1258" spans="1:2" x14ac:dyDescent="0.2">
      <c r="A1258" s="40" t="s">
        <v>809</v>
      </c>
      <c r="B1258" s="42">
        <v>85.29</v>
      </c>
    </row>
    <row r="1259" spans="1:2" x14ac:dyDescent="0.2">
      <c r="A1259" s="40" t="s">
        <v>810</v>
      </c>
      <c r="B1259" s="42">
        <v>81.48</v>
      </c>
    </row>
    <row r="1260" spans="1:2" x14ac:dyDescent="0.2">
      <c r="A1260" s="40" t="s">
        <v>811</v>
      </c>
      <c r="B1260" s="42">
        <v>81.459999999999994</v>
      </c>
    </row>
    <row r="1261" spans="1:2" x14ac:dyDescent="0.2">
      <c r="A1261" s="40" t="s">
        <v>812</v>
      </c>
      <c r="B1261" s="42">
        <v>80.92</v>
      </c>
    </row>
    <row r="1262" spans="1:2" x14ac:dyDescent="0.2">
      <c r="A1262" s="41">
        <v>40549</v>
      </c>
      <c r="B1262" s="42">
        <v>87.59</v>
      </c>
    </row>
    <row r="1263" spans="1:2" x14ac:dyDescent="0.2">
      <c r="A1263" s="41">
        <v>40580</v>
      </c>
      <c r="B1263" s="42">
        <v>85.22</v>
      </c>
    </row>
    <row r="1264" spans="1:2" x14ac:dyDescent="0.2">
      <c r="A1264" s="41">
        <v>40608</v>
      </c>
      <c r="B1264" s="42">
        <v>85.54</v>
      </c>
    </row>
    <row r="1265" spans="1:2" x14ac:dyDescent="0.2">
      <c r="A1265" s="41">
        <v>40700</v>
      </c>
      <c r="B1265" s="42">
        <v>88.15</v>
      </c>
    </row>
    <row r="1266" spans="1:2" x14ac:dyDescent="0.2">
      <c r="A1266" s="41">
        <v>40730</v>
      </c>
      <c r="B1266" s="42">
        <v>83.72</v>
      </c>
    </row>
    <row r="1267" spans="1:2" x14ac:dyDescent="0.2">
      <c r="A1267" s="41">
        <v>40761</v>
      </c>
      <c r="B1267" s="42">
        <v>88.98</v>
      </c>
    </row>
    <row r="1268" spans="1:2" x14ac:dyDescent="0.2">
      <c r="A1268" s="41">
        <v>40792</v>
      </c>
      <c r="B1268" s="42">
        <v>85.65</v>
      </c>
    </row>
    <row r="1269" spans="1:2" x14ac:dyDescent="0.2">
      <c r="A1269" s="41">
        <v>40822</v>
      </c>
      <c r="B1269" s="42">
        <v>93.34</v>
      </c>
    </row>
    <row r="1270" spans="1:2" x14ac:dyDescent="0.2">
      <c r="A1270" s="40" t="s">
        <v>813</v>
      </c>
      <c r="B1270" s="42">
        <v>98.35</v>
      </c>
    </row>
    <row r="1271" spans="1:2" x14ac:dyDescent="0.2">
      <c r="A1271" s="40" t="s">
        <v>814</v>
      </c>
      <c r="B1271" s="42">
        <v>91.74</v>
      </c>
    </row>
    <row r="1272" spans="1:2" x14ac:dyDescent="0.2">
      <c r="A1272" s="40" t="s">
        <v>815</v>
      </c>
      <c r="B1272" s="42">
        <v>105.07</v>
      </c>
    </row>
    <row r="1273" spans="1:2" x14ac:dyDescent="0.2">
      <c r="A1273" s="40" t="s">
        <v>816</v>
      </c>
      <c r="B1273" s="42">
        <v>100.39</v>
      </c>
    </row>
    <row r="1274" spans="1:2" x14ac:dyDescent="0.2">
      <c r="A1274" s="40" t="s">
        <v>817</v>
      </c>
      <c r="B1274" s="42">
        <v>95.31</v>
      </c>
    </row>
    <row r="1275" spans="1:2" x14ac:dyDescent="0.2">
      <c r="A1275" s="40" t="s">
        <v>818</v>
      </c>
      <c r="B1275" s="42">
        <v>90.25</v>
      </c>
    </row>
    <row r="1276" spans="1:2" x14ac:dyDescent="0.2">
      <c r="A1276" s="40" t="s">
        <v>819</v>
      </c>
      <c r="B1276" s="42">
        <v>90.55</v>
      </c>
    </row>
    <row r="1277" spans="1:2" x14ac:dyDescent="0.2">
      <c r="A1277" s="40" t="s">
        <v>820</v>
      </c>
      <c r="B1277" s="42">
        <v>91.71</v>
      </c>
    </row>
    <row r="1278" spans="1:2" x14ac:dyDescent="0.2">
      <c r="A1278" s="40" t="s">
        <v>821</v>
      </c>
      <c r="B1278" s="42">
        <v>93.09</v>
      </c>
    </row>
    <row r="1279" spans="1:2" x14ac:dyDescent="0.2">
      <c r="A1279" s="40" t="s">
        <v>822</v>
      </c>
      <c r="B1279" s="42">
        <v>99.14</v>
      </c>
    </row>
    <row r="1280" spans="1:2" x14ac:dyDescent="0.2">
      <c r="A1280" s="40" t="s">
        <v>823</v>
      </c>
      <c r="B1280" s="42">
        <v>94.29</v>
      </c>
    </row>
    <row r="1281" spans="1:2" x14ac:dyDescent="0.2">
      <c r="A1281" s="40" t="s">
        <v>824</v>
      </c>
      <c r="B1281" s="42">
        <v>90.33</v>
      </c>
    </row>
    <row r="1282" spans="1:2" x14ac:dyDescent="0.2">
      <c r="A1282" s="40" t="s">
        <v>825</v>
      </c>
      <c r="B1282" s="42">
        <v>85.9</v>
      </c>
    </row>
    <row r="1283" spans="1:2" x14ac:dyDescent="0.2">
      <c r="A1283" s="40" t="s">
        <v>826</v>
      </c>
      <c r="B1283" s="42">
        <v>81.08</v>
      </c>
    </row>
    <row r="1284" spans="1:2" x14ac:dyDescent="0.2">
      <c r="A1284" s="41">
        <v>40550</v>
      </c>
      <c r="B1284" s="42">
        <v>78.64</v>
      </c>
    </row>
    <row r="1285" spans="1:2" x14ac:dyDescent="0.2">
      <c r="A1285" s="41">
        <v>40670</v>
      </c>
      <c r="B1285" s="42">
        <v>81.34</v>
      </c>
    </row>
    <row r="1286" spans="1:2" x14ac:dyDescent="0.2">
      <c r="A1286" s="41">
        <v>40701</v>
      </c>
      <c r="B1286" s="42">
        <v>82.69</v>
      </c>
    </row>
    <row r="1287" spans="1:2" x14ac:dyDescent="0.2">
      <c r="A1287" s="41">
        <v>40731</v>
      </c>
      <c r="B1287" s="42">
        <v>80.7</v>
      </c>
    </row>
    <row r="1288" spans="1:2" x14ac:dyDescent="0.2">
      <c r="A1288" s="41">
        <v>40762</v>
      </c>
      <c r="B1288" s="42">
        <v>80.819999999999993</v>
      </c>
    </row>
    <row r="1289" spans="1:2" x14ac:dyDescent="0.2">
      <c r="A1289" s="41">
        <v>40854</v>
      </c>
      <c r="B1289" s="42">
        <v>90.87</v>
      </c>
    </row>
    <row r="1290" spans="1:2" x14ac:dyDescent="0.2">
      <c r="A1290" s="41">
        <v>40884</v>
      </c>
      <c r="B1290" s="42">
        <v>88.39</v>
      </c>
    </row>
    <row r="1291" spans="1:2" x14ac:dyDescent="0.2">
      <c r="A1291" s="40" t="s">
        <v>827</v>
      </c>
      <c r="B1291" s="42">
        <v>88.92</v>
      </c>
    </row>
    <row r="1292" spans="1:2" x14ac:dyDescent="0.2">
      <c r="A1292" s="40" t="s">
        <v>828</v>
      </c>
      <c r="B1292" s="42">
        <v>95.72</v>
      </c>
    </row>
    <row r="1293" spans="1:2" x14ac:dyDescent="0.2">
      <c r="A1293" s="40" t="s">
        <v>829</v>
      </c>
      <c r="B1293" s="42">
        <v>89.33</v>
      </c>
    </row>
    <row r="1294" spans="1:2" x14ac:dyDescent="0.2">
      <c r="A1294" s="40" t="s">
        <v>830</v>
      </c>
      <c r="B1294" s="42">
        <v>97.81</v>
      </c>
    </row>
    <row r="1295" spans="1:2" x14ac:dyDescent="0.2">
      <c r="A1295" s="40" t="s">
        <v>831</v>
      </c>
      <c r="B1295" s="42">
        <v>91.01</v>
      </c>
    </row>
    <row r="1296" spans="1:2" x14ac:dyDescent="0.2">
      <c r="A1296" s="40" t="s">
        <v>832</v>
      </c>
      <c r="B1296" s="42">
        <v>86.06</v>
      </c>
    </row>
    <row r="1297" spans="1:2" x14ac:dyDescent="0.2">
      <c r="A1297" s="40" t="s">
        <v>833</v>
      </c>
      <c r="B1297" s="42">
        <v>81.680000000000007</v>
      </c>
    </row>
    <row r="1298" spans="1:2" x14ac:dyDescent="0.2">
      <c r="A1298" s="40" t="s">
        <v>834</v>
      </c>
      <c r="B1298" s="42">
        <v>82.45</v>
      </c>
    </row>
    <row r="1299" spans="1:2" x14ac:dyDescent="0.2">
      <c r="A1299" s="40" t="s">
        <v>835</v>
      </c>
      <c r="B1299" s="42">
        <v>90.2</v>
      </c>
    </row>
    <row r="1300" spans="1:2" x14ac:dyDescent="0.2">
      <c r="A1300" s="40" t="s">
        <v>836</v>
      </c>
      <c r="B1300" s="42">
        <v>93.35</v>
      </c>
    </row>
    <row r="1301" spans="1:2" x14ac:dyDescent="0.2">
      <c r="A1301" s="40" t="s">
        <v>837</v>
      </c>
      <c r="B1301" s="42">
        <v>102.01</v>
      </c>
    </row>
    <row r="1302" spans="1:2" x14ac:dyDescent="0.2">
      <c r="A1302" s="40" t="s">
        <v>838</v>
      </c>
      <c r="B1302" s="42">
        <v>105.62</v>
      </c>
    </row>
    <row r="1303" spans="1:2" x14ac:dyDescent="0.2">
      <c r="A1303" s="40" t="s">
        <v>839</v>
      </c>
      <c r="B1303" s="42">
        <v>106.57</v>
      </c>
    </row>
    <row r="1304" spans="1:2" x14ac:dyDescent="0.2">
      <c r="A1304" s="41">
        <v>40551</v>
      </c>
      <c r="B1304" s="42">
        <v>95.89</v>
      </c>
    </row>
    <row r="1305" spans="1:2" x14ac:dyDescent="0.2">
      <c r="A1305" s="41">
        <v>40582</v>
      </c>
      <c r="B1305" s="42">
        <v>102.01</v>
      </c>
    </row>
    <row r="1306" spans="1:2" x14ac:dyDescent="0.2">
      <c r="A1306" s="41">
        <v>40610</v>
      </c>
      <c r="B1306" s="42">
        <v>98.58</v>
      </c>
    </row>
    <row r="1307" spans="1:2" x14ac:dyDescent="0.2">
      <c r="A1307" s="41">
        <v>40641</v>
      </c>
      <c r="B1307" s="42">
        <v>121.76</v>
      </c>
    </row>
    <row r="1308" spans="1:2" x14ac:dyDescent="0.2">
      <c r="A1308" s="41">
        <v>40671</v>
      </c>
      <c r="B1308" s="42">
        <v>118.61</v>
      </c>
    </row>
    <row r="1309" spans="1:2" x14ac:dyDescent="0.2">
      <c r="A1309" s="41">
        <v>40763</v>
      </c>
      <c r="B1309" s="42">
        <v>134.63</v>
      </c>
    </row>
    <row r="1310" spans="1:2" x14ac:dyDescent="0.2">
      <c r="A1310" s="41">
        <v>40794</v>
      </c>
      <c r="B1310" s="42">
        <v>112.8</v>
      </c>
    </row>
    <row r="1311" spans="1:2" x14ac:dyDescent="0.2">
      <c r="A1311" s="41">
        <v>40824</v>
      </c>
      <c r="B1311" s="42">
        <v>132.86000000000001</v>
      </c>
    </row>
    <row r="1312" spans="1:2" x14ac:dyDescent="0.2">
      <c r="A1312" s="41">
        <v>40855</v>
      </c>
      <c r="B1312" s="42">
        <v>128.76</v>
      </c>
    </row>
    <row r="1313" spans="1:2" x14ac:dyDescent="0.2">
      <c r="A1313" s="41">
        <v>40885</v>
      </c>
      <c r="B1313" s="42">
        <v>120.19</v>
      </c>
    </row>
    <row r="1314" spans="1:2" x14ac:dyDescent="0.2">
      <c r="A1314" s="40" t="s">
        <v>840</v>
      </c>
      <c r="B1314" s="42">
        <v>109</v>
      </c>
    </row>
    <row r="1315" spans="1:2" x14ac:dyDescent="0.2">
      <c r="A1315" s="40" t="s">
        <v>841</v>
      </c>
      <c r="B1315" s="42">
        <v>104.66</v>
      </c>
    </row>
    <row r="1316" spans="1:2" x14ac:dyDescent="0.2">
      <c r="A1316" s="40" t="s">
        <v>842</v>
      </c>
      <c r="B1316" s="42">
        <v>104.62</v>
      </c>
    </row>
    <row r="1317" spans="1:2" x14ac:dyDescent="0.2">
      <c r="A1317" s="40" t="s">
        <v>843</v>
      </c>
      <c r="B1317" s="42">
        <v>106.66</v>
      </c>
    </row>
    <row r="1318" spans="1:2" x14ac:dyDescent="0.2">
      <c r="A1318" s="40" t="s">
        <v>844</v>
      </c>
      <c r="B1318" s="42">
        <v>111.58</v>
      </c>
    </row>
    <row r="1319" spans="1:2" x14ac:dyDescent="0.2">
      <c r="A1319" s="40" t="s">
        <v>845</v>
      </c>
      <c r="B1319" s="42">
        <v>111.25</v>
      </c>
    </row>
    <row r="1320" spans="1:2" x14ac:dyDescent="0.2">
      <c r="A1320" s="40" t="s">
        <v>846</v>
      </c>
      <c r="B1320" s="42">
        <v>103.43</v>
      </c>
    </row>
    <row r="1321" spans="1:2" x14ac:dyDescent="0.2">
      <c r="A1321" s="40" t="s">
        <v>847</v>
      </c>
      <c r="B1321" s="42">
        <v>104.54</v>
      </c>
    </row>
    <row r="1322" spans="1:2" x14ac:dyDescent="0.2">
      <c r="A1322" s="40" t="s">
        <v>848</v>
      </c>
      <c r="B1322" s="42">
        <v>112.4</v>
      </c>
    </row>
    <row r="1323" spans="1:2" x14ac:dyDescent="0.2">
      <c r="A1323" s="40" t="s">
        <v>849</v>
      </c>
      <c r="B1323" s="42">
        <v>104.72</v>
      </c>
    </row>
    <row r="1324" spans="1:2" x14ac:dyDescent="0.2">
      <c r="A1324" s="40" t="s">
        <v>850</v>
      </c>
      <c r="B1324" s="42">
        <v>96.51</v>
      </c>
    </row>
    <row r="1325" spans="1:2" x14ac:dyDescent="0.2">
      <c r="A1325" s="40" t="s">
        <v>851</v>
      </c>
      <c r="B1325" s="42">
        <v>96.16</v>
      </c>
    </row>
    <row r="1326" spans="1:2" x14ac:dyDescent="0.2">
      <c r="A1326" s="40" t="s">
        <v>852</v>
      </c>
      <c r="B1326" s="42">
        <v>94.16</v>
      </c>
    </row>
    <row r="1327" spans="1:2" x14ac:dyDescent="0.2">
      <c r="A1327" s="41">
        <v>40552</v>
      </c>
      <c r="B1327" s="42">
        <v>92.31</v>
      </c>
    </row>
    <row r="1328" spans="1:2" x14ac:dyDescent="0.2">
      <c r="A1328" s="41">
        <v>40583</v>
      </c>
      <c r="B1328" s="42">
        <v>91</v>
      </c>
    </row>
    <row r="1329" spans="1:2" x14ac:dyDescent="0.2">
      <c r="A1329" s="41">
        <v>40703</v>
      </c>
      <c r="B1329" s="42">
        <v>97.01</v>
      </c>
    </row>
    <row r="1330" spans="1:2" x14ac:dyDescent="0.2">
      <c r="A1330" s="41">
        <v>40733</v>
      </c>
      <c r="B1330" s="42">
        <v>93.3</v>
      </c>
    </row>
    <row r="1331" spans="1:2" x14ac:dyDescent="0.2">
      <c r="A1331" s="41">
        <v>40764</v>
      </c>
      <c r="B1331" s="42">
        <v>93.45</v>
      </c>
    </row>
    <row r="1332" spans="1:2" x14ac:dyDescent="0.2">
      <c r="A1332" s="41">
        <v>40795</v>
      </c>
      <c r="B1332" s="42">
        <v>99.07</v>
      </c>
    </row>
    <row r="1333" spans="1:2" x14ac:dyDescent="0.2">
      <c r="A1333" s="41">
        <v>40886</v>
      </c>
      <c r="B1333" s="42">
        <v>97.07</v>
      </c>
    </row>
    <row r="1334" spans="1:2" x14ac:dyDescent="0.2">
      <c r="A1334" s="40" t="s">
        <v>853</v>
      </c>
      <c r="B1334" s="42">
        <v>96.14</v>
      </c>
    </row>
    <row r="1335" spans="1:2" x14ac:dyDescent="0.2">
      <c r="A1335" s="40" t="s">
        <v>854</v>
      </c>
      <c r="B1335" s="42">
        <v>100.22</v>
      </c>
    </row>
    <row r="1336" spans="1:2" x14ac:dyDescent="0.2">
      <c r="A1336" s="40" t="s">
        <v>855</v>
      </c>
      <c r="B1336" s="42">
        <v>96.69</v>
      </c>
    </row>
    <row r="1337" spans="1:2" x14ac:dyDescent="0.2">
      <c r="A1337" s="40" t="s">
        <v>856</v>
      </c>
      <c r="B1337" s="42">
        <v>93.67</v>
      </c>
    </row>
    <row r="1338" spans="1:2" x14ac:dyDescent="0.2">
      <c r="A1338" s="40" t="s">
        <v>857</v>
      </c>
      <c r="B1338" s="42">
        <v>95.95</v>
      </c>
    </row>
    <row r="1339" spans="1:2" x14ac:dyDescent="0.2">
      <c r="A1339" s="40" t="s">
        <v>858</v>
      </c>
      <c r="B1339" s="42">
        <v>92.9</v>
      </c>
    </row>
    <row r="1340" spans="1:2" x14ac:dyDescent="0.2">
      <c r="A1340" s="40" t="s">
        <v>859</v>
      </c>
      <c r="B1340" s="42">
        <v>98.58</v>
      </c>
    </row>
    <row r="1341" spans="1:2" x14ac:dyDescent="0.2">
      <c r="A1341" s="40" t="s">
        <v>860</v>
      </c>
      <c r="B1341" s="42">
        <v>103.91</v>
      </c>
    </row>
    <row r="1342" spans="1:2" x14ac:dyDescent="0.2">
      <c r="A1342" s="40" t="s">
        <v>861</v>
      </c>
      <c r="B1342" s="42">
        <v>104.77</v>
      </c>
    </row>
    <row r="1343" spans="1:2" x14ac:dyDescent="0.2">
      <c r="A1343" s="40" t="s">
        <v>862</v>
      </c>
      <c r="B1343" s="42">
        <v>102.89</v>
      </c>
    </row>
    <row r="1344" spans="1:2" x14ac:dyDescent="0.2">
      <c r="A1344" s="40" t="s">
        <v>863</v>
      </c>
      <c r="B1344" s="42">
        <v>100.31</v>
      </c>
    </row>
    <row r="1345" spans="1:2" x14ac:dyDescent="0.2">
      <c r="A1345" s="40" t="s">
        <v>864</v>
      </c>
      <c r="B1345" s="42">
        <v>104.3</v>
      </c>
    </row>
    <row r="1346" spans="1:2" x14ac:dyDescent="0.2">
      <c r="A1346" s="40" t="s">
        <v>865</v>
      </c>
      <c r="B1346" s="42">
        <v>101.05</v>
      </c>
    </row>
    <row r="1347" spans="1:2" x14ac:dyDescent="0.2">
      <c r="A1347" s="40" t="s">
        <v>866</v>
      </c>
      <c r="B1347" s="42">
        <v>101.08</v>
      </c>
    </row>
    <row r="1348" spans="1:2" x14ac:dyDescent="0.2">
      <c r="A1348" s="41">
        <v>40612</v>
      </c>
      <c r="B1348" s="42">
        <v>103.89</v>
      </c>
    </row>
    <row r="1349" spans="1:2" x14ac:dyDescent="0.2">
      <c r="A1349" s="41">
        <v>40643</v>
      </c>
      <c r="B1349" s="42">
        <v>99.31</v>
      </c>
    </row>
    <row r="1350" spans="1:2" x14ac:dyDescent="0.2">
      <c r="A1350" s="41">
        <v>40673</v>
      </c>
      <c r="B1350" s="42">
        <v>94.66</v>
      </c>
    </row>
    <row r="1351" spans="1:2" x14ac:dyDescent="0.2">
      <c r="A1351" s="41">
        <v>40704</v>
      </c>
      <c r="B1351" s="42">
        <v>93.52</v>
      </c>
    </row>
    <row r="1352" spans="1:2" x14ac:dyDescent="0.2">
      <c r="A1352" s="41">
        <v>40734</v>
      </c>
      <c r="B1352" s="42">
        <v>92.57</v>
      </c>
    </row>
    <row r="1353" spans="1:2" x14ac:dyDescent="0.2">
      <c r="A1353" s="41">
        <v>40826</v>
      </c>
      <c r="B1353" s="42">
        <v>89.39</v>
      </c>
    </row>
    <row r="1354" spans="1:2" x14ac:dyDescent="0.2">
      <c r="A1354" s="41">
        <v>40857</v>
      </c>
      <c r="B1354" s="42">
        <v>90.98</v>
      </c>
    </row>
    <row r="1355" spans="1:2" x14ac:dyDescent="0.2">
      <c r="A1355" s="41">
        <v>40887</v>
      </c>
      <c r="B1355" s="42">
        <v>91.34</v>
      </c>
    </row>
    <row r="1356" spans="1:2" x14ac:dyDescent="0.2">
      <c r="A1356" s="40" t="s">
        <v>867</v>
      </c>
      <c r="B1356" s="42">
        <v>95.1</v>
      </c>
    </row>
    <row r="1357" spans="1:2" x14ac:dyDescent="0.2">
      <c r="A1357" s="40" t="s">
        <v>868</v>
      </c>
      <c r="B1357" s="42">
        <v>94.69</v>
      </c>
    </row>
    <row r="1358" spans="1:2" x14ac:dyDescent="0.2">
      <c r="A1358" s="40" t="s">
        <v>869</v>
      </c>
      <c r="B1358" s="42">
        <v>103.55</v>
      </c>
    </row>
    <row r="1359" spans="1:2" x14ac:dyDescent="0.2">
      <c r="A1359" s="40" t="s">
        <v>870</v>
      </c>
      <c r="B1359" s="42">
        <v>100.21</v>
      </c>
    </row>
    <row r="1360" spans="1:2" x14ac:dyDescent="0.2">
      <c r="A1360" s="40" t="s">
        <v>871</v>
      </c>
      <c r="B1360" s="42">
        <v>103.29</v>
      </c>
    </row>
    <row r="1361" spans="1:2" x14ac:dyDescent="0.2">
      <c r="A1361" s="40" t="s">
        <v>872</v>
      </c>
      <c r="B1361" s="42">
        <v>102.97</v>
      </c>
    </row>
    <row r="1362" spans="1:2" x14ac:dyDescent="0.2">
      <c r="A1362" s="40" t="s">
        <v>873</v>
      </c>
      <c r="B1362" s="42">
        <v>98.05</v>
      </c>
    </row>
    <row r="1363" spans="1:2" x14ac:dyDescent="0.2">
      <c r="A1363" s="40" t="s">
        <v>874</v>
      </c>
      <c r="B1363" s="42">
        <v>97.13</v>
      </c>
    </row>
    <row r="1364" spans="1:2" x14ac:dyDescent="0.2">
      <c r="A1364" s="40" t="s">
        <v>875</v>
      </c>
      <c r="B1364" s="42">
        <v>97.75</v>
      </c>
    </row>
    <row r="1365" spans="1:2" x14ac:dyDescent="0.2">
      <c r="A1365" s="40" t="s">
        <v>876</v>
      </c>
      <c r="B1365" s="42">
        <v>97.74</v>
      </c>
    </row>
    <row r="1366" spans="1:2" x14ac:dyDescent="0.2">
      <c r="A1366" s="40" t="s">
        <v>877</v>
      </c>
      <c r="B1366" s="42">
        <v>94.44</v>
      </c>
    </row>
    <row r="1367" spans="1:2" x14ac:dyDescent="0.2">
      <c r="A1367" s="40" t="s">
        <v>878</v>
      </c>
      <c r="B1367" s="42">
        <v>94.19</v>
      </c>
    </row>
    <row r="1368" spans="1:2" x14ac:dyDescent="0.2">
      <c r="A1368" s="40" t="s">
        <v>879</v>
      </c>
      <c r="B1368" s="42">
        <v>104.84</v>
      </c>
    </row>
    <row r="1369" spans="1:2" x14ac:dyDescent="0.2">
      <c r="A1369" s="41">
        <v>40554</v>
      </c>
      <c r="B1369" s="42">
        <v>113.15</v>
      </c>
    </row>
    <row r="1370" spans="1:2" x14ac:dyDescent="0.2">
      <c r="A1370" s="41">
        <v>40585</v>
      </c>
      <c r="B1370" s="42">
        <v>107.4</v>
      </c>
    </row>
    <row r="1371" spans="1:2" x14ac:dyDescent="0.2">
      <c r="A1371" s="41">
        <v>40613</v>
      </c>
      <c r="B1371" s="42">
        <v>104.28</v>
      </c>
    </row>
    <row r="1372" spans="1:2" x14ac:dyDescent="0.2">
      <c r="A1372" s="41">
        <v>40644</v>
      </c>
      <c r="B1372" s="42">
        <v>103.34</v>
      </c>
    </row>
    <row r="1373" spans="1:2" x14ac:dyDescent="0.2">
      <c r="A1373" s="41">
        <v>40735</v>
      </c>
      <c r="B1373" s="42">
        <v>103.35</v>
      </c>
    </row>
    <row r="1374" spans="1:2" x14ac:dyDescent="0.2">
      <c r="A1374" s="41">
        <v>40766</v>
      </c>
      <c r="B1374" s="42">
        <v>98.05</v>
      </c>
    </row>
    <row r="1375" spans="1:2" x14ac:dyDescent="0.2">
      <c r="A1375" s="41">
        <v>40797</v>
      </c>
      <c r="B1375" s="42">
        <v>122.73</v>
      </c>
    </row>
    <row r="1376" spans="1:2" x14ac:dyDescent="0.2">
      <c r="A1376" s="41">
        <v>40827</v>
      </c>
      <c r="B1376" s="42">
        <v>113.54</v>
      </c>
    </row>
    <row r="1377" spans="1:2" x14ac:dyDescent="0.2">
      <c r="A1377" s="41">
        <v>40858</v>
      </c>
      <c r="B1377" s="42">
        <v>112.1</v>
      </c>
    </row>
    <row r="1378" spans="1:2" x14ac:dyDescent="0.2">
      <c r="A1378" s="40" t="s">
        <v>880</v>
      </c>
      <c r="B1378" s="42">
        <v>112.35</v>
      </c>
    </row>
    <row r="1379" spans="1:2" x14ac:dyDescent="0.2">
      <c r="A1379" s="40" t="s">
        <v>881</v>
      </c>
      <c r="B1379" s="42">
        <v>107.55</v>
      </c>
    </row>
    <row r="1380" spans="1:2" x14ac:dyDescent="0.2">
      <c r="A1380" s="40" t="s">
        <v>882</v>
      </c>
      <c r="B1380" s="42">
        <v>111.18</v>
      </c>
    </row>
    <row r="1381" spans="1:2" x14ac:dyDescent="0.2">
      <c r="A1381" s="40" t="s">
        <v>883</v>
      </c>
      <c r="B1381" s="42">
        <v>111.86</v>
      </c>
    </row>
    <row r="1382" spans="1:2" x14ac:dyDescent="0.2">
      <c r="A1382" s="40" t="s">
        <v>884</v>
      </c>
      <c r="B1382" s="42">
        <v>101.92</v>
      </c>
    </row>
    <row r="1383" spans="1:2" x14ac:dyDescent="0.2">
      <c r="A1383" s="40" t="s">
        <v>885</v>
      </c>
      <c r="B1383" s="42">
        <v>99.6</v>
      </c>
    </row>
    <row r="1384" spans="1:2" x14ac:dyDescent="0.2">
      <c r="A1384" s="40" t="s">
        <v>886</v>
      </c>
      <c r="B1384" s="42">
        <v>98.53</v>
      </c>
    </row>
    <row r="1385" spans="1:2" x14ac:dyDescent="0.2">
      <c r="A1385" s="40" t="s">
        <v>887</v>
      </c>
      <c r="B1385" s="42">
        <v>101.46</v>
      </c>
    </row>
    <row r="1386" spans="1:2" x14ac:dyDescent="0.2">
      <c r="A1386" s="40" t="s">
        <v>888</v>
      </c>
      <c r="B1386" s="42">
        <v>98.98</v>
      </c>
    </row>
    <row r="1387" spans="1:2" x14ac:dyDescent="0.2">
      <c r="A1387" s="40" t="s">
        <v>889</v>
      </c>
      <c r="B1387" s="42">
        <v>96.23</v>
      </c>
    </row>
    <row r="1388" spans="1:2" x14ac:dyDescent="0.2">
      <c r="A1388" s="40" t="s">
        <v>890</v>
      </c>
      <c r="B1388" s="42">
        <v>95.47</v>
      </c>
    </row>
    <row r="1389" spans="1:2" x14ac:dyDescent="0.2">
      <c r="A1389" s="40" t="s">
        <v>891</v>
      </c>
      <c r="B1389" s="42">
        <v>92.22</v>
      </c>
    </row>
    <row r="1390" spans="1:2" x14ac:dyDescent="0.2">
      <c r="A1390" s="41">
        <v>40555</v>
      </c>
      <c r="B1390" s="42">
        <v>90.88</v>
      </c>
    </row>
    <row r="1391" spans="1:2" x14ac:dyDescent="0.2">
      <c r="A1391" s="41">
        <v>40586</v>
      </c>
      <c r="B1391" s="42">
        <v>92.46</v>
      </c>
    </row>
    <row r="1392" spans="1:2" x14ac:dyDescent="0.2">
      <c r="A1392" s="41">
        <v>40675</v>
      </c>
      <c r="B1392" s="42">
        <v>92.97</v>
      </c>
    </row>
    <row r="1393" spans="1:2" x14ac:dyDescent="0.2">
      <c r="A1393" s="41">
        <v>40706</v>
      </c>
      <c r="B1393" s="42">
        <v>92.21</v>
      </c>
    </row>
    <row r="1394" spans="1:2" x14ac:dyDescent="0.2">
      <c r="A1394" s="41">
        <v>40736</v>
      </c>
      <c r="B1394" s="42">
        <v>92.84</v>
      </c>
    </row>
    <row r="1395" spans="1:2" x14ac:dyDescent="0.2">
      <c r="A1395" s="41">
        <v>40767</v>
      </c>
      <c r="B1395" s="42">
        <v>94.97</v>
      </c>
    </row>
    <row r="1396" spans="1:2" x14ac:dyDescent="0.2">
      <c r="A1396" s="41">
        <v>40798</v>
      </c>
      <c r="B1396" s="42">
        <v>90.92</v>
      </c>
    </row>
    <row r="1397" spans="1:2" x14ac:dyDescent="0.2">
      <c r="A1397" s="41">
        <v>40889</v>
      </c>
      <c r="B1397" s="42">
        <v>93.21</v>
      </c>
    </row>
    <row r="1398" spans="1:2" x14ac:dyDescent="0.2">
      <c r="A1398" s="40" t="s">
        <v>892</v>
      </c>
      <c r="B1398" s="42">
        <v>94.55</v>
      </c>
    </row>
    <row r="1399" spans="1:2" x14ac:dyDescent="0.2">
      <c r="A1399" s="40" t="s">
        <v>893</v>
      </c>
      <c r="B1399" s="42">
        <v>99.63</v>
      </c>
    </row>
    <row r="1400" spans="1:2" x14ac:dyDescent="0.2">
      <c r="A1400" s="40" t="s">
        <v>894</v>
      </c>
      <c r="B1400" s="42">
        <v>97.71</v>
      </c>
    </row>
    <row r="1401" spans="1:2" x14ac:dyDescent="0.2">
      <c r="A1401" s="40" t="s">
        <v>895</v>
      </c>
      <c r="B1401" s="42">
        <v>94.28</v>
      </c>
    </row>
    <row r="1402" spans="1:2" x14ac:dyDescent="0.2">
      <c r="A1402" s="40" t="s">
        <v>896</v>
      </c>
      <c r="B1402" s="42">
        <v>90.27</v>
      </c>
    </row>
    <row r="1403" spans="1:2" x14ac:dyDescent="0.2">
      <c r="A1403" s="40" t="s">
        <v>897</v>
      </c>
      <c r="B1403" s="42">
        <v>88.64</v>
      </c>
    </row>
    <row r="1404" spans="1:2" x14ac:dyDescent="0.2">
      <c r="A1404" s="40" t="s">
        <v>898</v>
      </c>
      <c r="B1404" s="42">
        <v>85.54</v>
      </c>
    </row>
    <row r="1405" spans="1:2" x14ac:dyDescent="0.2">
      <c r="A1405" s="40" t="s">
        <v>899</v>
      </c>
      <c r="B1405" s="42">
        <v>86.18</v>
      </c>
    </row>
    <row r="1406" spans="1:2" x14ac:dyDescent="0.2">
      <c r="A1406" s="40" t="s">
        <v>900</v>
      </c>
      <c r="B1406" s="42">
        <v>86.54</v>
      </c>
    </row>
    <row r="1407" spans="1:2" x14ac:dyDescent="0.2">
      <c r="A1407" s="40" t="s">
        <v>901</v>
      </c>
      <c r="B1407" s="42">
        <v>88.13</v>
      </c>
    </row>
    <row r="1408" spans="1:2" x14ac:dyDescent="0.2">
      <c r="A1408" s="40" t="s">
        <v>902</v>
      </c>
      <c r="B1408" s="42">
        <v>94.08</v>
      </c>
    </row>
    <row r="1409" spans="1:2" x14ac:dyDescent="0.2">
      <c r="A1409" s="40" t="s">
        <v>903</v>
      </c>
      <c r="B1409" s="42">
        <v>91.8</v>
      </c>
    </row>
    <row r="1410" spans="1:2" x14ac:dyDescent="0.2">
      <c r="A1410" s="40" t="s">
        <v>904</v>
      </c>
      <c r="B1410" s="42">
        <v>91.7</v>
      </c>
    </row>
    <row r="1411" spans="1:2" x14ac:dyDescent="0.2">
      <c r="A1411" s="41">
        <v>40969</v>
      </c>
      <c r="B1411" s="42">
        <v>91.39</v>
      </c>
    </row>
    <row r="1412" spans="1:2" x14ac:dyDescent="0.2">
      <c r="A1412" s="41">
        <v>41000</v>
      </c>
      <c r="B1412" s="42">
        <v>88.89</v>
      </c>
    </row>
    <row r="1413" spans="1:2" x14ac:dyDescent="0.2">
      <c r="A1413" s="41">
        <v>41030</v>
      </c>
      <c r="B1413" s="42">
        <v>87.69</v>
      </c>
    </row>
    <row r="1414" spans="1:2" x14ac:dyDescent="0.2">
      <c r="A1414" s="41">
        <v>41061</v>
      </c>
      <c r="B1414" s="42">
        <v>86.95</v>
      </c>
    </row>
    <row r="1415" spans="1:2" x14ac:dyDescent="0.2">
      <c r="A1415" s="41">
        <v>41153</v>
      </c>
      <c r="B1415" s="42">
        <v>87.8</v>
      </c>
    </row>
    <row r="1416" spans="1:2" x14ac:dyDescent="0.2">
      <c r="A1416" s="41">
        <v>41183</v>
      </c>
      <c r="B1416" s="42">
        <v>88.82</v>
      </c>
    </row>
    <row r="1417" spans="1:2" x14ac:dyDescent="0.2">
      <c r="A1417" s="41">
        <v>41214</v>
      </c>
      <c r="B1417" s="42">
        <v>93.17</v>
      </c>
    </row>
    <row r="1418" spans="1:2" x14ac:dyDescent="0.2">
      <c r="A1418" s="41">
        <v>41244</v>
      </c>
      <c r="B1418" s="42">
        <v>90.51</v>
      </c>
    </row>
    <row r="1419" spans="1:2" x14ac:dyDescent="0.2">
      <c r="A1419" s="40" t="s">
        <v>905</v>
      </c>
      <c r="B1419" s="42">
        <v>93.55</v>
      </c>
    </row>
    <row r="1420" spans="1:2" x14ac:dyDescent="0.2">
      <c r="A1420" s="40" t="s">
        <v>906</v>
      </c>
      <c r="B1420" s="42">
        <v>93.66</v>
      </c>
    </row>
    <row r="1421" spans="1:2" x14ac:dyDescent="0.2">
      <c r="A1421" s="40" t="s">
        <v>907</v>
      </c>
      <c r="B1421" s="42">
        <v>90.09</v>
      </c>
    </row>
    <row r="1422" spans="1:2" x14ac:dyDescent="0.2">
      <c r="A1422" s="40" t="s">
        <v>908</v>
      </c>
      <c r="B1422" s="42">
        <v>88.73</v>
      </c>
    </row>
    <row r="1423" spans="1:2" x14ac:dyDescent="0.2">
      <c r="A1423" s="40" t="s">
        <v>909</v>
      </c>
      <c r="B1423" s="42">
        <v>89.24</v>
      </c>
    </row>
    <row r="1424" spans="1:2" x14ac:dyDescent="0.2">
      <c r="A1424" s="40" t="s">
        <v>910</v>
      </c>
      <c r="B1424" s="42">
        <v>89.59</v>
      </c>
    </row>
    <row r="1425" spans="1:2" x14ac:dyDescent="0.2">
      <c r="A1425" s="40" t="s">
        <v>911</v>
      </c>
      <c r="B1425" s="42">
        <v>89.01</v>
      </c>
    </row>
    <row r="1426" spans="1:2" x14ac:dyDescent="0.2">
      <c r="A1426" s="40" t="s">
        <v>912</v>
      </c>
      <c r="B1426" s="42">
        <v>86.01</v>
      </c>
    </row>
    <row r="1427" spans="1:2" x14ac:dyDescent="0.2">
      <c r="A1427" s="40" t="s">
        <v>913</v>
      </c>
      <c r="B1427" s="42">
        <v>88.92</v>
      </c>
    </row>
    <row r="1428" spans="1:2" x14ac:dyDescent="0.2">
      <c r="A1428" s="40" t="s">
        <v>914</v>
      </c>
      <c r="B1428" s="42">
        <v>87.44</v>
      </c>
    </row>
    <row r="1429" spans="1:2" x14ac:dyDescent="0.2">
      <c r="A1429" s="40" t="s">
        <v>915</v>
      </c>
      <c r="B1429" s="42">
        <v>89.86</v>
      </c>
    </row>
    <row r="1430" spans="1:2" x14ac:dyDescent="0.2">
      <c r="A1430" s="40" t="s">
        <v>916</v>
      </c>
      <c r="B1430" s="42">
        <v>88.51</v>
      </c>
    </row>
    <row r="1431" spans="1:2" x14ac:dyDescent="0.2">
      <c r="A1431" s="41">
        <v>40910</v>
      </c>
      <c r="B1431" s="42">
        <v>85.78</v>
      </c>
    </row>
    <row r="1432" spans="1:2" x14ac:dyDescent="0.2">
      <c r="A1432" s="41">
        <v>40941</v>
      </c>
      <c r="B1432" s="42">
        <v>84.1</v>
      </c>
    </row>
    <row r="1433" spans="1:2" x14ac:dyDescent="0.2">
      <c r="A1433" s="41">
        <v>40970</v>
      </c>
      <c r="B1433" s="42">
        <v>84.04</v>
      </c>
    </row>
    <row r="1434" spans="1:2" x14ac:dyDescent="0.2">
      <c r="A1434" s="41">
        <v>41062</v>
      </c>
      <c r="B1434" s="42">
        <v>85.38</v>
      </c>
    </row>
    <row r="1435" spans="1:2" x14ac:dyDescent="0.2">
      <c r="A1435" s="41">
        <v>41092</v>
      </c>
      <c r="B1435" s="42">
        <v>83.79</v>
      </c>
    </row>
    <row r="1436" spans="1:2" x14ac:dyDescent="0.2">
      <c r="A1436" s="41">
        <v>41123</v>
      </c>
      <c r="B1436" s="42">
        <v>97.01</v>
      </c>
    </row>
    <row r="1437" spans="1:2" x14ac:dyDescent="0.2">
      <c r="A1437" s="41">
        <v>41154</v>
      </c>
      <c r="B1437" s="42">
        <v>100.76</v>
      </c>
    </row>
    <row r="1438" spans="1:2" x14ac:dyDescent="0.2">
      <c r="A1438" s="41">
        <v>41184</v>
      </c>
      <c r="B1438" s="42">
        <v>104.15</v>
      </c>
    </row>
    <row r="1439" spans="1:2" x14ac:dyDescent="0.2">
      <c r="A1439" s="40" t="s">
        <v>917</v>
      </c>
      <c r="B1439" s="42">
        <v>102.45</v>
      </c>
    </row>
    <row r="1440" spans="1:2" x14ac:dyDescent="0.2">
      <c r="A1440" s="40" t="s">
        <v>918</v>
      </c>
      <c r="B1440" s="42">
        <v>107.82</v>
      </c>
    </row>
    <row r="1441" spans="1:2" x14ac:dyDescent="0.2">
      <c r="A1441" s="40" t="s">
        <v>919</v>
      </c>
      <c r="B1441" s="42">
        <v>114.65</v>
      </c>
    </row>
    <row r="1442" spans="1:2" x14ac:dyDescent="0.2">
      <c r="A1442" s="40" t="s">
        <v>920</v>
      </c>
      <c r="B1442" s="42">
        <v>110.41</v>
      </c>
    </row>
    <row r="1443" spans="1:2" x14ac:dyDescent="0.2">
      <c r="A1443" s="40" t="s">
        <v>921</v>
      </c>
      <c r="B1443" s="42">
        <v>108.56</v>
      </c>
    </row>
    <row r="1444" spans="1:2" x14ac:dyDescent="0.2">
      <c r="A1444" s="40" t="s">
        <v>922</v>
      </c>
      <c r="B1444" s="42">
        <v>107.71</v>
      </c>
    </row>
    <row r="1445" spans="1:2" x14ac:dyDescent="0.2">
      <c r="A1445" s="40" t="s">
        <v>923</v>
      </c>
      <c r="B1445" s="42">
        <v>100.81</v>
      </c>
    </row>
    <row r="1446" spans="1:2" x14ac:dyDescent="0.2">
      <c r="A1446" s="40" t="s">
        <v>924</v>
      </c>
      <c r="B1446" s="42">
        <v>94.44</v>
      </c>
    </row>
    <row r="1447" spans="1:2" x14ac:dyDescent="0.2">
      <c r="A1447" s="40" t="s">
        <v>925</v>
      </c>
      <c r="B1447" s="42">
        <v>99.43</v>
      </c>
    </row>
    <row r="1448" spans="1:2" x14ac:dyDescent="0.2">
      <c r="A1448" s="40" t="s">
        <v>926</v>
      </c>
      <c r="B1448" s="42">
        <v>101.68</v>
      </c>
    </row>
    <row r="1449" spans="1:2" x14ac:dyDescent="0.2">
      <c r="A1449" s="40" t="s">
        <v>927</v>
      </c>
      <c r="B1449" s="42">
        <v>99.13</v>
      </c>
    </row>
    <row r="1450" spans="1:2" x14ac:dyDescent="0.2">
      <c r="A1450" s="40" t="s">
        <v>928</v>
      </c>
      <c r="B1450" s="42">
        <v>101.6</v>
      </c>
    </row>
    <row r="1451" spans="1:2" x14ac:dyDescent="0.2">
      <c r="A1451" s="41">
        <v>40911</v>
      </c>
      <c r="B1451" s="42">
        <v>97.43</v>
      </c>
    </row>
    <row r="1452" spans="1:2" x14ac:dyDescent="0.2">
      <c r="A1452" s="41">
        <v>40942</v>
      </c>
      <c r="B1452" s="42">
        <v>96.94</v>
      </c>
    </row>
    <row r="1453" spans="1:2" x14ac:dyDescent="0.2">
      <c r="A1453" s="41">
        <v>41032</v>
      </c>
      <c r="B1453" s="42">
        <v>98.18</v>
      </c>
    </row>
    <row r="1454" spans="1:2" x14ac:dyDescent="0.2">
      <c r="A1454" s="41">
        <v>41063</v>
      </c>
      <c r="B1454" s="42">
        <v>105.11</v>
      </c>
    </row>
    <row r="1455" spans="1:2" x14ac:dyDescent="0.2">
      <c r="A1455" s="41">
        <v>41093</v>
      </c>
      <c r="B1455" s="42">
        <v>100.46</v>
      </c>
    </row>
    <row r="1456" spans="1:2" x14ac:dyDescent="0.2">
      <c r="A1456" s="41">
        <v>41124</v>
      </c>
      <c r="B1456" s="42">
        <v>97.19</v>
      </c>
    </row>
    <row r="1457" spans="1:2" x14ac:dyDescent="0.2">
      <c r="A1457" s="41">
        <v>41155</v>
      </c>
      <c r="B1457" s="42">
        <v>97.98</v>
      </c>
    </row>
    <row r="1458" spans="1:2" x14ac:dyDescent="0.2">
      <c r="A1458" s="41">
        <v>41246</v>
      </c>
      <c r="B1458" s="42">
        <v>98.61</v>
      </c>
    </row>
    <row r="1459" spans="1:2" x14ac:dyDescent="0.2">
      <c r="A1459" s="40" t="s">
        <v>929</v>
      </c>
      <c r="B1459" s="42">
        <v>98.47</v>
      </c>
    </row>
    <row r="1460" spans="1:2" x14ac:dyDescent="0.2">
      <c r="A1460" s="40" t="s">
        <v>930</v>
      </c>
      <c r="B1460" s="42">
        <v>106.63</v>
      </c>
    </row>
    <row r="1461" spans="1:2" x14ac:dyDescent="0.2">
      <c r="A1461" s="40" t="s">
        <v>931</v>
      </c>
      <c r="B1461" s="42">
        <v>108.42</v>
      </c>
    </row>
    <row r="1462" spans="1:2" x14ac:dyDescent="0.2">
      <c r="A1462" s="40" t="s">
        <v>932</v>
      </c>
      <c r="B1462" s="42">
        <v>105.78</v>
      </c>
    </row>
    <row r="1463" spans="1:2" x14ac:dyDescent="0.2">
      <c r="A1463" s="40" t="s">
        <v>933</v>
      </c>
      <c r="B1463" s="42">
        <v>106.49</v>
      </c>
    </row>
    <row r="1464" spans="1:2" x14ac:dyDescent="0.2">
      <c r="A1464" s="40" t="s">
        <v>934</v>
      </c>
      <c r="B1464" s="42">
        <v>109.38</v>
      </c>
    </row>
    <row r="1465" spans="1:2" x14ac:dyDescent="0.2">
      <c r="A1465" s="40" t="s">
        <v>935</v>
      </c>
      <c r="B1465" s="42">
        <v>104.65</v>
      </c>
    </row>
    <row r="1466" spans="1:2" x14ac:dyDescent="0.2">
      <c r="A1466" s="40" t="s">
        <v>936</v>
      </c>
      <c r="B1466" s="42">
        <v>102.53</v>
      </c>
    </row>
    <row r="1467" spans="1:2" x14ac:dyDescent="0.2">
      <c r="A1467" s="40" t="s">
        <v>937</v>
      </c>
      <c r="B1467" s="42">
        <v>98.6</v>
      </c>
    </row>
    <row r="1468" spans="1:2" x14ac:dyDescent="0.2">
      <c r="A1468" s="40" t="s">
        <v>938</v>
      </c>
      <c r="B1468" s="42">
        <v>96.08</v>
      </c>
    </row>
    <row r="1469" spans="1:2" x14ac:dyDescent="0.2">
      <c r="A1469" s="40" t="s">
        <v>939</v>
      </c>
      <c r="B1469" s="42">
        <v>101.15</v>
      </c>
    </row>
    <row r="1470" spans="1:2" x14ac:dyDescent="0.2">
      <c r="A1470" s="40" t="s">
        <v>940</v>
      </c>
      <c r="B1470" s="42">
        <v>102.74</v>
      </c>
    </row>
    <row r="1471" spans="1:2" x14ac:dyDescent="0.2">
      <c r="A1471" s="40" t="s">
        <v>941</v>
      </c>
      <c r="B1471" s="42">
        <v>101.94</v>
      </c>
    </row>
    <row r="1472" spans="1:2" x14ac:dyDescent="0.2">
      <c r="A1472" s="40" t="s">
        <v>942</v>
      </c>
      <c r="B1472" s="42">
        <v>100.28</v>
      </c>
    </row>
    <row r="1473" spans="1:2" x14ac:dyDescent="0.2">
      <c r="A1473" s="41">
        <v>40943</v>
      </c>
      <c r="B1473" s="42">
        <v>100.38</v>
      </c>
    </row>
    <row r="1474" spans="1:2" x14ac:dyDescent="0.2">
      <c r="A1474" s="41">
        <v>40972</v>
      </c>
      <c r="B1474" s="42">
        <v>98.37</v>
      </c>
    </row>
    <row r="1475" spans="1:2" x14ac:dyDescent="0.2">
      <c r="A1475" s="41">
        <v>41003</v>
      </c>
      <c r="B1475" s="42">
        <v>99.73</v>
      </c>
    </row>
    <row r="1476" spans="1:2" x14ac:dyDescent="0.2">
      <c r="A1476" s="41">
        <v>41033</v>
      </c>
      <c r="B1476" s="42">
        <v>99.47</v>
      </c>
    </row>
    <row r="1477" spans="1:2" x14ac:dyDescent="0.2">
      <c r="A1477" s="41">
        <v>41156</v>
      </c>
      <c r="B1477" s="42">
        <v>104.59</v>
      </c>
    </row>
    <row r="1478" spans="1:2" x14ac:dyDescent="0.2">
      <c r="A1478" s="41">
        <v>41186</v>
      </c>
      <c r="B1478" s="42">
        <v>109.13</v>
      </c>
    </row>
    <row r="1479" spans="1:2" x14ac:dyDescent="0.2">
      <c r="A1479" s="41">
        <v>41217</v>
      </c>
      <c r="B1479" s="42">
        <v>111.19</v>
      </c>
    </row>
    <row r="1480" spans="1:2" x14ac:dyDescent="0.2">
      <c r="A1480" s="41">
        <v>41247</v>
      </c>
      <c r="B1480" s="42">
        <v>104.27</v>
      </c>
    </row>
    <row r="1481" spans="1:2" x14ac:dyDescent="0.2">
      <c r="A1481" s="40" t="s">
        <v>943</v>
      </c>
      <c r="B1481" s="42">
        <v>110.76</v>
      </c>
    </row>
    <row r="1482" spans="1:2" x14ac:dyDescent="0.2">
      <c r="A1482" s="40" t="s">
        <v>944</v>
      </c>
      <c r="B1482" s="42">
        <v>110.97</v>
      </c>
    </row>
    <row r="1483" spans="1:2" x14ac:dyDescent="0.2">
      <c r="A1483" s="40" t="s">
        <v>945</v>
      </c>
      <c r="B1483" s="42">
        <v>107.01</v>
      </c>
    </row>
    <row r="1484" spans="1:2" x14ac:dyDescent="0.2">
      <c r="A1484" s="40" t="s">
        <v>946</v>
      </c>
      <c r="B1484" s="42">
        <v>106.06</v>
      </c>
    </row>
    <row r="1485" spans="1:2" x14ac:dyDescent="0.2">
      <c r="A1485" s="40" t="s">
        <v>947</v>
      </c>
      <c r="B1485" s="42">
        <v>103.96</v>
      </c>
    </row>
    <row r="1486" spans="1:2" x14ac:dyDescent="0.2">
      <c r="A1486" s="40" t="s">
        <v>948</v>
      </c>
      <c r="B1486" s="42">
        <v>101.08</v>
      </c>
    </row>
    <row r="1487" spans="1:2" x14ac:dyDescent="0.2">
      <c r="A1487" s="40" t="s">
        <v>949</v>
      </c>
      <c r="B1487" s="42">
        <v>104.01</v>
      </c>
    </row>
    <row r="1488" spans="1:2" x14ac:dyDescent="0.2">
      <c r="A1488" s="40" t="s">
        <v>950</v>
      </c>
      <c r="B1488" s="42">
        <v>99.84</v>
      </c>
    </row>
    <row r="1489" spans="1:2" x14ac:dyDescent="0.2">
      <c r="A1489" s="40" t="s">
        <v>951</v>
      </c>
      <c r="B1489" s="42">
        <v>93.28</v>
      </c>
    </row>
    <row r="1490" spans="1:2" x14ac:dyDescent="0.2">
      <c r="A1490" s="40" t="s">
        <v>952</v>
      </c>
      <c r="B1490" s="42">
        <v>89.65</v>
      </c>
    </row>
    <row r="1491" spans="1:2" x14ac:dyDescent="0.2">
      <c r="A1491" s="40" t="s">
        <v>953</v>
      </c>
      <c r="B1491" s="42">
        <v>88.62</v>
      </c>
    </row>
    <row r="1492" spans="1:2" x14ac:dyDescent="0.2">
      <c r="A1492" s="40" t="s">
        <v>954</v>
      </c>
      <c r="B1492" s="42">
        <v>89.32</v>
      </c>
    </row>
    <row r="1493" spans="1:2" x14ac:dyDescent="0.2">
      <c r="A1493" s="41">
        <v>40913</v>
      </c>
      <c r="B1493" s="42">
        <v>87.06</v>
      </c>
    </row>
    <row r="1494" spans="1:2" x14ac:dyDescent="0.2">
      <c r="A1494" s="41">
        <v>40944</v>
      </c>
      <c r="B1494" s="42">
        <v>86.29</v>
      </c>
    </row>
    <row r="1495" spans="1:2" x14ac:dyDescent="0.2">
      <c r="A1495" s="41">
        <v>40973</v>
      </c>
      <c r="B1495" s="42">
        <v>88.35</v>
      </c>
    </row>
    <row r="1496" spans="1:2" x14ac:dyDescent="0.2">
      <c r="A1496" s="41">
        <v>41004</v>
      </c>
      <c r="B1496" s="42">
        <v>91.31</v>
      </c>
    </row>
    <row r="1497" spans="1:2" x14ac:dyDescent="0.2">
      <c r="A1497" s="41">
        <v>41095</v>
      </c>
      <c r="B1497" s="42">
        <v>90.91</v>
      </c>
    </row>
    <row r="1498" spans="1:2" x14ac:dyDescent="0.2">
      <c r="A1498" s="41">
        <v>41126</v>
      </c>
      <c r="B1498" s="42">
        <v>91.33</v>
      </c>
    </row>
    <row r="1499" spans="1:2" x14ac:dyDescent="0.2">
      <c r="A1499" s="41">
        <v>41157</v>
      </c>
      <c r="B1499" s="42">
        <v>102.07</v>
      </c>
    </row>
    <row r="1500" spans="1:2" x14ac:dyDescent="0.2">
      <c r="A1500" s="41">
        <v>41187</v>
      </c>
      <c r="B1500" s="42">
        <v>98.65</v>
      </c>
    </row>
    <row r="1501" spans="1:2" x14ac:dyDescent="0.2">
      <c r="A1501" s="41">
        <v>41218</v>
      </c>
      <c r="B1501" s="42">
        <v>100.12</v>
      </c>
    </row>
    <row r="1502" spans="1:2" x14ac:dyDescent="0.2">
      <c r="A1502" s="40" t="s">
        <v>955</v>
      </c>
      <c r="B1502" s="42">
        <v>105.85</v>
      </c>
    </row>
    <row r="1503" spans="1:2" x14ac:dyDescent="0.2">
      <c r="A1503" s="40" t="s">
        <v>956</v>
      </c>
      <c r="B1503" s="42">
        <v>109.61</v>
      </c>
    </row>
    <row r="1504" spans="1:2" x14ac:dyDescent="0.2">
      <c r="A1504" s="40" t="s">
        <v>957</v>
      </c>
      <c r="B1504" s="42">
        <v>109.22</v>
      </c>
    </row>
    <row r="1505" spans="1:2" x14ac:dyDescent="0.2">
      <c r="A1505" s="40" t="s">
        <v>958</v>
      </c>
      <c r="B1505" s="42">
        <v>112.84</v>
      </c>
    </row>
    <row r="1506" spans="1:2" x14ac:dyDescent="0.2">
      <c r="A1506" s="40" t="s">
        <v>959</v>
      </c>
      <c r="B1506" s="42">
        <v>117.44</v>
      </c>
    </row>
    <row r="1507" spans="1:2" x14ac:dyDescent="0.2">
      <c r="A1507" s="40" t="s">
        <v>960</v>
      </c>
      <c r="B1507" s="42">
        <v>108.5</v>
      </c>
    </row>
    <row r="1508" spans="1:2" x14ac:dyDescent="0.2">
      <c r="A1508" s="40" t="s">
        <v>961</v>
      </c>
      <c r="B1508" s="42">
        <v>110.48</v>
      </c>
    </row>
    <row r="1509" spans="1:2" x14ac:dyDescent="0.2">
      <c r="A1509" s="40" t="s">
        <v>962</v>
      </c>
      <c r="B1509" s="42">
        <v>107.48</v>
      </c>
    </row>
    <row r="1510" spans="1:2" x14ac:dyDescent="0.2">
      <c r="A1510" s="40" t="s">
        <v>963</v>
      </c>
      <c r="B1510" s="42">
        <v>104.52</v>
      </c>
    </row>
    <row r="1511" spans="1:2" x14ac:dyDescent="0.2">
      <c r="A1511" s="40" t="s">
        <v>964</v>
      </c>
      <c r="B1511" s="42">
        <v>103.1</v>
      </c>
    </row>
    <row r="1512" spans="1:2" x14ac:dyDescent="0.2">
      <c r="A1512" s="40" t="s">
        <v>965</v>
      </c>
      <c r="B1512" s="42">
        <v>100.98</v>
      </c>
    </row>
    <row r="1513" spans="1:2" x14ac:dyDescent="0.2">
      <c r="A1513" s="40" t="s">
        <v>966</v>
      </c>
      <c r="B1513" s="42">
        <v>109.73</v>
      </c>
    </row>
    <row r="1514" spans="1:2" x14ac:dyDescent="0.2">
      <c r="A1514" s="40" t="s">
        <v>967</v>
      </c>
      <c r="B1514" s="42">
        <v>108.75</v>
      </c>
    </row>
    <row r="1515" spans="1:2" x14ac:dyDescent="0.2">
      <c r="A1515" s="41">
        <v>40914</v>
      </c>
      <c r="B1515" s="42">
        <v>111.41</v>
      </c>
    </row>
    <row r="1516" spans="1:2" x14ac:dyDescent="0.2">
      <c r="A1516" s="41">
        <v>41005</v>
      </c>
      <c r="B1516" s="42">
        <v>107.04</v>
      </c>
    </row>
    <row r="1517" spans="1:2" x14ac:dyDescent="0.2">
      <c r="A1517" s="41">
        <v>41035</v>
      </c>
      <c r="B1517" s="42">
        <v>102.78</v>
      </c>
    </row>
    <row r="1518" spans="1:2" x14ac:dyDescent="0.2">
      <c r="A1518" s="41">
        <v>41066</v>
      </c>
      <c r="B1518" s="42">
        <v>97.71</v>
      </c>
    </row>
    <row r="1519" spans="1:2" x14ac:dyDescent="0.2">
      <c r="A1519" s="41">
        <v>41096</v>
      </c>
      <c r="B1519" s="42">
        <v>98.36</v>
      </c>
    </row>
    <row r="1520" spans="1:2" x14ac:dyDescent="0.2">
      <c r="A1520" s="41">
        <v>41127</v>
      </c>
      <c r="B1520" s="42">
        <v>96.6</v>
      </c>
    </row>
    <row r="1521" spans="1:2" x14ac:dyDescent="0.2">
      <c r="A1521" s="41">
        <v>41219</v>
      </c>
      <c r="B1521" s="42">
        <v>105.51</v>
      </c>
    </row>
    <row r="1522" spans="1:2" x14ac:dyDescent="0.2">
      <c r="A1522" s="41">
        <v>41249</v>
      </c>
      <c r="B1522" s="42">
        <v>103.22</v>
      </c>
    </row>
    <row r="1523" spans="1:2" x14ac:dyDescent="0.2">
      <c r="A1523" s="40" t="s">
        <v>968</v>
      </c>
      <c r="B1523" s="42">
        <v>110.6</v>
      </c>
    </row>
    <row r="1524" spans="1:2" x14ac:dyDescent="0.2">
      <c r="A1524" s="40" t="s">
        <v>969</v>
      </c>
      <c r="B1524" s="42">
        <v>107.78</v>
      </c>
    </row>
    <row r="1525" spans="1:2" x14ac:dyDescent="0.2">
      <c r="A1525" s="40" t="s">
        <v>970</v>
      </c>
      <c r="B1525" s="42">
        <v>108.23</v>
      </c>
    </row>
    <row r="1526" spans="1:2" x14ac:dyDescent="0.2">
      <c r="A1526" s="40" t="s">
        <v>971</v>
      </c>
      <c r="B1526" s="42">
        <v>99.3</v>
      </c>
    </row>
    <row r="1527" spans="1:2" x14ac:dyDescent="0.2">
      <c r="A1527" s="40" t="s">
        <v>972</v>
      </c>
      <c r="B1527" s="42">
        <v>98.13</v>
      </c>
    </row>
    <row r="1528" spans="1:2" x14ac:dyDescent="0.2">
      <c r="A1528" s="40" t="s">
        <v>973</v>
      </c>
      <c r="B1528" s="42">
        <v>96.41</v>
      </c>
    </row>
    <row r="1529" spans="1:2" x14ac:dyDescent="0.2">
      <c r="A1529" s="40" t="s">
        <v>974</v>
      </c>
      <c r="B1529" s="42">
        <v>105.47</v>
      </c>
    </row>
    <row r="1530" spans="1:2" x14ac:dyDescent="0.2">
      <c r="A1530" s="40" t="s">
        <v>975</v>
      </c>
      <c r="B1530" s="42">
        <v>104.13</v>
      </c>
    </row>
    <row r="1531" spans="1:2" x14ac:dyDescent="0.2">
      <c r="A1531" s="40" t="s">
        <v>976</v>
      </c>
      <c r="B1531" s="42">
        <v>104.46</v>
      </c>
    </row>
    <row r="1532" spans="1:2" x14ac:dyDescent="0.2">
      <c r="A1532" s="40" t="s">
        <v>977</v>
      </c>
      <c r="B1532" s="42">
        <v>100.66</v>
      </c>
    </row>
    <row r="1533" spans="1:2" x14ac:dyDescent="0.2">
      <c r="A1533" s="40" t="s">
        <v>978</v>
      </c>
      <c r="B1533" s="42">
        <v>98.11</v>
      </c>
    </row>
    <row r="1534" spans="1:2" x14ac:dyDescent="0.2">
      <c r="A1534" s="40" t="s">
        <v>979</v>
      </c>
      <c r="B1534" s="42">
        <v>97.21</v>
      </c>
    </row>
    <row r="1535" spans="1:2" x14ac:dyDescent="0.2">
      <c r="A1535" s="40" t="s">
        <v>980</v>
      </c>
      <c r="B1535" s="42">
        <v>89.59</v>
      </c>
    </row>
    <row r="1536" spans="1:2" x14ac:dyDescent="0.2">
      <c r="A1536" s="41">
        <v>40946</v>
      </c>
      <c r="B1536" s="42">
        <v>85.61</v>
      </c>
    </row>
    <row r="1537" spans="1:2" x14ac:dyDescent="0.2">
      <c r="A1537" s="41">
        <v>40975</v>
      </c>
      <c r="B1537" s="42">
        <v>84.59</v>
      </c>
    </row>
    <row r="1538" spans="1:2" x14ac:dyDescent="0.2">
      <c r="A1538" s="41">
        <v>41036</v>
      </c>
      <c r="B1538" s="42">
        <v>89.43</v>
      </c>
    </row>
    <row r="1539" spans="1:2" x14ac:dyDescent="0.2">
      <c r="A1539" s="41">
        <v>41067</v>
      </c>
      <c r="B1539" s="42">
        <v>90.1</v>
      </c>
    </row>
    <row r="1540" spans="1:2" x14ac:dyDescent="0.2">
      <c r="A1540" s="41">
        <v>41159</v>
      </c>
      <c r="B1540" s="42">
        <v>92.85</v>
      </c>
    </row>
    <row r="1541" spans="1:2" x14ac:dyDescent="0.2">
      <c r="A1541" s="41">
        <v>41189</v>
      </c>
      <c r="B1541" s="42">
        <v>94.91</v>
      </c>
    </row>
    <row r="1542" spans="1:2" x14ac:dyDescent="0.2">
      <c r="A1542" s="41">
        <v>41220</v>
      </c>
      <c r="B1542" s="42">
        <v>96.25</v>
      </c>
    </row>
    <row r="1543" spans="1:2" x14ac:dyDescent="0.2">
      <c r="A1543" s="41">
        <v>41250</v>
      </c>
      <c r="B1543" s="42">
        <v>95.22</v>
      </c>
    </row>
    <row r="1544" spans="1:2" x14ac:dyDescent="0.2">
      <c r="A1544" s="40" t="s">
        <v>981</v>
      </c>
      <c r="B1544" s="42">
        <v>91.1</v>
      </c>
    </row>
    <row r="1545" spans="1:2" x14ac:dyDescent="0.2">
      <c r="A1545" s="40" t="s">
        <v>982</v>
      </c>
      <c r="B1545" s="42">
        <v>94.21</v>
      </c>
    </row>
    <row r="1546" spans="1:2" x14ac:dyDescent="0.2">
      <c r="A1546" s="40" t="s">
        <v>983</v>
      </c>
      <c r="B1546" s="42">
        <v>93.49</v>
      </c>
    </row>
    <row r="1547" spans="1:2" x14ac:dyDescent="0.2">
      <c r="A1547" s="40" t="s">
        <v>984</v>
      </c>
      <c r="B1547" s="42">
        <v>94.03</v>
      </c>
    </row>
    <row r="1548" spans="1:2" x14ac:dyDescent="0.2">
      <c r="A1548" s="40" t="s">
        <v>985</v>
      </c>
      <c r="B1548" s="42">
        <v>93.73</v>
      </c>
    </row>
    <row r="1549" spans="1:2" x14ac:dyDescent="0.2">
      <c r="A1549" s="40" t="s">
        <v>986</v>
      </c>
      <c r="B1549" s="42">
        <v>100.61</v>
      </c>
    </row>
    <row r="1550" spans="1:2" x14ac:dyDescent="0.2">
      <c r="A1550" s="40" t="s">
        <v>987</v>
      </c>
      <c r="B1550" s="42">
        <v>107.32</v>
      </c>
    </row>
    <row r="1551" spans="1:2" x14ac:dyDescent="0.2">
      <c r="A1551" s="40" t="s">
        <v>988</v>
      </c>
      <c r="B1551" s="42">
        <v>111.65</v>
      </c>
    </row>
    <row r="1552" spans="1:2" x14ac:dyDescent="0.2">
      <c r="A1552" s="40" t="s">
        <v>989</v>
      </c>
      <c r="B1552" s="42">
        <v>106.53</v>
      </c>
    </row>
    <row r="1553" spans="1:2" x14ac:dyDescent="0.2">
      <c r="A1553" s="40" t="s">
        <v>990</v>
      </c>
      <c r="B1553" s="42">
        <v>98.59</v>
      </c>
    </row>
    <row r="1554" spans="1:2" x14ac:dyDescent="0.2">
      <c r="A1554" s="40" t="s">
        <v>991</v>
      </c>
      <c r="B1554" s="42">
        <v>93.08</v>
      </c>
    </row>
    <row r="1555" spans="1:2" x14ac:dyDescent="0.2">
      <c r="A1555" s="40" t="s">
        <v>992</v>
      </c>
      <c r="B1555" s="42">
        <v>94.74</v>
      </c>
    </row>
    <row r="1556" spans="1:2" x14ac:dyDescent="0.2">
      <c r="A1556" s="40" t="s">
        <v>993</v>
      </c>
      <c r="B1556" s="42">
        <v>96.11</v>
      </c>
    </row>
    <row r="1557" spans="1:2" x14ac:dyDescent="0.2">
      <c r="A1557" s="41">
        <v>40916</v>
      </c>
      <c r="B1557" s="42">
        <v>94.23</v>
      </c>
    </row>
    <row r="1558" spans="1:2" x14ac:dyDescent="0.2">
      <c r="A1558" s="41">
        <v>40947</v>
      </c>
      <c r="B1558" s="42">
        <v>89.63</v>
      </c>
    </row>
    <row r="1559" spans="1:2" x14ac:dyDescent="0.2">
      <c r="A1559" s="41">
        <v>40976</v>
      </c>
      <c r="B1559" s="42">
        <v>84.5</v>
      </c>
    </row>
    <row r="1560" spans="1:2" x14ac:dyDescent="0.2">
      <c r="A1560" s="41">
        <v>41068</v>
      </c>
      <c r="B1560" s="42">
        <v>84.47</v>
      </c>
    </row>
    <row r="1561" spans="1:2" x14ac:dyDescent="0.2">
      <c r="A1561" s="41">
        <v>41098</v>
      </c>
      <c r="B1561" s="42">
        <v>86.87</v>
      </c>
    </row>
    <row r="1562" spans="1:2" x14ac:dyDescent="0.2">
      <c r="A1562" s="41">
        <v>41129</v>
      </c>
      <c r="B1562" s="42">
        <v>85.18</v>
      </c>
    </row>
    <row r="1563" spans="1:2" x14ac:dyDescent="0.2">
      <c r="A1563" s="41">
        <v>41160</v>
      </c>
      <c r="B1563" s="42">
        <v>83.91</v>
      </c>
    </row>
    <row r="1564" spans="1:2" x14ac:dyDescent="0.2">
      <c r="A1564" s="41">
        <v>41190</v>
      </c>
      <c r="B1564" s="42">
        <v>84.83</v>
      </c>
    </row>
    <row r="1565" spans="1:2" x14ac:dyDescent="0.2">
      <c r="A1565" s="40" t="s">
        <v>994</v>
      </c>
      <c r="B1565" s="42">
        <v>89.58</v>
      </c>
    </row>
    <row r="1566" spans="1:2" x14ac:dyDescent="0.2">
      <c r="A1566" s="40" t="s">
        <v>995</v>
      </c>
      <c r="B1566" s="42">
        <v>94.33</v>
      </c>
    </row>
    <row r="1567" spans="1:2" x14ac:dyDescent="0.2">
      <c r="A1567" s="40" t="s">
        <v>996</v>
      </c>
      <c r="B1567" s="42">
        <v>97.95</v>
      </c>
    </row>
    <row r="1568" spans="1:2" x14ac:dyDescent="0.2">
      <c r="A1568" s="40" t="s">
        <v>997</v>
      </c>
      <c r="B1568" s="42">
        <v>95.65</v>
      </c>
    </row>
    <row r="1569" spans="1:2" x14ac:dyDescent="0.2">
      <c r="A1569" s="40" t="s">
        <v>998</v>
      </c>
      <c r="B1569" s="42">
        <v>95.02</v>
      </c>
    </row>
    <row r="1570" spans="1:2" x14ac:dyDescent="0.2">
      <c r="A1570" s="40" t="s">
        <v>999</v>
      </c>
      <c r="B1570" s="42">
        <v>96.64</v>
      </c>
    </row>
    <row r="1571" spans="1:2" x14ac:dyDescent="0.2">
      <c r="A1571" s="40" t="s">
        <v>1000</v>
      </c>
      <c r="B1571" s="42">
        <v>97.41</v>
      </c>
    </row>
    <row r="1572" spans="1:2" x14ac:dyDescent="0.2">
      <c r="A1572" s="40" t="s">
        <v>1001</v>
      </c>
      <c r="B1572" s="42">
        <v>99.14</v>
      </c>
    </row>
    <row r="1573" spans="1:2" x14ac:dyDescent="0.2">
      <c r="A1573" s="40" t="s">
        <v>1002</v>
      </c>
      <c r="B1573" s="42">
        <v>98.4</v>
      </c>
    </row>
    <row r="1574" spans="1:2" x14ac:dyDescent="0.2">
      <c r="A1574" s="40" t="s">
        <v>1003</v>
      </c>
      <c r="B1574" s="42">
        <v>94.99</v>
      </c>
    </row>
    <row r="1575" spans="1:2" x14ac:dyDescent="0.2">
      <c r="A1575" s="40" t="s">
        <v>1004</v>
      </c>
      <c r="B1575" s="42">
        <v>94.89</v>
      </c>
    </row>
    <row r="1576" spans="1:2" x14ac:dyDescent="0.2">
      <c r="A1576" s="40" t="s">
        <v>1005</v>
      </c>
      <c r="B1576" s="42">
        <v>94.43</v>
      </c>
    </row>
    <row r="1577" spans="1:2" x14ac:dyDescent="0.2">
      <c r="A1577" s="40" t="s">
        <v>1006</v>
      </c>
      <c r="B1577" s="42">
        <v>94.71</v>
      </c>
    </row>
    <row r="1578" spans="1:2" x14ac:dyDescent="0.2">
      <c r="A1578" s="40" t="s">
        <v>1007</v>
      </c>
      <c r="B1578" s="42">
        <v>96.33</v>
      </c>
    </row>
    <row r="1579" spans="1:2" x14ac:dyDescent="0.2">
      <c r="A1579" s="40" t="s">
        <v>1008</v>
      </c>
      <c r="B1579" s="42">
        <v>93.3</v>
      </c>
    </row>
    <row r="1580" spans="1:2" x14ac:dyDescent="0.2">
      <c r="A1580" s="41">
        <v>41008</v>
      </c>
      <c r="B1580" s="42">
        <v>93.71</v>
      </c>
    </row>
    <row r="1581" spans="1:2" x14ac:dyDescent="0.2">
      <c r="A1581" s="41">
        <v>41038</v>
      </c>
      <c r="B1581" s="42">
        <v>90.15</v>
      </c>
    </row>
    <row r="1582" spans="1:2" x14ac:dyDescent="0.2">
      <c r="A1582" s="41">
        <v>41069</v>
      </c>
      <c r="B1582" s="42">
        <v>83.65</v>
      </c>
    </row>
    <row r="1583" spans="1:2" x14ac:dyDescent="0.2">
      <c r="A1583" s="41">
        <v>41099</v>
      </c>
      <c r="B1583" s="42">
        <v>82.24</v>
      </c>
    </row>
    <row r="1584" spans="1:2" x14ac:dyDescent="0.2">
      <c r="A1584" s="41">
        <v>41191</v>
      </c>
      <c r="B1584" s="42">
        <v>92.77</v>
      </c>
    </row>
    <row r="1585" spans="1:2" x14ac:dyDescent="0.2">
      <c r="A1585" s="41">
        <v>41222</v>
      </c>
      <c r="B1585" s="42">
        <v>92.39</v>
      </c>
    </row>
    <row r="1586" spans="1:2" x14ac:dyDescent="0.2">
      <c r="A1586" s="41">
        <v>41252</v>
      </c>
      <c r="B1586" s="42">
        <v>93.94</v>
      </c>
    </row>
    <row r="1587" spans="1:2" x14ac:dyDescent="0.2">
      <c r="A1587" s="40" t="s">
        <v>1009</v>
      </c>
      <c r="B1587" s="42">
        <v>87.81</v>
      </c>
    </row>
    <row r="1588" spans="1:2" x14ac:dyDescent="0.2">
      <c r="A1588" s="40" t="s">
        <v>1010</v>
      </c>
      <c r="B1588" s="42">
        <v>93.04</v>
      </c>
    </row>
    <row r="1589" spans="1:2" x14ac:dyDescent="0.2">
      <c r="A1589" s="40" t="s">
        <v>1011</v>
      </c>
      <c r="B1589" s="42">
        <v>92.95</v>
      </c>
    </row>
    <row r="1590" spans="1:2" x14ac:dyDescent="0.2">
      <c r="A1590" s="40" t="s">
        <v>1012</v>
      </c>
      <c r="B1590" s="42">
        <v>90.13</v>
      </c>
    </row>
    <row r="1591" spans="1:2" x14ac:dyDescent="0.2">
      <c r="A1591" s="40" t="s">
        <v>1013</v>
      </c>
      <c r="B1591" s="42">
        <v>88.61</v>
      </c>
    </row>
    <row r="1592" spans="1:2" x14ac:dyDescent="0.2">
      <c r="A1592" s="40" t="s">
        <v>1014</v>
      </c>
      <c r="B1592" s="42">
        <v>88.72</v>
      </c>
    </row>
    <row r="1593" spans="1:2" x14ac:dyDescent="0.2">
      <c r="A1593" s="40" t="s">
        <v>1015</v>
      </c>
      <c r="B1593" s="42">
        <v>87.9</v>
      </c>
    </row>
    <row r="1594" spans="1:2" x14ac:dyDescent="0.2">
      <c r="A1594" s="40" t="s">
        <v>1016</v>
      </c>
      <c r="B1594" s="42">
        <v>85.88</v>
      </c>
    </row>
    <row r="1595" spans="1:2" x14ac:dyDescent="0.2">
      <c r="A1595" s="40" t="s">
        <v>1017</v>
      </c>
      <c r="B1595" s="42">
        <v>92.79</v>
      </c>
    </row>
    <row r="1596" spans="1:2" x14ac:dyDescent="0.2">
      <c r="A1596" s="40" t="s">
        <v>1018</v>
      </c>
      <c r="B1596" s="42">
        <v>95.05</v>
      </c>
    </row>
    <row r="1597" spans="1:2" x14ac:dyDescent="0.2">
      <c r="A1597" s="40" t="s">
        <v>1019</v>
      </c>
      <c r="B1597" s="42">
        <v>88.24</v>
      </c>
    </row>
    <row r="1598" spans="1:2" x14ac:dyDescent="0.2">
      <c r="A1598" s="40" t="s">
        <v>1020</v>
      </c>
      <c r="B1598" s="42">
        <v>90.49</v>
      </c>
    </row>
    <row r="1599" spans="1:2" x14ac:dyDescent="0.2">
      <c r="A1599" s="41">
        <v>40918</v>
      </c>
      <c r="B1599" s="42">
        <v>92.51</v>
      </c>
    </row>
    <row r="1600" spans="1:2" x14ac:dyDescent="0.2">
      <c r="A1600" s="41">
        <v>40949</v>
      </c>
      <c r="B1600" s="42">
        <v>90.25</v>
      </c>
    </row>
    <row r="1601" spans="1:2" x14ac:dyDescent="0.2">
      <c r="A1601" s="41">
        <v>40978</v>
      </c>
      <c r="B1601" s="42">
        <v>87.56</v>
      </c>
    </row>
    <row r="1602" spans="1:2" x14ac:dyDescent="0.2">
      <c r="A1602" s="41">
        <v>41009</v>
      </c>
      <c r="B1602" s="42">
        <v>83.51</v>
      </c>
    </row>
    <row r="1603" spans="1:2" x14ac:dyDescent="0.2">
      <c r="A1603" s="41">
        <v>41039</v>
      </c>
      <c r="B1603" s="42">
        <v>83.1</v>
      </c>
    </row>
    <row r="1604" spans="1:2" x14ac:dyDescent="0.2">
      <c r="A1604" s="41">
        <v>41131</v>
      </c>
      <c r="B1604" s="42">
        <v>85.85</v>
      </c>
    </row>
    <row r="1605" spans="1:2" x14ac:dyDescent="0.2">
      <c r="A1605" s="41">
        <v>41162</v>
      </c>
      <c r="B1605" s="42">
        <v>88.53</v>
      </c>
    </row>
    <row r="1606" spans="1:2" x14ac:dyDescent="0.2">
      <c r="A1606" s="41">
        <v>41192</v>
      </c>
      <c r="B1606" s="42">
        <v>94.36</v>
      </c>
    </row>
    <row r="1607" spans="1:2" x14ac:dyDescent="0.2">
      <c r="A1607" s="41">
        <v>41223</v>
      </c>
      <c r="B1607" s="42">
        <v>90.74</v>
      </c>
    </row>
    <row r="1608" spans="1:2" x14ac:dyDescent="0.2">
      <c r="A1608" s="41">
        <v>41253</v>
      </c>
      <c r="B1608" s="42">
        <v>91.87</v>
      </c>
    </row>
    <row r="1609" spans="1:2" x14ac:dyDescent="0.2">
      <c r="A1609" s="40" t="s">
        <v>1021</v>
      </c>
      <c r="B1609" s="42">
        <v>92.92</v>
      </c>
    </row>
    <row r="1610" spans="1:2" x14ac:dyDescent="0.2">
      <c r="A1610" s="40" t="s">
        <v>1022</v>
      </c>
      <c r="B1610" s="42">
        <v>90.31</v>
      </c>
    </row>
    <row r="1611" spans="1:2" x14ac:dyDescent="0.2">
      <c r="A1611" s="40" t="s">
        <v>1023</v>
      </c>
      <c r="B1611" s="42">
        <v>85.6</v>
      </c>
    </row>
    <row r="1612" spans="1:2" x14ac:dyDescent="0.2">
      <c r="A1612" s="40" t="s">
        <v>1024</v>
      </c>
      <c r="B1612" s="42">
        <v>86.51</v>
      </c>
    </row>
    <row r="1613" spans="1:2" x14ac:dyDescent="0.2">
      <c r="A1613" s="40" t="s">
        <v>1025</v>
      </c>
      <c r="B1613" s="42">
        <v>92.63</v>
      </c>
    </row>
    <row r="1614" spans="1:2" x14ac:dyDescent="0.2">
      <c r="A1614" s="40" t="s">
        <v>1026</v>
      </c>
      <c r="B1614" s="42">
        <v>92.48</v>
      </c>
    </row>
    <row r="1615" spans="1:2" x14ac:dyDescent="0.2">
      <c r="A1615" s="40" t="s">
        <v>1027</v>
      </c>
      <c r="B1615" s="42">
        <v>99.66</v>
      </c>
    </row>
    <row r="1616" spans="1:2" x14ac:dyDescent="0.2">
      <c r="A1616" s="40" t="s">
        <v>1028</v>
      </c>
      <c r="B1616" s="42">
        <v>96.39</v>
      </c>
    </row>
    <row r="1617" spans="1:2" x14ac:dyDescent="0.2">
      <c r="A1617" s="40" t="s">
        <v>1029</v>
      </c>
      <c r="B1617" s="42">
        <v>91.86</v>
      </c>
    </row>
    <row r="1618" spans="1:2" x14ac:dyDescent="0.2">
      <c r="A1618" s="40" t="s">
        <v>1030</v>
      </c>
      <c r="B1618" s="42">
        <v>89.43</v>
      </c>
    </row>
    <row r="1619" spans="1:2" x14ac:dyDescent="0.2">
      <c r="A1619" s="40" t="s">
        <v>1031</v>
      </c>
      <c r="B1619" s="42">
        <v>90.23</v>
      </c>
    </row>
    <row r="1620" spans="1:2" x14ac:dyDescent="0.2">
      <c r="A1620" s="41">
        <v>40919</v>
      </c>
      <c r="B1620" s="42">
        <v>81.7</v>
      </c>
    </row>
    <row r="1621" spans="1:2" x14ac:dyDescent="0.2">
      <c r="A1621" s="41">
        <v>40950</v>
      </c>
      <c r="B1621" s="42">
        <v>87.84</v>
      </c>
    </row>
    <row r="1622" spans="1:2" x14ac:dyDescent="0.2">
      <c r="A1622" s="41">
        <v>41040</v>
      </c>
      <c r="B1622" s="42">
        <v>90.75</v>
      </c>
    </row>
    <row r="1623" spans="1:2" x14ac:dyDescent="0.2">
      <c r="A1623" s="41">
        <v>41071</v>
      </c>
      <c r="B1623" s="42">
        <v>87.56</v>
      </c>
    </row>
    <row r="1624" spans="1:2" x14ac:dyDescent="0.2">
      <c r="A1624" s="41">
        <v>41101</v>
      </c>
      <c r="B1624" s="42">
        <v>94.75</v>
      </c>
    </row>
    <row r="1625" spans="1:2" x14ac:dyDescent="0.2">
      <c r="A1625" s="41">
        <v>41132</v>
      </c>
      <c r="B1625" s="42">
        <v>93.39</v>
      </c>
    </row>
    <row r="1626" spans="1:2" x14ac:dyDescent="0.2">
      <c r="A1626" s="41">
        <v>41163</v>
      </c>
      <c r="B1626" s="42">
        <v>94.02</v>
      </c>
    </row>
    <row r="1627" spans="1:2" x14ac:dyDescent="0.2">
      <c r="A1627" s="41">
        <v>41254</v>
      </c>
      <c r="B1627" s="42">
        <v>90.54</v>
      </c>
    </row>
    <row r="1628" spans="1:2" x14ac:dyDescent="0.2">
      <c r="A1628" s="40" t="s">
        <v>1032</v>
      </c>
      <c r="B1628" s="42">
        <v>87.84</v>
      </c>
    </row>
    <row r="1629" spans="1:2" x14ac:dyDescent="0.2">
      <c r="A1629" s="40" t="s">
        <v>1033</v>
      </c>
      <c r="B1629" s="42">
        <v>94.66</v>
      </c>
    </row>
    <row r="1630" spans="1:2" x14ac:dyDescent="0.2">
      <c r="A1630" s="40" t="s">
        <v>1034</v>
      </c>
      <c r="B1630" s="42">
        <v>94.54</v>
      </c>
    </row>
    <row r="1631" spans="1:2" x14ac:dyDescent="0.2">
      <c r="A1631" s="40" t="s">
        <v>1035</v>
      </c>
      <c r="B1631" s="42">
        <v>90.27</v>
      </c>
    </row>
    <row r="1632" spans="1:2" x14ac:dyDescent="0.2">
      <c r="A1632" s="40" t="s">
        <v>1036</v>
      </c>
      <c r="B1632" s="42">
        <v>88.43</v>
      </c>
    </row>
    <row r="1633" spans="1:2" x14ac:dyDescent="0.2">
      <c r="A1633" s="40" t="s">
        <v>1037</v>
      </c>
      <c r="B1633" s="42">
        <v>85.93</v>
      </c>
    </row>
    <row r="1634" spans="1:2" x14ac:dyDescent="0.2">
      <c r="A1634" s="40" t="s">
        <v>1038</v>
      </c>
      <c r="B1634" s="42">
        <v>85.85</v>
      </c>
    </row>
    <row r="1635" spans="1:2" x14ac:dyDescent="0.2">
      <c r="A1635" s="40" t="s">
        <v>1039</v>
      </c>
      <c r="B1635" s="42">
        <v>82.86</v>
      </c>
    </row>
    <row r="1636" spans="1:2" x14ac:dyDescent="0.2">
      <c r="A1636" s="40" t="s">
        <v>1040</v>
      </c>
      <c r="B1636" s="42">
        <v>82.45</v>
      </c>
    </row>
    <row r="1637" spans="1:2" x14ac:dyDescent="0.2">
      <c r="A1637" s="40" t="s">
        <v>1041</v>
      </c>
      <c r="B1637" s="42">
        <v>84.17</v>
      </c>
    </row>
    <row r="1638" spans="1:2" x14ac:dyDescent="0.2">
      <c r="A1638" s="40" t="s">
        <v>1042</v>
      </c>
      <c r="B1638" s="42">
        <v>80.39</v>
      </c>
    </row>
    <row r="1639" spans="1:2" x14ac:dyDescent="0.2">
      <c r="A1639" s="40" t="s">
        <v>1043</v>
      </c>
      <c r="B1639" s="42">
        <v>78.42</v>
      </c>
    </row>
    <row r="1640" spans="1:2" x14ac:dyDescent="0.2">
      <c r="A1640" s="40" t="s">
        <v>1044</v>
      </c>
      <c r="B1640" s="42">
        <v>78.59</v>
      </c>
    </row>
    <row r="1641" spans="1:2" x14ac:dyDescent="0.2">
      <c r="A1641" s="41">
        <v>40980</v>
      </c>
      <c r="B1641" s="42">
        <v>84.07</v>
      </c>
    </row>
    <row r="1642" spans="1:2" x14ac:dyDescent="0.2">
      <c r="A1642" s="41">
        <v>41011</v>
      </c>
      <c r="B1642" s="42">
        <v>86.18</v>
      </c>
    </row>
    <row r="1643" spans="1:2" x14ac:dyDescent="0.2">
      <c r="A1643" s="41">
        <v>41041</v>
      </c>
      <c r="B1643" s="42">
        <v>82.98</v>
      </c>
    </row>
    <row r="1644" spans="1:2" x14ac:dyDescent="0.2">
      <c r="A1644" s="41">
        <v>41072</v>
      </c>
      <c r="B1644" s="42">
        <v>84.15</v>
      </c>
    </row>
    <row r="1645" spans="1:2" x14ac:dyDescent="0.2">
      <c r="A1645" s="41">
        <v>41102</v>
      </c>
      <c r="B1645" s="42">
        <v>80.739999999999995</v>
      </c>
    </row>
    <row r="1646" spans="1:2" x14ac:dyDescent="0.2">
      <c r="A1646" s="41">
        <v>41194</v>
      </c>
      <c r="B1646" s="42">
        <v>81.56</v>
      </c>
    </row>
    <row r="1647" spans="1:2" x14ac:dyDescent="0.2">
      <c r="A1647" s="41">
        <v>41225</v>
      </c>
      <c r="B1647" s="42">
        <v>78.7</v>
      </c>
    </row>
    <row r="1648" spans="1:2" x14ac:dyDescent="0.2">
      <c r="A1648" s="41">
        <v>41255</v>
      </c>
      <c r="B1648" s="42">
        <v>83.02</v>
      </c>
    </row>
    <row r="1649" spans="1:2" x14ac:dyDescent="0.2">
      <c r="A1649" s="40" t="s">
        <v>1045</v>
      </c>
      <c r="B1649" s="42">
        <v>86.74</v>
      </c>
    </row>
    <row r="1650" spans="1:2" x14ac:dyDescent="0.2">
      <c r="A1650" s="40" t="s">
        <v>1046</v>
      </c>
      <c r="B1650" s="42">
        <v>86.39</v>
      </c>
    </row>
    <row r="1651" spans="1:2" x14ac:dyDescent="0.2">
      <c r="A1651" s="40" t="s">
        <v>1047</v>
      </c>
      <c r="B1651" s="42">
        <v>82.1</v>
      </c>
    </row>
    <row r="1652" spans="1:2" x14ac:dyDescent="0.2">
      <c r="A1652" s="40" t="s">
        <v>1048</v>
      </c>
      <c r="B1652" s="42">
        <v>79.36</v>
      </c>
    </row>
    <row r="1653" spans="1:2" x14ac:dyDescent="0.2">
      <c r="A1653" s="40" t="s">
        <v>1049</v>
      </c>
      <c r="B1653" s="42">
        <v>83.33</v>
      </c>
    </row>
    <row r="1654" spans="1:2" x14ac:dyDescent="0.2">
      <c r="A1654" s="40" t="s">
        <v>1050</v>
      </c>
      <c r="B1654" s="42">
        <v>83.06</v>
      </c>
    </row>
    <row r="1655" spans="1:2" x14ac:dyDescent="0.2">
      <c r="A1655" s="40" t="s">
        <v>1051</v>
      </c>
      <c r="B1655" s="42">
        <v>87.7</v>
      </c>
    </row>
    <row r="1656" spans="1:2" x14ac:dyDescent="0.2">
      <c r="A1656" s="40" t="s">
        <v>1052</v>
      </c>
      <c r="B1656" s="42">
        <v>89.27</v>
      </c>
    </row>
    <row r="1657" spans="1:2" x14ac:dyDescent="0.2">
      <c r="A1657" s="40" t="s">
        <v>1053</v>
      </c>
      <c r="B1657" s="42">
        <v>92.17</v>
      </c>
    </row>
    <row r="1658" spans="1:2" x14ac:dyDescent="0.2">
      <c r="A1658" s="40" t="s">
        <v>1054</v>
      </c>
      <c r="B1658" s="42">
        <v>90.89</v>
      </c>
    </row>
    <row r="1659" spans="1:2" x14ac:dyDescent="0.2">
      <c r="A1659" s="40" t="s">
        <v>1055</v>
      </c>
      <c r="B1659" s="42">
        <v>104.72</v>
      </c>
    </row>
    <row r="1660" spans="1:2" x14ac:dyDescent="0.2">
      <c r="A1660" s="40" t="s">
        <v>1056</v>
      </c>
      <c r="B1660" s="42">
        <v>92.5</v>
      </c>
    </row>
    <row r="1661" spans="1:2" x14ac:dyDescent="0.2">
      <c r="A1661" s="41">
        <v>41306</v>
      </c>
      <c r="B1661" s="42">
        <v>78.77</v>
      </c>
    </row>
    <row r="1662" spans="1:2" x14ac:dyDescent="0.2">
      <c r="A1662" s="41">
        <v>41334</v>
      </c>
      <c r="B1662" s="42">
        <v>77.02</v>
      </c>
    </row>
    <row r="1663" spans="1:2" x14ac:dyDescent="0.2">
      <c r="A1663" s="41">
        <v>41365</v>
      </c>
      <c r="B1663" s="42">
        <v>75.180000000000007</v>
      </c>
    </row>
    <row r="1664" spans="1:2" x14ac:dyDescent="0.2">
      <c r="A1664" s="41">
        <v>41456</v>
      </c>
      <c r="B1664" s="42">
        <v>76.77</v>
      </c>
    </row>
    <row r="1665" spans="1:2" x14ac:dyDescent="0.2">
      <c r="A1665" s="41">
        <v>41487</v>
      </c>
      <c r="B1665" s="42">
        <v>78.37</v>
      </c>
    </row>
    <row r="1666" spans="1:2" x14ac:dyDescent="0.2">
      <c r="A1666" s="41">
        <v>41518</v>
      </c>
      <c r="B1666" s="42">
        <v>78.510000000000005</v>
      </c>
    </row>
    <row r="1667" spans="1:2" x14ac:dyDescent="0.2">
      <c r="A1667" s="41">
        <v>41548</v>
      </c>
      <c r="B1667" s="42">
        <v>77.489999999999995</v>
      </c>
    </row>
    <row r="1668" spans="1:2" x14ac:dyDescent="0.2">
      <c r="A1668" s="41">
        <v>41579</v>
      </c>
      <c r="B1668" s="42">
        <v>78.52</v>
      </c>
    </row>
    <row r="1669" spans="1:2" x14ac:dyDescent="0.2">
      <c r="A1669" s="40" t="s">
        <v>1057</v>
      </c>
      <c r="B1669" s="42">
        <v>78.28</v>
      </c>
    </row>
    <row r="1670" spans="1:2" x14ac:dyDescent="0.2">
      <c r="A1670" s="40" t="s">
        <v>1058</v>
      </c>
      <c r="B1670" s="42">
        <v>77.84</v>
      </c>
    </row>
    <row r="1671" spans="1:2" x14ac:dyDescent="0.2">
      <c r="A1671" s="40" t="s">
        <v>1059</v>
      </c>
      <c r="B1671" s="42">
        <v>77.260000000000005</v>
      </c>
    </row>
    <row r="1672" spans="1:2" x14ac:dyDescent="0.2">
      <c r="A1672" s="40" t="s">
        <v>1060</v>
      </c>
      <c r="B1672" s="42">
        <v>78.77</v>
      </c>
    </row>
    <row r="1673" spans="1:2" x14ac:dyDescent="0.2">
      <c r="A1673" s="40" t="s">
        <v>1061</v>
      </c>
      <c r="B1673" s="42">
        <v>73.430000000000007</v>
      </c>
    </row>
    <row r="1674" spans="1:2" x14ac:dyDescent="0.2">
      <c r="A1674" s="40" t="s">
        <v>1062</v>
      </c>
      <c r="B1674" s="42">
        <v>73.87</v>
      </c>
    </row>
    <row r="1675" spans="1:2" x14ac:dyDescent="0.2">
      <c r="A1675" s="40" t="s">
        <v>1063</v>
      </c>
      <c r="B1675" s="42">
        <v>71.86</v>
      </c>
    </row>
    <row r="1676" spans="1:2" x14ac:dyDescent="0.2">
      <c r="A1676" s="40" t="s">
        <v>1064</v>
      </c>
      <c r="B1676" s="42">
        <v>76.17</v>
      </c>
    </row>
    <row r="1677" spans="1:2" x14ac:dyDescent="0.2">
      <c r="A1677" s="40" t="s">
        <v>1065</v>
      </c>
      <c r="B1677" s="42">
        <v>76.92</v>
      </c>
    </row>
    <row r="1678" spans="1:2" x14ac:dyDescent="0.2">
      <c r="A1678" s="40" t="s">
        <v>1066</v>
      </c>
      <c r="B1678" s="42">
        <v>78.16</v>
      </c>
    </row>
    <row r="1679" spans="1:2" x14ac:dyDescent="0.2">
      <c r="A1679" s="40" t="s">
        <v>1067</v>
      </c>
      <c r="B1679" s="42">
        <v>73.61</v>
      </c>
    </row>
    <row r="1680" spans="1:2" x14ac:dyDescent="0.2">
      <c r="A1680" s="40" t="s">
        <v>1068</v>
      </c>
      <c r="B1680" s="42">
        <v>77.34</v>
      </c>
    </row>
    <row r="1681" spans="1:2" x14ac:dyDescent="0.2">
      <c r="A1681" s="40" t="s">
        <v>1069</v>
      </c>
      <c r="B1681" s="42">
        <v>76.72</v>
      </c>
    </row>
    <row r="1682" spans="1:2" x14ac:dyDescent="0.2">
      <c r="A1682" s="41">
        <v>41276</v>
      </c>
      <c r="B1682" s="42">
        <v>73.290000000000006</v>
      </c>
    </row>
    <row r="1683" spans="1:2" x14ac:dyDescent="0.2">
      <c r="A1683" s="41">
        <v>41366</v>
      </c>
      <c r="B1683" s="42">
        <v>77.790000000000006</v>
      </c>
    </row>
    <row r="1684" spans="1:2" x14ac:dyDescent="0.2">
      <c r="A1684" s="41">
        <v>41396</v>
      </c>
      <c r="B1684" s="42">
        <v>75.069999999999993</v>
      </c>
    </row>
    <row r="1685" spans="1:2" x14ac:dyDescent="0.2">
      <c r="A1685" s="41">
        <v>41427</v>
      </c>
      <c r="B1685" s="42">
        <v>77.239999999999995</v>
      </c>
    </row>
    <row r="1686" spans="1:2" x14ac:dyDescent="0.2">
      <c r="A1686" s="41">
        <v>41457</v>
      </c>
      <c r="B1686" s="42">
        <v>76.86</v>
      </c>
    </row>
    <row r="1687" spans="1:2" x14ac:dyDescent="0.2">
      <c r="A1687" s="41">
        <v>41488</v>
      </c>
      <c r="B1687" s="42">
        <v>74.42</v>
      </c>
    </row>
    <row r="1688" spans="1:2" x14ac:dyDescent="0.2">
      <c r="A1688" s="41">
        <v>41580</v>
      </c>
      <c r="B1688" s="42">
        <v>76.099999999999994</v>
      </c>
    </row>
    <row r="1689" spans="1:2" x14ac:dyDescent="0.2">
      <c r="A1689" s="41">
        <v>41610</v>
      </c>
      <c r="B1689" s="42">
        <v>73.83</v>
      </c>
    </row>
    <row r="1690" spans="1:2" x14ac:dyDescent="0.2">
      <c r="A1690" s="40" t="s">
        <v>1070</v>
      </c>
      <c r="B1690" s="42">
        <v>73.25</v>
      </c>
    </row>
    <row r="1691" spans="1:2" x14ac:dyDescent="0.2">
      <c r="A1691" s="40" t="s">
        <v>1071</v>
      </c>
      <c r="B1691" s="42">
        <v>72.989999999999995</v>
      </c>
    </row>
    <row r="1692" spans="1:2" x14ac:dyDescent="0.2">
      <c r="A1692" s="40" t="s">
        <v>1072</v>
      </c>
      <c r="B1692" s="42">
        <v>72.55</v>
      </c>
    </row>
    <row r="1693" spans="1:2" x14ac:dyDescent="0.2">
      <c r="A1693" s="40" t="s">
        <v>1073</v>
      </c>
      <c r="B1693" s="42">
        <v>70.45</v>
      </c>
    </row>
    <row r="1694" spans="1:2" x14ac:dyDescent="0.2">
      <c r="A1694" s="40" t="s">
        <v>1074</v>
      </c>
      <c r="B1694" s="42">
        <v>79.650000000000006</v>
      </c>
    </row>
    <row r="1695" spans="1:2" x14ac:dyDescent="0.2">
      <c r="A1695" s="40" t="s">
        <v>1075</v>
      </c>
      <c r="B1695" s="42">
        <v>80.83</v>
      </c>
    </row>
    <row r="1696" spans="1:2" x14ac:dyDescent="0.2">
      <c r="A1696" s="40" t="s">
        <v>1076</v>
      </c>
      <c r="B1696" s="42">
        <v>78.66</v>
      </c>
    </row>
    <row r="1697" spans="1:2" x14ac:dyDescent="0.2">
      <c r="A1697" s="40" t="s">
        <v>1077</v>
      </c>
      <c r="B1697" s="42">
        <v>94.34</v>
      </c>
    </row>
    <row r="1698" spans="1:2" x14ac:dyDescent="0.2">
      <c r="A1698" s="40" t="s">
        <v>1078</v>
      </c>
      <c r="B1698" s="42">
        <v>90.23</v>
      </c>
    </row>
    <row r="1699" spans="1:2" x14ac:dyDescent="0.2">
      <c r="A1699" s="40" t="s">
        <v>1079</v>
      </c>
      <c r="B1699" s="42">
        <v>82.29</v>
      </c>
    </row>
    <row r="1700" spans="1:2" x14ac:dyDescent="0.2">
      <c r="A1700" s="40" t="s">
        <v>1080</v>
      </c>
      <c r="B1700" s="42">
        <v>86.57</v>
      </c>
    </row>
    <row r="1701" spans="1:2" x14ac:dyDescent="0.2">
      <c r="A1701" s="41">
        <v>41277</v>
      </c>
      <c r="B1701" s="42">
        <v>87.83</v>
      </c>
    </row>
    <row r="1702" spans="1:2" x14ac:dyDescent="0.2">
      <c r="A1702" s="41">
        <v>41367</v>
      </c>
      <c r="B1702" s="42">
        <v>82.27</v>
      </c>
    </row>
    <row r="1703" spans="1:2" x14ac:dyDescent="0.2">
      <c r="A1703" s="41">
        <v>41397</v>
      </c>
      <c r="B1703" s="42">
        <v>79.319999999999993</v>
      </c>
    </row>
    <row r="1704" spans="1:2" x14ac:dyDescent="0.2">
      <c r="A1704" s="41">
        <v>41428</v>
      </c>
      <c r="B1704" s="42">
        <v>78.78</v>
      </c>
    </row>
    <row r="1705" spans="1:2" x14ac:dyDescent="0.2">
      <c r="A1705" s="41">
        <v>41458</v>
      </c>
      <c r="B1705" s="42">
        <v>77.16</v>
      </c>
    </row>
    <row r="1706" spans="1:2" x14ac:dyDescent="0.2">
      <c r="A1706" s="41">
        <v>41489</v>
      </c>
      <c r="B1706" s="42">
        <v>76.650000000000006</v>
      </c>
    </row>
    <row r="1707" spans="1:2" x14ac:dyDescent="0.2">
      <c r="A1707" s="41">
        <v>41581</v>
      </c>
      <c r="B1707" s="42">
        <v>77.319999999999993</v>
      </c>
    </row>
    <row r="1708" spans="1:2" x14ac:dyDescent="0.2">
      <c r="A1708" s="41">
        <v>41611</v>
      </c>
      <c r="B1708" s="42">
        <v>79.989999999999995</v>
      </c>
    </row>
    <row r="1709" spans="1:2" x14ac:dyDescent="0.2">
      <c r="A1709" s="40" t="s">
        <v>1081</v>
      </c>
      <c r="B1709" s="42">
        <v>84.36</v>
      </c>
    </row>
    <row r="1710" spans="1:2" x14ac:dyDescent="0.2">
      <c r="A1710" s="40" t="s">
        <v>1082</v>
      </c>
      <c r="B1710" s="42">
        <v>83.5</v>
      </c>
    </row>
    <row r="1711" spans="1:2" x14ac:dyDescent="0.2">
      <c r="A1711" s="40" t="s">
        <v>1083</v>
      </c>
      <c r="B1711" s="42">
        <v>85.72</v>
      </c>
    </row>
    <row r="1712" spans="1:2" x14ac:dyDescent="0.2">
      <c r="A1712" s="40" t="s">
        <v>1084</v>
      </c>
      <c r="B1712" s="42">
        <v>93.07</v>
      </c>
    </row>
    <row r="1713" spans="1:2" x14ac:dyDescent="0.2">
      <c r="A1713" s="40" t="s">
        <v>1085</v>
      </c>
      <c r="B1713" s="42">
        <v>94.39</v>
      </c>
    </row>
    <row r="1714" spans="1:2" x14ac:dyDescent="0.2">
      <c r="A1714" s="40" t="s">
        <v>1086</v>
      </c>
      <c r="B1714" s="42">
        <v>89.45</v>
      </c>
    </row>
    <row r="1715" spans="1:2" x14ac:dyDescent="0.2">
      <c r="A1715" s="40" t="s">
        <v>1087</v>
      </c>
      <c r="B1715" s="42">
        <v>93.98</v>
      </c>
    </row>
    <row r="1716" spans="1:2" x14ac:dyDescent="0.2">
      <c r="A1716" s="40" t="s">
        <v>1088</v>
      </c>
      <c r="B1716" s="42">
        <v>91.78</v>
      </c>
    </row>
    <row r="1717" spans="1:2" x14ac:dyDescent="0.2">
      <c r="A1717" s="40" t="s">
        <v>1089</v>
      </c>
      <c r="B1717" s="42">
        <v>88.86</v>
      </c>
    </row>
    <row r="1718" spans="1:2" x14ac:dyDescent="0.2">
      <c r="A1718" s="40" t="s">
        <v>1090</v>
      </c>
      <c r="B1718" s="42">
        <v>85.14</v>
      </c>
    </row>
    <row r="1719" spans="1:2" x14ac:dyDescent="0.2">
      <c r="A1719" s="40" t="s">
        <v>1091</v>
      </c>
      <c r="B1719" s="42">
        <v>85.32</v>
      </c>
    </row>
    <row r="1720" spans="1:2" x14ac:dyDescent="0.2">
      <c r="A1720" s="40" t="s">
        <v>1092</v>
      </c>
      <c r="B1720" s="42">
        <v>83.2</v>
      </c>
    </row>
    <row r="1721" spans="1:2" x14ac:dyDescent="0.2">
      <c r="A1721" s="41">
        <v>41278</v>
      </c>
      <c r="B1721" s="42">
        <v>84.23</v>
      </c>
    </row>
    <row r="1722" spans="1:2" x14ac:dyDescent="0.2">
      <c r="A1722" s="41">
        <v>41309</v>
      </c>
      <c r="B1722" s="42">
        <v>80.489999999999995</v>
      </c>
    </row>
    <row r="1723" spans="1:2" x14ac:dyDescent="0.2">
      <c r="A1723" s="41">
        <v>41337</v>
      </c>
      <c r="B1723" s="42">
        <v>85.23</v>
      </c>
    </row>
    <row r="1724" spans="1:2" x14ac:dyDescent="0.2">
      <c r="A1724" s="41">
        <v>41368</v>
      </c>
      <c r="B1724" s="42">
        <v>83.12</v>
      </c>
    </row>
    <row r="1725" spans="1:2" x14ac:dyDescent="0.2">
      <c r="A1725" s="41">
        <v>41398</v>
      </c>
      <c r="B1725" s="42">
        <v>84.49</v>
      </c>
    </row>
    <row r="1726" spans="1:2" x14ac:dyDescent="0.2">
      <c r="A1726" s="41">
        <v>41490</v>
      </c>
      <c r="B1726" s="42">
        <v>82.12</v>
      </c>
    </row>
    <row r="1727" spans="1:2" x14ac:dyDescent="0.2">
      <c r="A1727" s="41">
        <v>41521</v>
      </c>
      <c r="B1727" s="42">
        <v>82.04</v>
      </c>
    </row>
    <row r="1728" spans="1:2" x14ac:dyDescent="0.2">
      <c r="A1728" s="41">
        <v>41551</v>
      </c>
      <c r="B1728" s="42">
        <v>82.75</v>
      </c>
    </row>
    <row r="1729" spans="1:2" x14ac:dyDescent="0.2">
      <c r="A1729" s="41">
        <v>41582</v>
      </c>
      <c r="B1729" s="42">
        <v>83.37</v>
      </c>
    </row>
    <row r="1730" spans="1:2" x14ac:dyDescent="0.2">
      <c r="A1730" s="41">
        <v>41612</v>
      </c>
      <c r="B1730" s="42">
        <v>82.39</v>
      </c>
    </row>
    <row r="1731" spans="1:2" x14ac:dyDescent="0.2">
      <c r="A1731" s="40" t="s">
        <v>1093</v>
      </c>
      <c r="B1731" s="42">
        <v>104.62</v>
      </c>
    </row>
    <row r="1732" spans="1:2" x14ac:dyDescent="0.2">
      <c r="A1732" s="40" t="s">
        <v>1094</v>
      </c>
      <c r="B1732" s="42">
        <v>88.19</v>
      </c>
    </row>
    <row r="1733" spans="1:2" x14ac:dyDescent="0.2">
      <c r="A1733" s="40" t="s">
        <v>1095</v>
      </c>
      <c r="B1733" s="42">
        <v>105.26</v>
      </c>
    </row>
    <row r="1734" spans="1:2" x14ac:dyDescent="0.2">
      <c r="A1734" s="40" t="s">
        <v>1096</v>
      </c>
      <c r="B1734" s="42">
        <v>107.65</v>
      </c>
    </row>
    <row r="1735" spans="1:2" x14ac:dyDescent="0.2">
      <c r="A1735" s="40" t="s">
        <v>1097</v>
      </c>
      <c r="B1735" s="42">
        <v>95.52</v>
      </c>
    </row>
    <row r="1736" spans="1:2" x14ac:dyDescent="0.2">
      <c r="A1736" s="40" t="s">
        <v>1098</v>
      </c>
      <c r="B1736" s="42">
        <v>90.91</v>
      </c>
    </row>
    <row r="1737" spans="1:2" x14ac:dyDescent="0.2">
      <c r="A1737" s="40" t="s">
        <v>1099</v>
      </c>
      <c r="B1737" s="42">
        <v>85.16</v>
      </c>
    </row>
    <row r="1738" spans="1:2" x14ac:dyDescent="0.2">
      <c r="A1738" s="40" t="s">
        <v>1100</v>
      </c>
      <c r="B1738" s="42">
        <v>84.99</v>
      </c>
    </row>
    <row r="1739" spans="1:2" x14ac:dyDescent="0.2">
      <c r="A1739" s="40" t="s">
        <v>1101</v>
      </c>
      <c r="B1739" s="42">
        <v>85.89</v>
      </c>
    </row>
    <row r="1740" spans="1:2" x14ac:dyDescent="0.2">
      <c r="A1740" s="40" t="s">
        <v>1102</v>
      </c>
      <c r="B1740" s="42">
        <v>85.09</v>
      </c>
    </row>
    <row r="1741" spans="1:2" x14ac:dyDescent="0.2">
      <c r="A1741" s="40" t="s">
        <v>1103</v>
      </c>
      <c r="B1741" s="42">
        <v>84.42</v>
      </c>
    </row>
    <row r="1742" spans="1:2" x14ac:dyDescent="0.2">
      <c r="A1742" s="40" t="s">
        <v>1104</v>
      </c>
      <c r="B1742" s="42">
        <v>83.46</v>
      </c>
    </row>
    <row r="1743" spans="1:2" x14ac:dyDescent="0.2">
      <c r="A1743" s="41">
        <v>41279</v>
      </c>
      <c r="B1743" s="42">
        <v>88.11</v>
      </c>
    </row>
    <row r="1744" spans="1:2" x14ac:dyDescent="0.2">
      <c r="A1744" s="41">
        <v>41310</v>
      </c>
      <c r="B1744" s="42">
        <v>83.82</v>
      </c>
    </row>
    <row r="1745" spans="1:2" x14ac:dyDescent="0.2">
      <c r="A1745" s="41">
        <v>41338</v>
      </c>
      <c r="B1745" s="42">
        <v>80.91</v>
      </c>
    </row>
    <row r="1746" spans="1:2" x14ac:dyDescent="0.2">
      <c r="A1746" s="41">
        <v>41430</v>
      </c>
      <c r="B1746" s="42">
        <v>79.78</v>
      </c>
    </row>
    <row r="1747" spans="1:2" x14ac:dyDescent="0.2">
      <c r="A1747" s="41">
        <v>41460</v>
      </c>
      <c r="B1747" s="42">
        <v>78.86</v>
      </c>
    </row>
    <row r="1748" spans="1:2" x14ac:dyDescent="0.2">
      <c r="A1748" s="41">
        <v>41491</v>
      </c>
      <c r="B1748" s="42">
        <v>79.81</v>
      </c>
    </row>
    <row r="1749" spans="1:2" x14ac:dyDescent="0.2">
      <c r="A1749" s="41">
        <v>41522</v>
      </c>
      <c r="B1749" s="42">
        <v>81.14</v>
      </c>
    </row>
    <row r="1750" spans="1:2" x14ac:dyDescent="0.2">
      <c r="A1750" s="41">
        <v>41552</v>
      </c>
      <c r="B1750" s="42">
        <v>80.45</v>
      </c>
    </row>
    <row r="1751" spans="1:2" x14ac:dyDescent="0.2">
      <c r="A1751" s="40" t="s">
        <v>1105</v>
      </c>
      <c r="B1751" s="42">
        <v>80.45</v>
      </c>
    </row>
    <row r="1752" spans="1:2" x14ac:dyDescent="0.2">
      <c r="A1752" s="40" t="s">
        <v>1106</v>
      </c>
      <c r="B1752" s="42">
        <v>83.15</v>
      </c>
    </row>
    <row r="1753" spans="1:2" x14ac:dyDescent="0.2">
      <c r="A1753" s="40" t="s">
        <v>1107</v>
      </c>
      <c r="B1753" s="42">
        <v>84.5</v>
      </c>
    </row>
    <row r="1754" spans="1:2" x14ac:dyDescent="0.2">
      <c r="A1754" s="40" t="s">
        <v>1108</v>
      </c>
      <c r="B1754" s="42">
        <v>84</v>
      </c>
    </row>
    <row r="1755" spans="1:2" x14ac:dyDescent="0.2">
      <c r="A1755" s="40" t="s">
        <v>1109</v>
      </c>
      <c r="B1755" s="42">
        <v>85.01</v>
      </c>
    </row>
    <row r="1756" spans="1:2" x14ac:dyDescent="0.2">
      <c r="A1756" s="40" t="s">
        <v>1110</v>
      </c>
      <c r="B1756" s="42">
        <v>88.04</v>
      </c>
    </row>
    <row r="1757" spans="1:2" x14ac:dyDescent="0.2">
      <c r="A1757" s="40" t="s">
        <v>1111</v>
      </c>
      <c r="B1757" s="42">
        <v>88.23</v>
      </c>
    </row>
    <row r="1758" spans="1:2" x14ac:dyDescent="0.2">
      <c r="A1758" s="40" t="s">
        <v>1112</v>
      </c>
      <c r="B1758" s="42">
        <v>87.4</v>
      </c>
    </row>
    <row r="1759" spans="1:2" x14ac:dyDescent="0.2">
      <c r="A1759" s="40" t="s">
        <v>1113</v>
      </c>
      <c r="B1759" s="42">
        <v>83.88</v>
      </c>
    </row>
    <row r="1760" spans="1:2" x14ac:dyDescent="0.2">
      <c r="A1760" s="40" t="s">
        <v>1114</v>
      </c>
      <c r="B1760" s="42">
        <v>82.65</v>
      </c>
    </row>
    <row r="1761" spans="1:2" x14ac:dyDescent="0.2">
      <c r="A1761" s="40" t="s">
        <v>1115</v>
      </c>
      <c r="B1761" s="42">
        <v>81.72</v>
      </c>
    </row>
    <row r="1762" spans="1:2" x14ac:dyDescent="0.2">
      <c r="A1762" s="40" t="s">
        <v>1116</v>
      </c>
      <c r="B1762" s="42">
        <v>80.22</v>
      </c>
    </row>
    <row r="1763" spans="1:2" x14ac:dyDescent="0.2">
      <c r="A1763" s="40" t="s">
        <v>1117</v>
      </c>
      <c r="B1763" s="42">
        <v>84.87</v>
      </c>
    </row>
    <row r="1764" spans="1:2" x14ac:dyDescent="0.2">
      <c r="A1764" s="41">
        <v>41339</v>
      </c>
      <c r="B1764" s="42">
        <v>86.99</v>
      </c>
    </row>
    <row r="1765" spans="1:2" x14ac:dyDescent="0.2">
      <c r="A1765" s="41">
        <v>41370</v>
      </c>
      <c r="B1765" s="42">
        <v>87.39</v>
      </c>
    </row>
    <row r="1766" spans="1:2" x14ac:dyDescent="0.2">
      <c r="A1766" s="41">
        <v>41400</v>
      </c>
      <c r="B1766" s="42">
        <v>93.18</v>
      </c>
    </row>
    <row r="1767" spans="1:2" x14ac:dyDescent="0.2">
      <c r="A1767" s="41">
        <v>41431</v>
      </c>
      <c r="B1767" s="42">
        <v>91.91</v>
      </c>
    </row>
    <row r="1768" spans="1:2" x14ac:dyDescent="0.2">
      <c r="A1768" s="41">
        <v>41461</v>
      </c>
      <c r="B1768" s="42">
        <v>84.19</v>
      </c>
    </row>
    <row r="1769" spans="1:2" x14ac:dyDescent="0.2">
      <c r="A1769" s="41">
        <v>41553</v>
      </c>
      <c r="B1769" s="42">
        <v>82.94</v>
      </c>
    </row>
    <row r="1770" spans="1:2" x14ac:dyDescent="0.2">
      <c r="A1770" s="41">
        <v>41584</v>
      </c>
      <c r="B1770" s="42">
        <v>92.32</v>
      </c>
    </row>
    <row r="1771" spans="1:2" x14ac:dyDescent="0.2">
      <c r="A1771" s="41">
        <v>41614</v>
      </c>
      <c r="B1771" s="42">
        <v>101.77</v>
      </c>
    </row>
    <row r="1772" spans="1:2" x14ac:dyDescent="0.2">
      <c r="A1772" s="40" t="s">
        <v>1118</v>
      </c>
      <c r="B1772" s="42">
        <v>95.08</v>
      </c>
    </row>
    <row r="1773" spans="1:2" x14ac:dyDescent="0.2">
      <c r="A1773" s="40" t="s">
        <v>1119</v>
      </c>
      <c r="B1773" s="42">
        <v>93.87</v>
      </c>
    </row>
    <row r="1774" spans="1:2" x14ac:dyDescent="0.2">
      <c r="A1774" s="40" t="s">
        <v>1120</v>
      </c>
      <c r="B1774" s="42">
        <v>90.45</v>
      </c>
    </row>
    <row r="1775" spans="1:2" x14ac:dyDescent="0.2">
      <c r="A1775" s="40" t="s">
        <v>1121</v>
      </c>
      <c r="B1775" s="42">
        <v>89.99</v>
      </c>
    </row>
    <row r="1776" spans="1:2" x14ac:dyDescent="0.2">
      <c r="A1776" s="40" t="s">
        <v>1122</v>
      </c>
      <c r="B1776" s="42">
        <v>88.59</v>
      </c>
    </row>
    <row r="1777" spans="1:2" x14ac:dyDescent="0.2">
      <c r="A1777" s="40" t="s">
        <v>1123</v>
      </c>
      <c r="B1777" s="42">
        <v>100.98</v>
      </c>
    </row>
    <row r="1778" spans="1:2" x14ac:dyDescent="0.2">
      <c r="A1778" s="40" t="s">
        <v>1124</v>
      </c>
      <c r="B1778" s="42">
        <v>96.1</v>
      </c>
    </row>
    <row r="1779" spans="1:2" x14ac:dyDescent="0.2">
      <c r="A1779" s="40" t="s">
        <v>1125</v>
      </c>
      <c r="B1779" s="42">
        <v>100.93</v>
      </c>
    </row>
    <row r="1780" spans="1:2" x14ac:dyDescent="0.2">
      <c r="A1780" s="40" t="s">
        <v>1126</v>
      </c>
      <c r="B1780" s="42">
        <v>94.83</v>
      </c>
    </row>
    <row r="1781" spans="1:2" x14ac:dyDescent="0.2">
      <c r="A1781" s="40" t="s">
        <v>1127</v>
      </c>
      <c r="B1781" s="42">
        <v>90.76</v>
      </c>
    </row>
    <row r="1782" spans="1:2" x14ac:dyDescent="0.2">
      <c r="A1782" s="40" t="s">
        <v>1128</v>
      </c>
      <c r="B1782" s="42">
        <v>86.05</v>
      </c>
    </row>
    <row r="1783" spans="1:2" x14ac:dyDescent="0.2">
      <c r="A1783" s="40" t="s">
        <v>1129</v>
      </c>
      <c r="B1783" s="42">
        <v>86.54</v>
      </c>
    </row>
    <row r="1784" spans="1:2" x14ac:dyDescent="0.2">
      <c r="A1784" s="41">
        <v>41281</v>
      </c>
      <c r="B1784" s="42">
        <v>84.89</v>
      </c>
    </row>
    <row r="1785" spans="1:2" x14ac:dyDescent="0.2">
      <c r="A1785" s="41">
        <v>41312</v>
      </c>
      <c r="B1785" s="42">
        <v>83.7</v>
      </c>
    </row>
    <row r="1786" spans="1:2" x14ac:dyDescent="0.2">
      <c r="A1786" s="41">
        <v>41340</v>
      </c>
      <c r="B1786" s="42">
        <v>82.72</v>
      </c>
    </row>
    <row r="1787" spans="1:2" x14ac:dyDescent="0.2">
      <c r="A1787" s="41">
        <v>41401</v>
      </c>
      <c r="B1787" s="42">
        <v>77.41</v>
      </c>
    </row>
    <row r="1788" spans="1:2" x14ac:dyDescent="0.2">
      <c r="A1788" s="41">
        <v>41493</v>
      </c>
      <c r="B1788" s="42">
        <v>75.489999999999995</v>
      </c>
    </row>
    <row r="1789" spans="1:2" x14ac:dyDescent="0.2">
      <c r="A1789" s="41">
        <v>41524</v>
      </c>
      <c r="B1789" s="42">
        <v>75.92</v>
      </c>
    </row>
    <row r="1790" spans="1:2" x14ac:dyDescent="0.2">
      <c r="A1790" s="41">
        <v>41554</v>
      </c>
      <c r="B1790" s="42">
        <v>79.540000000000006</v>
      </c>
    </row>
    <row r="1791" spans="1:2" x14ac:dyDescent="0.2">
      <c r="A1791" s="41">
        <v>41585</v>
      </c>
      <c r="B1791" s="42">
        <v>77.16</v>
      </c>
    </row>
    <row r="1792" spans="1:2" x14ac:dyDescent="0.2">
      <c r="A1792" s="41">
        <v>41615</v>
      </c>
      <c r="B1792" s="42">
        <v>76.14</v>
      </c>
    </row>
    <row r="1793" spans="1:2" x14ac:dyDescent="0.2">
      <c r="A1793" s="40" t="s">
        <v>1130</v>
      </c>
      <c r="B1793" s="42">
        <v>76.22</v>
      </c>
    </row>
    <row r="1794" spans="1:2" x14ac:dyDescent="0.2">
      <c r="A1794" s="40" t="s">
        <v>1131</v>
      </c>
      <c r="B1794" s="42">
        <v>80.84</v>
      </c>
    </row>
    <row r="1795" spans="1:2" x14ac:dyDescent="0.2">
      <c r="A1795" s="40" t="s">
        <v>1132</v>
      </c>
      <c r="B1795" s="42">
        <v>77.06</v>
      </c>
    </row>
    <row r="1796" spans="1:2" x14ac:dyDescent="0.2">
      <c r="A1796" s="40" t="s">
        <v>1133</v>
      </c>
      <c r="B1796" s="42">
        <v>74.680000000000007</v>
      </c>
    </row>
    <row r="1797" spans="1:2" x14ac:dyDescent="0.2">
      <c r="A1797" s="40" t="s">
        <v>1134</v>
      </c>
      <c r="B1797" s="42">
        <v>73.64</v>
      </c>
    </row>
    <row r="1798" spans="1:2" x14ac:dyDescent="0.2">
      <c r="A1798" s="40" t="s">
        <v>1135</v>
      </c>
      <c r="B1798" s="42">
        <v>72.489999999999995</v>
      </c>
    </row>
    <row r="1799" spans="1:2" x14ac:dyDescent="0.2">
      <c r="A1799" s="40" t="s">
        <v>1136</v>
      </c>
      <c r="B1799" s="42">
        <v>75.05</v>
      </c>
    </row>
    <row r="1800" spans="1:2" x14ac:dyDescent="0.2">
      <c r="A1800" s="40" t="s">
        <v>1137</v>
      </c>
      <c r="B1800" s="42">
        <v>76.8</v>
      </c>
    </row>
    <row r="1801" spans="1:2" x14ac:dyDescent="0.2">
      <c r="A1801" s="40" t="s">
        <v>1138</v>
      </c>
      <c r="B1801" s="42">
        <v>76.739999999999995</v>
      </c>
    </row>
    <row r="1802" spans="1:2" x14ac:dyDescent="0.2">
      <c r="A1802" s="40" t="s">
        <v>1139</v>
      </c>
      <c r="B1802" s="42">
        <v>76.540000000000006</v>
      </c>
    </row>
    <row r="1803" spans="1:2" x14ac:dyDescent="0.2">
      <c r="A1803" s="40" t="s">
        <v>1140</v>
      </c>
      <c r="B1803" s="42">
        <v>76.650000000000006</v>
      </c>
    </row>
    <row r="1804" spans="1:2" x14ac:dyDescent="0.2">
      <c r="A1804" s="40" t="s">
        <v>1141</v>
      </c>
      <c r="B1804" s="42">
        <v>74.349999999999994</v>
      </c>
    </row>
    <row r="1805" spans="1:2" x14ac:dyDescent="0.2">
      <c r="A1805" s="40" t="s">
        <v>1142</v>
      </c>
      <c r="B1805" s="42">
        <v>73.08</v>
      </c>
    </row>
    <row r="1806" spans="1:2" x14ac:dyDescent="0.2">
      <c r="A1806" s="41">
        <v>41282</v>
      </c>
      <c r="B1806" s="42">
        <v>71.099999999999994</v>
      </c>
    </row>
    <row r="1807" spans="1:2" x14ac:dyDescent="0.2">
      <c r="A1807" s="41">
        <v>41313</v>
      </c>
      <c r="B1807" s="42">
        <v>70.36</v>
      </c>
    </row>
    <row r="1808" spans="1:2" x14ac:dyDescent="0.2">
      <c r="A1808" s="41">
        <v>41402</v>
      </c>
      <c r="B1808" s="42">
        <v>69.739999999999995</v>
      </c>
    </row>
    <row r="1809" spans="1:2" x14ac:dyDescent="0.2">
      <c r="A1809" s="41">
        <v>41433</v>
      </c>
      <c r="B1809" s="42">
        <v>75.53</v>
      </c>
    </row>
    <row r="1810" spans="1:2" x14ac:dyDescent="0.2">
      <c r="A1810" s="41">
        <v>41463</v>
      </c>
      <c r="B1810" s="42">
        <v>76.569999999999993</v>
      </c>
    </row>
    <row r="1811" spans="1:2" x14ac:dyDescent="0.2">
      <c r="A1811" s="41">
        <v>41494</v>
      </c>
      <c r="B1811" s="42">
        <v>75.41</v>
      </c>
    </row>
    <row r="1812" spans="1:2" x14ac:dyDescent="0.2">
      <c r="A1812" s="41">
        <v>41525</v>
      </c>
      <c r="B1812" s="42">
        <v>77.33</v>
      </c>
    </row>
    <row r="1813" spans="1:2" x14ac:dyDescent="0.2">
      <c r="A1813" s="41">
        <v>41616</v>
      </c>
      <c r="B1813" s="42">
        <v>78.77</v>
      </c>
    </row>
    <row r="1814" spans="1:2" x14ac:dyDescent="0.2">
      <c r="A1814" s="40" t="s">
        <v>1143</v>
      </c>
      <c r="B1814" s="42">
        <v>78.94</v>
      </c>
    </row>
    <row r="1815" spans="1:2" x14ac:dyDescent="0.2">
      <c r="A1815" s="40" t="s">
        <v>1144</v>
      </c>
      <c r="B1815" s="42">
        <v>80.22</v>
      </c>
    </row>
    <row r="1816" spans="1:2" x14ac:dyDescent="0.2">
      <c r="A1816" s="40" t="s">
        <v>1145</v>
      </c>
      <c r="B1816" s="42">
        <v>86.21</v>
      </c>
    </row>
    <row r="1817" spans="1:2" x14ac:dyDescent="0.2">
      <c r="A1817" s="40" t="s">
        <v>1146</v>
      </c>
      <c r="B1817" s="42">
        <v>84.09</v>
      </c>
    </row>
    <row r="1818" spans="1:2" x14ac:dyDescent="0.2">
      <c r="A1818" s="40" t="s">
        <v>1147</v>
      </c>
      <c r="B1818" s="42">
        <v>86.91</v>
      </c>
    </row>
    <row r="1819" spans="1:2" x14ac:dyDescent="0.2">
      <c r="A1819" s="40" t="s">
        <v>1148</v>
      </c>
      <c r="B1819" s="42">
        <v>89.08</v>
      </c>
    </row>
    <row r="1820" spans="1:2" x14ac:dyDescent="0.2">
      <c r="A1820" s="40" t="s">
        <v>1149</v>
      </c>
      <c r="B1820" s="42">
        <v>90.38</v>
      </c>
    </row>
    <row r="1821" spans="1:2" x14ac:dyDescent="0.2">
      <c r="A1821" s="40" t="s">
        <v>1150</v>
      </c>
      <c r="B1821" s="42">
        <v>84.52</v>
      </c>
    </row>
    <row r="1822" spans="1:2" x14ac:dyDescent="0.2">
      <c r="A1822" s="40" t="s">
        <v>1151</v>
      </c>
      <c r="B1822" s="42">
        <v>80.02</v>
      </c>
    </row>
    <row r="1823" spans="1:2" x14ac:dyDescent="0.2">
      <c r="A1823" s="40" t="s">
        <v>1152</v>
      </c>
      <c r="B1823" s="42">
        <v>83.06</v>
      </c>
    </row>
    <row r="1824" spans="1:2" x14ac:dyDescent="0.2">
      <c r="A1824" s="40" t="s">
        <v>1153</v>
      </c>
      <c r="B1824" s="42">
        <v>92.36</v>
      </c>
    </row>
    <row r="1825" spans="1:2" x14ac:dyDescent="0.2">
      <c r="A1825" s="40" t="s">
        <v>1154</v>
      </c>
      <c r="B1825" s="42">
        <v>91.46</v>
      </c>
    </row>
    <row r="1826" spans="1:2" x14ac:dyDescent="0.2">
      <c r="A1826" s="40" t="s">
        <v>1155</v>
      </c>
      <c r="B1826" s="42">
        <v>91.49</v>
      </c>
    </row>
    <row r="1827" spans="1:2" x14ac:dyDescent="0.2">
      <c r="A1827" s="40" t="s">
        <v>1156</v>
      </c>
      <c r="B1827" s="42">
        <v>92.6</v>
      </c>
    </row>
    <row r="1828" spans="1:2" x14ac:dyDescent="0.2">
      <c r="A1828" s="41">
        <v>41342</v>
      </c>
      <c r="B1828" s="42">
        <v>90.66</v>
      </c>
    </row>
    <row r="1829" spans="1:2" x14ac:dyDescent="0.2">
      <c r="A1829" s="41">
        <v>41373</v>
      </c>
      <c r="B1829" s="42">
        <v>88.28</v>
      </c>
    </row>
    <row r="1830" spans="1:2" x14ac:dyDescent="0.2">
      <c r="A1830" s="41">
        <v>41403</v>
      </c>
      <c r="B1830" s="42">
        <v>85.8</v>
      </c>
    </row>
    <row r="1831" spans="1:2" x14ac:dyDescent="0.2">
      <c r="A1831" s="41">
        <v>41434</v>
      </c>
      <c r="B1831" s="42">
        <v>86.51</v>
      </c>
    </row>
    <row r="1832" spans="1:2" x14ac:dyDescent="0.2">
      <c r="A1832" s="41">
        <v>41526</v>
      </c>
      <c r="B1832" s="42">
        <v>83.46</v>
      </c>
    </row>
    <row r="1833" spans="1:2" x14ac:dyDescent="0.2">
      <c r="A1833" s="41">
        <v>41556</v>
      </c>
      <c r="B1833" s="42">
        <v>79.25</v>
      </c>
    </row>
    <row r="1834" spans="1:2" x14ac:dyDescent="0.2">
      <c r="A1834" s="41">
        <v>41587</v>
      </c>
      <c r="B1834" s="42">
        <v>78.400000000000006</v>
      </c>
    </row>
    <row r="1835" spans="1:2" x14ac:dyDescent="0.2">
      <c r="A1835" s="41">
        <v>41617</v>
      </c>
      <c r="B1835" s="42">
        <v>80.97</v>
      </c>
    </row>
    <row r="1836" spans="1:2" x14ac:dyDescent="0.2">
      <c r="A1836" s="40" t="s">
        <v>1157</v>
      </c>
      <c r="B1836" s="42">
        <v>79.73</v>
      </c>
    </row>
    <row r="1837" spans="1:2" x14ac:dyDescent="0.2">
      <c r="A1837" s="40" t="s">
        <v>1158</v>
      </c>
      <c r="B1837" s="42">
        <v>80.09</v>
      </c>
    </row>
    <row r="1838" spans="1:2" x14ac:dyDescent="0.2">
      <c r="A1838" s="40" t="s">
        <v>1159</v>
      </c>
      <c r="B1838" s="42">
        <v>79.489999999999995</v>
      </c>
    </row>
    <row r="1839" spans="1:2" x14ac:dyDescent="0.2">
      <c r="A1839" s="40" t="s">
        <v>1160</v>
      </c>
      <c r="B1839" s="42">
        <v>74.650000000000006</v>
      </c>
    </row>
    <row r="1840" spans="1:2" x14ac:dyDescent="0.2">
      <c r="A1840" s="40" t="s">
        <v>1161</v>
      </c>
      <c r="B1840" s="42">
        <v>73.22</v>
      </c>
    </row>
    <row r="1841" spans="1:2" x14ac:dyDescent="0.2">
      <c r="A1841" s="40" t="s">
        <v>1162</v>
      </c>
      <c r="B1841" s="42">
        <v>76.89</v>
      </c>
    </row>
    <row r="1842" spans="1:2" x14ac:dyDescent="0.2">
      <c r="A1842" s="40" t="s">
        <v>1163</v>
      </c>
      <c r="B1842" s="42">
        <v>77.56</v>
      </c>
    </row>
    <row r="1843" spans="1:2" x14ac:dyDescent="0.2">
      <c r="A1843" s="40" t="s">
        <v>1164</v>
      </c>
      <c r="B1843" s="42">
        <v>74.78</v>
      </c>
    </row>
    <row r="1844" spans="1:2" x14ac:dyDescent="0.2">
      <c r="A1844" s="40" t="s">
        <v>1165</v>
      </c>
      <c r="B1844" s="42">
        <v>73.08</v>
      </c>
    </row>
    <row r="1845" spans="1:2" x14ac:dyDescent="0.2">
      <c r="A1845" s="40" t="s">
        <v>1166</v>
      </c>
      <c r="B1845" s="42">
        <v>69.959999999999994</v>
      </c>
    </row>
    <row r="1846" spans="1:2" x14ac:dyDescent="0.2">
      <c r="A1846" s="40" t="s">
        <v>1167</v>
      </c>
      <c r="B1846" s="42">
        <v>74.930000000000007</v>
      </c>
    </row>
    <row r="1847" spans="1:2" x14ac:dyDescent="0.2">
      <c r="A1847" s="40" t="s">
        <v>1168</v>
      </c>
      <c r="B1847" s="42">
        <v>81.67</v>
      </c>
    </row>
    <row r="1848" spans="1:2" x14ac:dyDescent="0.2">
      <c r="A1848" s="41">
        <v>41284</v>
      </c>
      <c r="B1848" s="42">
        <v>76.430000000000007</v>
      </c>
    </row>
    <row r="1849" spans="1:2" x14ac:dyDescent="0.2">
      <c r="A1849" s="41">
        <v>41315</v>
      </c>
      <c r="B1849" s="42">
        <v>85.73</v>
      </c>
    </row>
    <row r="1850" spans="1:2" x14ac:dyDescent="0.2">
      <c r="A1850" s="41">
        <v>41343</v>
      </c>
      <c r="B1850" s="42">
        <v>93.79</v>
      </c>
    </row>
    <row r="1851" spans="1:2" x14ac:dyDescent="0.2">
      <c r="A1851" s="41">
        <v>41374</v>
      </c>
      <c r="B1851" s="42">
        <v>88.71</v>
      </c>
    </row>
    <row r="1852" spans="1:2" x14ac:dyDescent="0.2">
      <c r="A1852" s="41">
        <v>41465</v>
      </c>
      <c r="B1852" s="42">
        <v>103.08</v>
      </c>
    </row>
    <row r="1853" spans="1:2" x14ac:dyDescent="0.2">
      <c r="A1853" s="41">
        <v>41496</v>
      </c>
      <c r="B1853" s="42">
        <v>106.55</v>
      </c>
    </row>
    <row r="1854" spans="1:2" x14ac:dyDescent="0.2">
      <c r="A1854" s="41">
        <v>41527</v>
      </c>
      <c r="B1854" s="42">
        <v>111.43</v>
      </c>
    </row>
    <row r="1855" spans="1:2" x14ac:dyDescent="0.2">
      <c r="A1855" s="41">
        <v>41557</v>
      </c>
      <c r="B1855" s="42">
        <v>95.31</v>
      </c>
    </row>
    <row r="1856" spans="1:2" x14ac:dyDescent="0.2">
      <c r="A1856" s="41">
        <v>41588</v>
      </c>
      <c r="B1856" s="42">
        <v>90.85</v>
      </c>
    </row>
    <row r="1857" spans="1:2" x14ac:dyDescent="0.2">
      <c r="A1857" s="40" t="s">
        <v>1169</v>
      </c>
      <c r="B1857" s="42">
        <v>91.8</v>
      </c>
    </row>
    <row r="1858" spans="1:2" x14ac:dyDescent="0.2">
      <c r="A1858" s="40" t="s">
        <v>1170</v>
      </c>
      <c r="B1858" s="42">
        <v>103.37</v>
      </c>
    </row>
    <row r="1859" spans="1:2" x14ac:dyDescent="0.2">
      <c r="A1859" s="40" t="s">
        <v>1171</v>
      </c>
      <c r="B1859" s="42">
        <v>85.7</v>
      </c>
    </row>
    <row r="1860" spans="1:2" x14ac:dyDescent="0.2">
      <c r="A1860" s="40" t="s">
        <v>1172</v>
      </c>
      <c r="B1860" s="42">
        <v>72.7</v>
      </c>
    </row>
    <row r="1861" spans="1:2" x14ac:dyDescent="0.2">
      <c r="A1861" s="40" t="s">
        <v>1173</v>
      </c>
      <c r="B1861" s="42">
        <v>73.42</v>
      </c>
    </row>
    <row r="1862" spans="1:2" x14ac:dyDescent="0.2">
      <c r="A1862" s="40" t="s">
        <v>1174</v>
      </c>
      <c r="B1862" s="42">
        <v>75.02</v>
      </c>
    </row>
    <row r="1863" spans="1:2" x14ac:dyDescent="0.2">
      <c r="A1863" s="40" t="s">
        <v>1175</v>
      </c>
      <c r="B1863" s="42">
        <v>74.13</v>
      </c>
    </row>
    <row r="1864" spans="1:2" x14ac:dyDescent="0.2">
      <c r="A1864" s="40" t="s">
        <v>1176</v>
      </c>
      <c r="B1864" s="42">
        <v>72.430000000000007</v>
      </c>
    </row>
    <row r="1865" spans="1:2" x14ac:dyDescent="0.2">
      <c r="A1865" s="40" t="s">
        <v>1177</v>
      </c>
      <c r="B1865" s="42">
        <v>70.84</v>
      </c>
    </row>
    <row r="1866" spans="1:2" x14ac:dyDescent="0.2">
      <c r="A1866" s="40" t="s">
        <v>1178</v>
      </c>
      <c r="B1866" s="42">
        <v>70.03</v>
      </c>
    </row>
    <row r="1867" spans="1:2" x14ac:dyDescent="0.2">
      <c r="A1867" s="40" t="s">
        <v>1179</v>
      </c>
      <c r="B1867" s="42">
        <v>70.16</v>
      </c>
    </row>
    <row r="1868" spans="1:2" x14ac:dyDescent="0.2">
      <c r="A1868" s="40" t="s">
        <v>1180</v>
      </c>
      <c r="B1868" s="42">
        <v>68.52</v>
      </c>
    </row>
    <row r="1869" spans="1:2" x14ac:dyDescent="0.2">
      <c r="A1869" s="40" t="s">
        <v>1181</v>
      </c>
      <c r="B1869" s="42">
        <v>69.56</v>
      </c>
    </row>
    <row r="1870" spans="1:2" x14ac:dyDescent="0.2">
      <c r="A1870" s="40" t="s">
        <v>1182</v>
      </c>
      <c r="B1870" s="42">
        <v>69.44</v>
      </c>
    </row>
    <row r="1871" spans="1:2" x14ac:dyDescent="0.2">
      <c r="A1871" s="41">
        <v>41285</v>
      </c>
      <c r="B1871" s="42">
        <v>68.94</v>
      </c>
    </row>
    <row r="1872" spans="1:2" x14ac:dyDescent="0.2">
      <c r="A1872" s="41">
        <v>41375</v>
      </c>
      <c r="B1872" s="42">
        <v>67.09</v>
      </c>
    </row>
    <row r="1873" spans="1:2" x14ac:dyDescent="0.2">
      <c r="A1873" s="41">
        <v>41405</v>
      </c>
      <c r="B1873" s="42">
        <v>67.41</v>
      </c>
    </row>
    <row r="1874" spans="1:2" x14ac:dyDescent="0.2">
      <c r="A1874" s="41">
        <v>41436</v>
      </c>
      <c r="B1874" s="42">
        <v>67.41</v>
      </c>
    </row>
    <row r="1875" spans="1:2" x14ac:dyDescent="0.2">
      <c r="A1875" s="41">
        <v>41466</v>
      </c>
      <c r="B1875" s="42">
        <v>71.739999999999995</v>
      </c>
    </row>
    <row r="1876" spans="1:2" x14ac:dyDescent="0.2">
      <c r="A1876" s="41">
        <v>41497</v>
      </c>
      <c r="B1876" s="42">
        <v>69.39</v>
      </c>
    </row>
    <row r="1877" spans="1:2" x14ac:dyDescent="0.2">
      <c r="A1877" s="41">
        <v>41589</v>
      </c>
      <c r="B1877" s="42">
        <v>69.39</v>
      </c>
    </row>
    <row r="1878" spans="1:2" x14ac:dyDescent="0.2">
      <c r="A1878" s="41">
        <v>41619</v>
      </c>
      <c r="B1878" s="42">
        <v>69.39</v>
      </c>
    </row>
    <row r="1879" spans="1:2" x14ac:dyDescent="0.2">
      <c r="A1879" s="40" t="s">
        <v>1183</v>
      </c>
      <c r="B1879" s="42">
        <v>71.37</v>
      </c>
    </row>
    <row r="1880" spans="1:2" x14ac:dyDescent="0.2">
      <c r="A1880" s="40" t="s">
        <v>1184</v>
      </c>
      <c r="B1880" s="42">
        <v>71.91</v>
      </c>
    </row>
    <row r="1881" spans="1:2" x14ac:dyDescent="0.2">
      <c r="A1881" s="40" t="s">
        <v>1185</v>
      </c>
      <c r="B1881" s="42">
        <v>73.58</v>
      </c>
    </row>
    <row r="1882" spans="1:2" x14ac:dyDescent="0.2">
      <c r="A1882" s="40" t="s">
        <v>1186</v>
      </c>
      <c r="B1882" s="42">
        <v>75.06</v>
      </c>
    </row>
    <row r="1883" spans="1:2" x14ac:dyDescent="0.2">
      <c r="A1883" s="40" t="s">
        <v>1187</v>
      </c>
      <c r="B1883" s="42">
        <v>74.45</v>
      </c>
    </row>
    <row r="1884" spans="1:2" x14ac:dyDescent="0.2">
      <c r="A1884" s="40" t="s">
        <v>1188</v>
      </c>
      <c r="B1884" s="42">
        <v>69.05</v>
      </c>
    </row>
    <row r="1885" spans="1:2" x14ac:dyDescent="0.2">
      <c r="A1885" s="40" t="s">
        <v>1189</v>
      </c>
      <c r="B1885" s="42">
        <v>64.95</v>
      </c>
    </row>
    <row r="1886" spans="1:2" x14ac:dyDescent="0.2">
      <c r="A1886" s="40" t="s">
        <v>1190</v>
      </c>
      <c r="B1886" s="42">
        <v>63.77</v>
      </c>
    </row>
    <row r="1887" spans="1:2" x14ac:dyDescent="0.2">
      <c r="A1887" s="40" t="s">
        <v>1191</v>
      </c>
      <c r="B1887" s="42">
        <v>64.88</v>
      </c>
    </row>
    <row r="1888" spans="1:2" x14ac:dyDescent="0.2">
      <c r="A1888" s="40" t="s">
        <v>1192</v>
      </c>
      <c r="B1888" s="42">
        <v>65.14</v>
      </c>
    </row>
    <row r="1889" spans="1:2" x14ac:dyDescent="0.2">
      <c r="A1889" s="40" t="s">
        <v>1193</v>
      </c>
      <c r="B1889" s="42">
        <v>64.81</v>
      </c>
    </row>
    <row r="1890" spans="1:2" x14ac:dyDescent="0.2">
      <c r="A1890" s="40" t="s">
        <v>1194</v>
      </c>
      <c r="B1890" s="42">
        <v>64.81</v>
      </c>
    </row>
    <row r="1891" spans="1:2" x14ac:dyDescent="0.2">
      <c r="A1891" s="41">
        <v>41317</v>
      </c>
      <c r="B1891" s="42">
        <v>69.59</v>
      </c>
    </row>
    <row r="1892" spans="1:2" x14ac:dyDescent="0.2">
      <c r="A1892" s="41">
        <v>41345</v>
      </c>
      <c r="B1892" s="42">
        <v>73.209999999999994</v>
      </c>
    </row>
    <row r="1893" spans="1:2" x14ac:dyDescent="0.2">
      <c r="A1893" s="41">
        <v>41376</v>
      </c>
      <c r="B1893" s="42">
        <v>72.73</v>
      </c>
    </row>
    <row r="1894" spans="1:2" x14ac:dyDescent="0.2">
      <c r="A1894" s="41">
        <v>41406</v>
      </c>
      <c r="B1894" s="42">
        <v>75.8</v>
      </c>
    </row>
    <row r="1895" spans="1:2" x14ac:dyDescent="0.2">
      <c r="A1895" s="41">
        <v>41437</v>
      </c>
      <c r="B1895" s="42">
        <v>70.45</v>
      </c>
    </row>
    <row r="1896" spans="1:2" x14ac:dyDescent="0.2">
      <c r="A1896" s="41">
        <v>41529</v>
      </c>
      <c r="B1896" s="42">
        <v>70.45</v>
      </c>
    </row>
    <row r="1897" spans="1:2" x14ac:dyDescent="0.2">
      <c r="A1897" s="41">
        <v>41559</v>
      </c>
      <c r="B1897" s="42">
        <v>70.45</v>
      </c>
    </row>
    <row r="1898" spans="1:2" x14ac:dyDescent="0.2">
      <c r="A1898" s="41">
        <v>41590</v>
      </c>
      <c r="B1898" s="42">
        <v>80.55</v>
      </c>
    </row>
    <row r="1899" spans="1:2" x14ac:dyDescent="0.2">
      <c r="A1899" s="41">
        <v>41620</v>
      </c>
      <c r="B1899" s="42">
        <v>83.38</v>
      </c>
    </row>
    <row r="1900" spans="1:2" x14ac:dyDescent="0.2">
      <c r="A1900" s="40" t="s">
        <v>1195</v>
      </c>
      <c r="B1900" s="42">
        <v>85.39</v>
      </c>
    </row>
    <row r="1901" spans="1:2" x14ac:dyDescent="0.2">
      <c r="A1901" s="40" t="s">
        <v>1196</v>
      </c>
      <c r="B1901" s="42">
        <v>83.2</v>
      </c>
    </row>
    <row r="1902" spans="1:2" x14ac:dyDescent="0.2">
      <c r="A1902" s="40" t="s">
        <v>1197</v>
      </c>
      <c r="B1902" s="42">
        <v>82.23</v>
      </c>
    </row>
    <row r="1903" spans="1:2" x14ac:dyDescent="0.2">
      <c r="A1903" s="40" t="s">
        <v>1198</v>
      </c>
      <c r="B1903" s="42">
        <v>67.17</v>
      </c>
    </row>
    <row r="1904" spans="1:2" x14ac:dyDescent="0.2">
      <c r="A1904" s="40" t="s">
        <v>1199</v>
      </c>
      <c r="B1904" s="42">
        <v>67.03</v>
      </c>
    </row>
    <row r="1905" spans="1:2" x14ac:dyDescent="0.2">
      <c r="A1905" s="40" t="s">
        <v>1200</v>
      </c>
      <c r="B1905" s="42">
        <v>68</v>
      </c>
    </row>
    <row r="1906" spans="1:2" x14ac:dyDescent="0.2">
      <c r="A1906" s="40" t="s">
        <v>1201</v>
      </c>
      <c r="B1906" s="42">
        <v>63.49</v>
      </c>
    </row>
    <row r="1907" spans="1:2" x14ac:dyDescent="0.2">
      <c r="A1907" s="40" t="s">
        <v>1202</v>
      </c>
      <c r="B1907" s="42">
        <v>63.49</v>
      </c>
    </row>
    <row r="1908" spans="1:2" x14ac:dyDescent="0.2">
      <c r="A1908" s="40" t="s">
        <v>1203</v>
      </c>
      <c r="B1908" s="42">
        <v>62.71</v>
      </c>
    </row>
    <row r="1909" spans="1:2" x14ac:dyDescent="0.2">
      <c r="A1909" s="40" t="s">
        <v>1204</v>
      </c>
      <c r="B1909" s="42">
        <v>66.67</v>
      </c>
    </row>
    <row r="1910" spans="1:2" x14ac:dyDescent="0.2">
      <c r="A1910" s="40" t="s">
        <v>1205</v>
      </c>
      <c r="B1910" s="42">
        <v>69.709999999999994</v>
      </c>
    </row>
    <row r="1911" spans="1:2" x14ac:dyDescent="0.2">
      <c r="A1911" s="40" t="s">
        <v>1206</v>
      </c>
      <c r="B1911" s="42">
        <v>70.83</v>
      </c>
    </row>
    <row r="1912" spans="1:2" x14ac:dyDescent="0.2">
      <c r="A1912" s="41">
        <v>41671</v>
      </c>
      <c r="B1912" s="42">
        <v>73.14</v>
      </c>
    </row>
    <row r="1913" spans="1:2" x14ac:dyDescent="0.2">
      <c r="A1913" s="41">
        <v>41699</v>
      </c>
      <c r="B1913" s="42">
        <v>70.03</v>
      </c>
    </row>
    <row r="1914" spans="1:2" x14ac:dyDescent="0.2">
      <c r="A1914" s="41">
        <v>41791</v>
      </c>
      <c r="B1914" s="42">
        <v>68.33</v>
      </c>
    </row>
    <row r="1915" spans="1:2" x14ac:dyDescent="0.2">
      <c r="A1915" s="41">
        <v>41821</v>
      </c>
      <c r="B1915" s="42">
        <v>68.33</v>
      </c>
    </row>
    <row r="1916" spans="1:2" x14ac:dyDescent="0.2">
      <c r="A1916" s="41">
        <v>41852</v>
      </c>
      <c r="B1916" s="42">
        <v>68.33</v>
      </c>
    </row>
    <row r="1917" spans="1:2" x14ac:dyDescent="0.2">
      <c r="A1917" s="41">
        <v>41883</v>
      </c>
      <c r="B1917" s="42">
        <v>68.33</v>
      </c>
    </row>
    <row r="1918" spans="1:2" x14ac:dyDescent="0.2">
      <c r="A1918" s="41">
        <v>41913</v>
      </c>
      <c r="B1918" s="42">
        <v>67.739999999999995</v>
      </c>
    </row>
    <row r="1919" spans="1:2" x14ac:dyDescent="0.2">
      <c r="A1919" s="40" t="s">
        <v>1207</v>
      </c>
      <c r="B1919" s="42">
        <v>75.709999999999994</v>
      </c>
    </row>
    <row r="1920" spans="1:2" x14ac:dyDescent="0.2">
      <c r="A1920" s="40" t="s">
        <v>1208</v>
      </c>
      <c r="B1920" s="42">
        <v>69.31</v>
      </c>
    </row>
    <row r="1921" spans="1:2" x14ac:dyDescent="0.2">
      <c r="A1921" s="40" t="s">
        <v>1209</v>
      </c>
      <c r="B1921" s="42">
        <v>69.56</v>
      </c>
    </row>
    <row r="1922" spans="1:2" x14ac:dyDescent="0.2">
      <c r="A1922" s="40" t="s">
        <v>1210</v>
      </c>
      <c r="B1922" s="42">
        <v>73.98</v>
      </c>
    </row>
    <row r="1923" spans="1:2" x14ac:dyDescent="0.2">
      <c r="A1923" s="40" t="s">
        <v>1211</v>
      </c>
      <c r="B1923" s="42">
        <v>75.72</v>
      </c>
    </row>
    <row r="1924" spans="1:2" x14ac:dyDescent="0.2">
      <c r="A1924" s="40" t="s">
        <v>1212</v>
      </c>
      <c r="B1924" s="42">
        <v>77.78</v>
      </c>
    </row>
    <row r="1925" spans="1:2" x14ac:dyDescent="0.2">
      <c r="A1925" s="40" t="s">
        <v>1213</v>
      </c>
      <c r="B1925" s="42">
        <v>74.459999999999994</v>
      </c>
    </row>
    <row r="1926" spans="1:2" x14ac:dyDescent="0.2">
      <c r="A1926" s="40" t="s">
        <v>1214</v>
      </c>
      <c r="B1926" s="42">
        <v>78.25</v>
      </c>
    </row>
    <row r="1927" spans="1:2" x14ac:dyDescent="0.2">
      <c r="A1927" s="40" t="s">
        <v>1215</v>
      </c>
      <c r="B1927" s="42">
        <v>97.71</v>
      </c>
    </row>
    <row r="1928" spans="1:2" x14ac:dyDescent="0.2">
      <c r="A1928" s="40" t="s">
        <v>1216</v>
      </c>
      <c r="B1928" s="42">
        <v>93.5</v>
      </c>
    </row>
    <row r="1929" spans="1:2" x14ac:dyDescent="0.2">
      <c r="A1929" s="40" t="s">
        <v>1217</v>
      </c>
      <c r="B1929" s="42">
        <v>83.96</v>
      </c>
    </row>
    <row r="1930" spans="1:2" x14ac:dyDescent="0.2">
      <c r="A1930" s="40" t="s">
        <v>1218</v>
      </c>
      <c r="B1930" s="42">
        <v>92.47</v>
      </c>
    </row>
    <row r="1931" spans="1:2" x14ac:dyDescent="0.2">
      <c r="A1931" s="40" t="s">
        <v>1219</v>
      </c>
      <c r="B1931" s="42">
        <v>92.35</v>
      </c>
    </row>
    <row r="1932" spans="1:2" x14ac:dyDescent="0.2">
      <c r="A1932" s="40" t="s">
        <v>1220</v>
      </c>
      <c r="B1932" s="42">
        <v>99.66</v>
      </c>
    </row>
    <row r="1933" spans="1:2" x14ac:dyDescent="0.2">
      <c r="A1933" s="41">
        <v>41700</v>
      </c>
      <c r="B1933" s="42">
        <v>106.78</v>
      </c>
    </row>
    <row r="1934" spans="1:2" x14ac:dyDescent="0.2">
      <c r="A1934" s="41">
        <v>41731</v>
      </c>
      <c r="B1934" s="42">
        <v>100.4</v>
      </c>
    </row>
    <row r="1935" spans="1:2" x14ac:dyDescent="0.2">
      <c r="A1935" s="41">
        <v>41761</v>
      </c>
      <c r="B1935" s="42">
        <v>102.87</v>
      </c>
    </row>
    <row r="1936" spans="1:2" x14ac:dyDescent="0.2">
      <c r="A1936" s="41">
        <v>41792</v>
      </c>
      <c r="B1936" s="42">
        <v>92.58</v>
      </c>
    </row>
    <row r="1937" spans="1:2" x14ac:dyDescent="0.2">
      <c r="A1937" s="41">
        <v>41822</v>
      </c>
      <c r="B1937" s="42">
        <v>83.17</v>
      </c>
    </row>
    <row r="1938" spans="1:2" x14ac:dyDescent="0.2">
      <c r="A1938" s="41">
        <v>41914</v>
      </c>
      <c r="B1938" s="42">
        <v>79.89</v>
      </c>
    </row>
    <row r="1939" spans="1:2" x14ac:dyDescent="0.2">
      <c r="A1939" s="41">
        <v>41945</v>
      </c>
      <c r="B1939" s="42">
        <v>78.64</v>
      </c>
    </row>
    <row r="1940" spans="1:2" x14ac:dyDescent="0.2">
      <c r="A1940" s="41">
        <v>41975</v>
      </c>
      <c r="B1940" s="42">
        <v>79.56</v>
      </c>
    </row>
    <row r="1941" spans="1:2" x14ac:dyDescent="0.2">
      <c r="A1941" s="40" t="s">
        <v>1221</v>
      </c>
      <c r="B1941" s="42">
        <v>78.41</v>
      </c>
    </row>
    <row r="1942" spans="1:2" x14ac:dyDescent="0.2">
      <c r="A1942" s="40" t="s">
        <v>1222</v>
      </c>
      <c r="B1942" s="42">
        <v>77.489999999999995</v>
      </c>
    </row>
    <row r="1943" spans="1:2" x14ac:dyDescent="0.2">
      <c r="A1943" s="40" t="s">
        <v>1223</v>
      </c>
      <c r="B1943" s="42">
        <v>75.819999999999993</v>
      </c>
    </row>
    <row r="1944" spans="1:2" x14ac:dyDescent="0.2">
      <c r="A1944" s="40" t="s">
        <v>1224</v>
      </c>
      <c r="B1944" s="42">
        <v>86.23</v>
      </c>
    </row>
    <row r="1945" spans="1:2" x14ac:dyDescent="0.2">
      <c r="A1945" s="40" t="s">
        <v>1225</v>
      </c>
      <c r="B1945" s="42">
        <v>79.83</v>
      </c>
    </row>
    <row r="1946" spans="1:2" x14ac:dyDescent="0.2">
      <c r="A1946" s="40" t="s">
        <v>1226</v>
      </c>
      <c r="B1946" s="42">
        <v>78.959999999999994</v>
      </c>
    </row>
    <row r="1947" spans="1:2" x14ac:dyDescent="0.2">
      <c r="A1947" s="40" t="s">
        <v>1227</v>
      </c>
      <c r="B1947" s="42">
        <v>77.84</v>
      </c>
    </row>
    <row r="1948" spans="1:2" x14ac:dyDescent="0.2">
      <c r="A1948" s="40" t="s">
        <v>1228</v>
      </c>
      <c r="B1948" s="42">
        <v>76.459999999999994</v>
      </c>
    </row>
    <row r="1949" spans="1:2" x14ac:dyDescent="0.2">
      <c r="A1949" s="40" t="s">
        <v>1229</v>
      </c>
      <c r="B1949" s="42">
        <v>79.42</v>
      </c>
    </row>
    <row r="1950" spans="1:2" x14ac:dyDescent="0.2">
      <c r="A1950" s="40" t="s">
        <v>1230</v>
      </c>
      <c r="B1950" s="42">
        <v>78.94</v>
      </c>
    </row>
    <row r="1951" spans="1:2" x14ac:dyDescent="0.2">
      <c r="A1951" s="40" t="s">
        <v>1231</v>
      </c>
      <c r="B1951" s="42">
        <v>81.45</v>
      </c>
    </row>
    <row r="1952" spans="1:2" x14ac:dyDescent="0.2">
      <c r="A1952" s="41">
        <v>41701</v>
      </c>
      <c r="B1952" s="42">
        <v>92.84</v>
      </c>
    </row>
    <row r="1953" spans="1:2" x14ac:dyDescent="0.2">
      <c r="A1953" s="41">
        <v>41732</v>
      </c>
      <c r="B1953" s="42">
        <v>82.14</v>
      </c>
    </row>
    <row r="1954" spans="1:2" x14ac:dyDescent="0.2">
      <c r="A1954" s="41">
        <v>41762</v>
      </c>
      <c r="B1954" s="42">
        <v>80.52</v>
      </c>
    </row>
    <row r="1955" spans="1:2" x14ac:dyDescent="0.2">
      <c r="A1955" s="41">
        <v>41793</v>
      </c>
      <c r="B1955" s="42">
        <v>79.55</v>
      </c>
    </row>
    <row r="1956" spans="1:2" x14ac:dyDescent="0.2">
      <c r="A1956" s="41">
        <v>41823</v>
      </c>
      <c r="B1956" s="42">
        <v>83.07</v>
      </c>
    </row>
    <row r="1957" spans="1:2" x14ac:dyDescent="0.2">
      <c r="A1957" s="41">
        <v>41915</v>
      </c>
      <c r="B1957" s="42">
        <v>82.35</v>
      </c>
    </row>
    <row r="1958" spans="1:2" x14ac:dyDescent="0.2">
      <c r="A1958" s="41">
        <v>41946</v>
      </c>
      <c r="B1958" s="42">
        <v>85.12</v>
      </c>
    </row>
    <row r="1959" spans="1:2" x14ac:dyDescent="0.2">
      <c r="A1959" s="41">
        <v>41976</v>
      </c>
      <c r="B1959" s="42">
        <v>83.45</v>
      </c>
    </row>
    <row r="1960" spans="1:2" x14ac:dyDescent="0.2">
      <c r="A1960" s="40" t="s">
        <v>1232</v>
      </c>
      <c r="B1960" s="42">
        <v>92.14</v>
      </c>
    </row>
    <row r="1961" spans="1:2" x14ac:dyDescent="0.2">
      <c r="A1961" s="40" t="s">
        <v>1233</v>
      </c>
      <c r="B1961" s="42">
        <v>97.11</v>
      </c>
    </row>
    <row r="1962" spans="1:2" x14ac:dyDescent="0.2">
      <c r="A1962" s="40" t="s">
        <v>1234</v>
      </c>
      <c r="B1962" s="42">
        <v>87.79</v>
      </c>
    </row>
    <row r="1963" spans="1:2" x14ac:dyDescent="0.2">
      <c r="A1963" s="40" t="s">
        <v>1235</v>
      </c>
      <c r="B1963" s="42">
        <v>81.89</v>
      </c>
    </row>
    <row r="1964" spans="1:2" x14ac:dyDescent="0.2">
      <c r="A1964" s="40" t="s">
        <v>1236</v>
      </c>
      <c r="B1964" s="42">
        <v>81.349999999999994</v>
      </c>
    </row>
    <row r="1965" spans="1:2" x14ac:dyDescent="0.2">
      <c r="A1965" s="40" t="s">
        <v>1237</v>
      </c>
      <c r="B1965" s="42">
        <v>77.03</v>
      </c>
    </row>
    <row r="1966" spans="1:2" x14ac:dyDescent="0.2">
      <c r="A1966" s="40" t="s">
        <v>1238</v>
      </c>
      <c r="B1966" s="42">
        <v>78.64</v>
      </c>
    </row>
    <row r="1967" spans="1:2" x14ac:dyDescent="0.2">
      <c r="A1967" s="40" t="s">
        <v>1239</v>
      </c>
      <c r="B1967" s="42">
        <v>77.290000000000006</v>
      </c>
    </row>
    <row r="1968" spans="1:2" x14ac:dyDescent="0.2">
      <c r="A1968" s="40" t="s">
        <v>1240</v>
      </c>
      <c r="B1968" s="42">
        <v>74.77</v>
      </c>
    </row>
    <row r="1969" spans="1:2" x14ac:dyDescent="0.2">
      <c r="A1969" s="40" t="s">
        <v>1241</v>
      </c>
      <c r="B1969" s="42">
        <v>76.27</v>
      </c>
    </row>
    <row r="1970" spans="1:2" x14ac:dyDescent="0.2">
      <c r="A1970" s="40" t="s">
        <v>1242</v>
      </c>
      <c r="B1970" s="42">
        <v>74.709999999999994</v>
      </c>
    </row>
    <row r="1971" spans="1:2" x14ac:dyDescent="0.2">
      <c r="A1971" s="40" t="s">
        <v>1243</v>
      </c>
      <c r="B1971" s="42">
        <v>74.86</v>
      </c>
    </row>
    <row r="1972" spans="1:2" x14ac:dyDescent="0.2">
      <c r="A1972" s="40" t="s">
        <v>1244</v>
      </c>
      <c r="B1972" s="42">
        <v>72.2</v>
      </c>
    </row>
    <row r="1973" spans="1:2" x14ac:dyDescent="0.2">
      <c r="A1973" s="41">
        <v>41643</v>
      </c>
      <c r="B1973" s="42">
        <v>67.510000000000005</v>
      </c>
    </row>
    <row r="1974" spans="1:2" x14ac:dyDescent="0.2">
      <c r="A1974" s="41">
        <v>41674</v>
      </c>
      <c r="B1974" s="42">
        <v>67.33</v>
      </c>
    </row>
    <row r="1975" spans="1:2" x14ac:dyDescent="0.2">
      <c r="A1975" s="41">
        <v>41702</v>
      </c>
      <c r="B1975" s="42">
        <v>67.73</v>
      </c>
    </row>
    <row r="1976" spans="1:2" x14ac:dyDescent="0.2">
      <c r="A1976" s="41">
        <v>41733</v>
      </c>
      <c r="B1976" s="42">
        <v>69.53</v>
      </c>
    </row>
    <row r="1977" spans="1:2" x14ac:dyDescent="0.2">
      <c r="A1977" s="41">
        <v>41824</v>
      </c>
      <c r="B1977" s="42">
        <v>74.510000000000005</v>
      </c>
    </row>
    <row r="1978" spans="1:2" x14ac:dyDescent="0.2">
      <c r="A1978" s="41">
        <v>41855</v>
      </c>
      <c r="B1978" s="42">
        <v>71.430000000000007</v>
      </c>
    </row>
    <row r="1979" spans="1:2" x14ac:dyDescent="0.2">
      <c r="A1979" s="41">
        <v>41886</v>
      </c>
      <c r="B1979" s="42">
        <v>69.19</v>
      </c>
    </row>
    <row r="1980" spans="1:2" x14ac:dyDescent="0.2">
      <c r="A1980" s="41">
        <v>41916</v>
      </c>
      <c r="B1980" s="42">
        <v>78.56</v>
      </c>
    </row>
    <row r="1981" spans="1:2" x14ac:dyDescent="0.2">
      <c r="A1981" s="41">
        <v>41947</v>
      </c>
      <c r="B1981" s="42">
        <v>83.94</v>
      </c>
    </row>
    <row r="1982" spans="1:2" x14ac:dyDescent="0.2">
      <c r="A1982" s="40" t="s">
        <v>1245</v>
      </c>
      <c r="B1982" s="42">
        <v>82.2</v>
      </c>
    </row>
    <row r="1983" spans="1:2" x14ac:dyDescent="0.2">
      <c r="A1983" s="40" t="s">
        <v>1246</v>
      </c>
      <c r="B1983" s="42">
        <v>80.67</v>
      </c>
    </row>
    <row r="1984" spans="1:2" x14ac:dyDescent="0.2">
      <c r="A1984" s="40" t="s">
        <v>1247</v>
      </c>
      <c r="B1984" s="42">
        <v>72.08</v>
      </c>
    </row>
    <row r="1985" spans="1:2" x14ac:dyDescent="0.2">
      <c r="A1985" s="40" t="s">
        <v>1248</v>
      </c>
      <c r="B1985" s="42">
        <v>70.08</v>
      </c>
    </row>
    <row r="1986" spans="1:2" x14ac:dyDescent="0.2">
      <c r="A1986" s="40" t="s">
        <v>1249</v>
      </c>
      <c r="B1986" s="42">
        <v>68.62</v>
      </c>
    </row>
    <row r="1987" spans="1:2" x14ac:dyDescent="0.2">
      <c r="A1987" s="40" t="s">
        <v>1250</v>
      </c>
      <c r="B1987" s="42">
        <v>66.739999999999995</v>
      </c>
    </row>
    <row r="1988" spans="1:2" x14ac:dyDescent="0.2">
      <c r="A1988" s="40" t="s">
        <v>1251</v>
      </c>
      <c r="B1988" s="42">
        <v>66.22</v>
      </c>
    </row>
    <row r="1989" spans="1:2" x14ac:dyDescent="0.2">
      <c r="A1989" s="40" t="s">
        <v>1252</v>
      </c>
      <c r="B1989" s="42">
        <v>68.75</v>
      </c>
    </row>
    <row r="1990" spans="1:2" x14ac:dyDescent="0.2">
      <c r="A1990" s="40" t="s">
        <v>1253</v>
      </c>
      <c r="B1990" s="42">
        <v>70.489999999999995</v>
      </c>
    </row>
    <row r="1991" spans="1:2" x14ac:dyDescent="0.2">
      <c r="A1991" s="40" t="s">
        <v>1254</v>
      </c>
      <c r="B1991" s="42">
        <v>67.63</v>
      </c>
    </row>
    <row r="1992" spans="1:2" x14ac:dyDescent="0.2">
      <c r="A1992" s="40" t="s">
        <v>1255</v>
      </c>
      <c r="B1992" s="42">
        <v>65.47</v>
      </c>
    </row>
    <row r="1993" spans="1:2" x14ac:dyDescent="0.2">
      <c r="A1993" s="40" t="s">
        <v>1256</v>
      </c>
      <c r="B1993" s="42">
        <v>64.489999999999995</v>
      </c>
    </row>
    <row r="1994" spans="1:2" x14ac:dyDescent="0.2">
      <c r="A1994" s="41">
        <v>41644</v>
      </c>
      <c r="B1994" s="42">
        <v>64.5</v>
      </c>
    </row>
    <row r="1995" spans="1:2" x14ac:dyDescent="0.2">
      <c r="A1995" s="41">
        <v>41675</v>
      </c>
      <c r="B1995" s="42">
        <v>64.540000000000006</v>
      </c>
    </row>
    <row r="1996" spans="1:2" x14ac:dyDescent="0.2">
      <c r="A1996" s="41">
        <v>41764</v>
      </c>
      <c r="B1996" s="42">
        <v>64.400000000000006</v>
      </c>
    </row>
    <row r="1997" spans="1:2" x14ac:dyDescent="0.2">
      <c r="A1997" s="41">
        <v>41795</v>
      </c>
      <c r="B1997" s="42">
        <v>64.930000000000007</v>
      </c>
    </row>
    <row r="1998" spans="1:2" x14ac:dyDescent="0.2">
      <c r="A1998" s="41">
        <v>41825</v>
      </c>
      <c r="B1998" s="42">
        <v>62.64</v>
      </c>
    </row>
    <row r="1999" spans="1:2" x14ac:dyDescent="0.2">
      <c r="A1999" s="41">
        <v>41856</v>
      </c>
      <c r="B1999" s="42">
        <v>62.16</v>
      </c>
    </row>
    <row r="2000" spans="1:2" x14ac:dyDescent="0.2">
      <c r="A2000" s="41">
        <v>41887</v>
      </c>
      <c r="B2000" s="42">
        <v>61.76</v>
      </c>
    </row>
    <row r="2001" spans="1:2" x14ac:dyDescent="0.2">
      <c r="A2001" s="41">
        <v>41978</v>
      </c>
      <c r="B2001" s="42">
        <v>61.76</v>
      </c>
    </row>
    <row r="2002" spans="1:2" x14ac:dyDescent="0.2">
      <c r="A2002" s="40" t="s">
        <v>1257</v>
      </c>
      <c r="B2002" s="42">
        <v>61.76</v>
      </c>
    </row>
    <row r="2003" spans="1:2" x14ac:dyDescent="0.2">
      <c r="A2003" s="40" t="s">
        <v>1258</v>
      </c>
      <c r="B2003" s="42">
        <v>69.03</v>
      </c>
    </row>
    <row r="2004" spans="1:2" x14ac:dyDescent="0.2">
      <c r="A2004" s="40" t="s">
        <v>1259</v>
      </c>
      <c r="B2004" s="42">
        <v>71.599999999999994</v>
      </c>
    </row>
    <row r="2005" spans="1:2" x14ac:dyDescent="0.2">
      <c r="A2005" s="40" t="s">
        <v>1260</v>
      </c>
      <c r="B2005" s="42">
        <v>68.72</v>
      </c>
    </row>
    <row r="2006" spans="1:2" x14ac:dyDescent="0.2">
      <c r="A2006" s="40" t="s">
        <v>1261</v>
      </c>
      <c r="B2006" s="42">
        <v>67.58</v>
      </c>
    </row>
    <row r="2007" spans="1:2" x14ac:dyDescent="0.2">
      <c r="A2007" s="40" t="s">
        <v>1262</v>
      </c>
      <c r="B2007" s="42">
        <v>68.77</v>
      </c>
    </row>
    <row r="2008" spans="1:2" x14ac:dyDescent="0.2">
      <c r="A2008" s="40" t="s">
        <v>1263</v>
      </c>
      <c r="B2008" s="42">
        <v>66.56</v>
      </c>
    </row>
    <row r="2009" spans="1:2" x14ac:dyDescent="0.2">
      <c r="A2009" s="40" t="s">
        <v>1264</v>
      </c>
      <c r="B2009" s="42">
        <v>68.06</v>
      </c>
    </row>
    <row r="2010" spans="1:2" x14ac:dyDescent="0.2">
      <c r="A2010" s="40" t="s">
        <v>1265</v>
      </c>
      <c r="B2010" s="42">
        <v>66.86</v>
      </c>
    </row>
    <row r="2011" spans="1:2" x14ac:dyDescent="0.2">
      <c r="A2011" s="40" t="s">
        <v>1266</v>
      </c>
      <c r="B2011" s="42">
        <v>64.95</v>
      </c>
    </row>
    <row r="2012" spans="1:2" x14ac:dyDescent="0.2">
      <c r="A2012" s="40" t="s">
        <v>1267</v>
      </c>
      <c r="B2012" s="42">
        <v>67.37</v>
      </c>
    </row>
    <row r="2013" spans="1:2" x14ac:dyDescent="0.2">
      <c r="A2013" s="40" t="s">
        <v>1268</v>
      </c>
      <c r="B2013" s="42">
        <v>66.930000000000007</v>
      </c>
    </row>
    <row r="2014" spans="1:2" x14ac:dyDescent="0.2">
      <c r="A2014" s="40" t="s">
        <v>1269</v>
      </c>
      <c r="B2014" s="42">
        <v>67.95</v>
      </c>
    </row>
    <row r="2015" spans="1:2" x14ac:dyDescent="0.2">
      <c r="A2015" s="41">
        <v>41676</v>
      </c>
      <c r="B2015" s="42">
        <v>68.760000000000005</v>
      </c>
    </row>
    <row r="2016" spans="1:2" x14ac:dyDescent="0.2">
      <c r="A2016" s="41">
        <v>41704</v>
      </c>
      <c r="B2016" s="42">
        <v>68.19</v>
      </c>
    </row>
    <row r="2017" spans="1:2" x14ac:dyDescent="0.2">
      <c r="A2017" s="41">
        <v>41735</v>
      </c>
      <c r="B2017" s="42">
        <v>67.67</v>
      </c>
    </row>
    <row r="2018" spans="1:2" x14ac:dyDescent="0.2">
      <c r="A2018" s="41">
        <v>41765</v>
      </c>
      <c r="B2018" s="42">
        <v>65.47</v>
      </c>
    </row>
    <row r="2019" spans="1:2" x14ac:dyDescent="0.2">
      <c r="A2019" s="41">
        <v>41796</v>
      </c>
      <c r="B2019" s="42">
        <v>67.08</v>
      </c>
    </row>
    <row r="2020" spans="1:2" x14ac:dyDescent="0.2">
      <c r="A2020" s="41">
        <v>41888</v>
      </c>
      <c r="B2020" s="42">
        <v>70.88</v>
      </c>
    </row>
    <row r="2021" spans="1:2" x14ac:dyDescent="0.2">
      <c r="A2021" s="41">
        <v>41918</v>
      </c>
      <c r="B2021" s="42">
        <v>70.5</v>
      </c>
    </row>
    <row r="2022" spans="1:2" x14ac:dyDescent="0.2">
      <c r="A2022" s="41">
        <v>41949</v>
      </c>
      <c r="B2022" s="42">
        <v>74.209999999999994</v>
      </c>
    </row>
    <row r="2023" spans="1:2" x14ac:dyDescent="0.2">
      <c r="A2023" s="41">
        <v>41979</v>
      </c>
      <c r="B2023" s="42">
        <v>79.97</v>
      </c>
    </row>
    <row r="2024" spans="1:2" x14ac:dyDescent="0.2">
      <c r="A2024" s="40" t="s">
        <v>1270</v>
      </c>
      <c r="B2024" s="42">
        <v>79.81</v>
      </c>
    </row>
    <row r="2025" spans="1:2" x14ac:dyDescent="0.2">
      <c r="A2025" s="40" t="s">
        <v>1271</v>
      </c>
      <c r="B2025" s="42">
        <v>81.5</v>
      </c>
    </row>
    <row r="2026" spans="1:2" x14ac:dyDescent="0.2">
      <c r="A2026" s="40" t="s">
        <v>1272</v>
      </c>
      <c r="B2026" s="42">
        <v>78.41</v>
      </c>
    </row>
    <row r="2027" spans="1:2" x14ac:dyDescent="0.2">
      <c r="A2027" s="40" t="s">
        <v>1273</v>
      </c>
      <c r="B2027" s="42">
        <v>71.760000000000005</v>
      </c>
    </row>
    <row r="2028" spans="1:2" x14ac:dyDescent="0.2">
      <c r="A2028" s="40" t="s">
        <v>1274</v>
      </c>
      <c r="B2028" s="42">
        <v>73.41</v>
      </c>
    </row>
    <row r="2029" spans="1:2" x14ac:dyDescent="0.2">
      <c r="A2029" s="40" t="s">
        <v>1275</v>
      </c>
      <c r="B2029" s="42">
        <v>73.33</v>
      </c>
    </row>
    <row r="2030" spans="1:2" x14ac:dyDescent="0.2">
      <c r="A2030" s="40" t="s">
        <v>1276</v>
      </c>
      <c r="B2030" s="42">
        <v>72.58</v>
      </c>
    </row>
    <row r="2031" spans="1:2" x14ac:dyDescent="0.2">
      <c r="A2031" s="40" t="s">
        <v>1277</v>
      </c>
      <c r="B2031" s="42">
        <v>75.239999999999995</v>
      </c>
    </row>
    <row r="2032" spans="1:2" x14ac:dyDescent="0.2">
      <c r="A2032" s="40" t="s">
        <v>1278</v>
      </c>
      <c r="B2032" s="42">
        <v>72.31</v>
      </c>
    </row>
    <row r="2033" spans="1:2" x14ac:dyDescent="0.2">
      <c r="A2033" s="40" t="s">
        <v>1279</v>
      </c>
      <c r="B2033" s="42">
        <v>72.86</v>
      </c>
    </row>
    <row r="2034" spans="1:2" x14ac:dyDescent="0.2">
      <c r="A2034" s="40" t="s">
        <v>1280</v>
      </c>
      <c r="B2034" s="42">
        <v>72.72</v>
      </c>
    </row>
    <row r="2035" spans="1:2" x14ac:dyDescent="0.2">
      <c r="A2035" s="40" t="s">
        <v>1281</v>
      </c>
      <c r="B2035" s="42">
        <v>71.56</v>
      </c>
    </row>
    <row r="2036" spans="1:2" x14ac:dyDescent="0.2">
      <c r="A2036" s="41">
        <v>41646</v>
      </c>
      <c r="B2036" s="42">
        <v>69.28</v>
      </c>
    </row>
    <row r="2037" spans="1:2" x14ac:dyDescent="0.2">
      <c r="A2037" s="41">
        <v>41677</v>
      </c>
      <c r="B2037" s="42">
        <v>68.150000000000006</v>
      </c>
    </row>
    <row r="2038" spans="1:2" x14ac:dyDescent="0.2">
      <c r="A2038" s="41">
        <v>41705</v>
      </c>
      <c r="B2038" s="42">
        <v>68.349999999999994</v>
      </c>
    </row>
    <row r="2039" spans="1:2" x14ac:dyDescent="0.2">
      <c r="A2039" s="41">
        <v>41827</v>
      </c>
      <c r="B2039" s="42">
        <v>71.66</v>
      </c>
    </row>
    <row r="2040" spans="1:2" x14ac:dyDescent="0.2">
      <c r="A2040" s="41">
        <v>41858</v>
      </c>
      <c r="B2040" s="42">
        <v>73.209999999999994</v>
      </c>
    </row>
    <row r="2041" spans="1:2" x14ac:dyDescent="0.2">
      <c r="A2041" s="41">
        <v>41889</v>
      </c>
      <c r="B2041" s="42">
        <v>76.28</v>
      </c>
    </row>
    <row r="2042" spans="1:2" x14ac:dyDescent="0.2">
      <c r="A2042" s="41">
        <v>41919</v>
      </c>
      <c r="B2042" s="42">
        <v>82.14</v>
      </c>
    </row>
    <row r="2043" spans="1:2" x14ac:dyDescent="0.2">
      <c r="A2043" s="41">
        <v>41950</v>
      </c>
      <c r="B2043" s="42">
        <v>79.91</v>
      </c>
    </row>
    <row r="2044" spans="1:2" x14ac:dyDescent="0.2">
      <c r="A2044" s="40" t="s">
        <v>1282</v>
      </c>
      <c r="B2044" s="42">
        <v>77.290000000000006</v>
      </c>
    </row>
    <row r="2045" spans="1:2" x14ac:dyDescent="0.2">
      <c r="A2045" s="40" t="s">
        <v>1283</v>
      </c>
      <c r="B2045" s="42">
        <v>78.92</v>
      </c>
    </row>
    <row r="2046" spans="1:2" x14ac:dyDescent="0.2">
      <c r="A2046" s="40" t="s">
        <v>1284</v>
      </c>
      <c r="B2046" s="42">
        <v>75.81</v>
      </c>
    </row>
    <row r="2047" spans="1:2" x14ac:dyDescent="0.2">
      <c r="A2047" s="40" t="s">
        <v>1285</v>
      </c>
      <c r="B2047" s="42">
        <v>89.96</v>
      </c>
    </row>
    <row r="2048" spans="1:2" x14ac:dyDescent="0.2">
      <c r="A2048" s="40" t="s">
        <v>1286</v>
      </c>
      <c r="B2048" s="42">
        <v>80.37</v>
      </c>
    </row>
    <row r="2049" spans="1:2" x14ac:dyDescent="0.2">
      <c r="A2049" s="40" t="s">
        <v>1287</v>
      </c>
      <c r="B2049" s="42">
        <v>81.41</v>
      </c>
    </row>
    <row r="2050" spans="1:2" x14ac:dyDescent="0.2">
      <c r="A2050" s="40" t="s">
        <v>1288</v>
      </c>
      <c r="B2050" s="42">
        <v>75.22</v>
      </c>
    </row>
    <row r="2051" spans="1:2" x14ac:dyDescent="0.2">
      <c r="A2051" s="40" t="s">
        <v>1289</v>
      </c>
      <c r="B2051" s="42">
        <v>76.64</v>
      </c>
    </row>
    <row r="2052" spans="1:2" x14ac:dyDescent="0.2">
      <c r="A2052" s="40" t="s">
        <v>1290</v>
      </c>
      <c r="B2052" s="42">
        <v>77.66</v>
      </c>
    </row>
    <row r="2053" spans="1:2" x14ac:dyDescent="0.2">
      <c r="A2053" s="40" t="s">
        <v>1291</v>
      </c>
      <c r="B2053" s="42">
        <v>81.08</v>
      </c>
    </row>
    <row r="2054" spans="1:2" x14ac:dyDescent="0.2">
      <c r="A2054" s="40" t="s">
        <v>1292</v>
      </c>
      <c r="B2054" s="42">
        <v>81.209999999999994</v>
      </c>
    </row>
    <row r="2055" spans="1:2" x14ac:dyDescent="0.2">
      <c r="A2055" s="40" t="s">
        <v>1293</v>
      </c>
      <c r="B2055" s="42">
        <v>81.72</v>
      </c>
    </row>
    <row r="2056" spans="1:2" x14ac:dyDescent="0.2">
      <c r="A2056" s="40" t="s">
        <v>1294</v>
      </c>
      <c r="B2056" s="42">
        <v>83.58</v>
      </c>
    </row>
    <row r="2057" spans="1:2" x14ac:dyDescent="0.2">
      <c r="A2057" s="40" t="s">
        <v>1295</v>
      </c>
      <c r="B2057" s="42">
        <v>97.42</v>
      </c>
    </row>
    <row r="2058" spans="1:2" x14ac:dyDescent="0.2">
      <c r="A2058" s="41">
        <v>41647</v>
      </c>
      <c r="B2058" s="42">
        <v>101.11</v>
      </c>
    </row>
    <row r="2059" spans="1:2" x14ac:dyDescent="0.2">
      <c r="A2059" s="41">
        <v>41737</v>
      </c>
      <c r="B2059" s="42">
        <v>93.12</v>
      </c>
    </row>
    <row r="2060" spans="1:2" x14ac:dyDescent="0.2">
      <c r="A2060" s="41">
        <v>41767</v>
      </c>
      <c r="B2060" s="42">
        <v>98.32</v>
      </c>
    </row>
    <row r="2061" spans="1:2" x14ac:dyDescent="0.2">
      <c r="A2061" s="41">
        <v>41798</v>
      </c>
      <c r="B2061" s="42">
        <v>96.38</v>
      </c>
    </row>
    <row r="2062" spans="1:2" x14ac:dyDescent="0.2">
      <c r="A2062" s="41">
        <v>41828</v>
      </c>
      <c r="B2062" s="42">
        <v>97.4</v>
      </c>
    </row>
    <row r="2063" spans="1:2" x14ac:dyDescent="0.2">
      <c r="A2063" s="41">
        <v>41859</v>
      </c>
      <c r="B2063" s="42">
        <v>91.84</v>
      </c>
    </row>
    <row r="2064" spans="1:2" x14ac:dyDescent="0.2">
      <c r="A2064" s="41">
        <v>41951</v>
      </c>
      <c r="B2064" s="42">
        <v>87.54</v>
      </c>
    </row>
    <row r="2065" spans="1:2" x14ac:dyDescent="0.2">
      <c r="A2065" s="41">
        <v>41981</v>
      </c>
      <c r="B2065" s="42">
        <v>85.98</v>
      </c>
    </row>
    <row r="2066" spans="1:2" x14ac:dyDescent="0.2">
      <c r="A2066" s="40" t="s">
        <v>1296</v>
      </c>
      <c r="B2066" s="42">
        <v>81.27</v>
      </c>
    </row>
    <row r="2067" spans="1:2" x14ac:dyDescent="0.2">
      <c r="A2067" s="40" t="s">
        <v>1297</v>
      </c>
      <c r="B2067" s="42">
        <v>78.48</v>
      </c>
    </row>
    <row r="2068" spans="1:2" x14ac:dyDescent="0.2">
      <c r="A2068" s="40" t="s">
        <v>1298</v>
      </c>
      <c r="B2068" s="42">
        <v>82.2</v>
      </c>
    </row>
    <row r="2069" spans="1:2" x14ac:dyDescent="0.2">
      <c r="A2069" s="40" t="s">
        <v>1299</v>
      </c>
      <c r="B2069" s="42">
        <v>81.02</v>
      </c>
    </row>
    <row r="2070" spans="1:2" x14ac:dyDescent="0.2">
      <c r="A2070" s="40" t="s">
        <v>1300</v>
      </c>
      <c r="B2070" s="42">
        <v>80.84</v>
      </c>
    </row>
    <row r="2071" spans="1:2" x14ac:dyDescent="0.2">
      <c r="A2071" s="40" t="s">
        <v>1301</v>
      </c>
      <c r="B2071" s="42">
        <v>79.900000000000006</v>
      </c>
    </row>
    <row r="2072" spans="1:2" x14ac:dyDescent="0.2">
      <c r="A2072" s="40" t="s">
        <v>1302</v>
      </c>
      <c r="B2072" s="42">
        <v>79.61</v>
      </c>
    </row>
    <row r="2073" spans="1:2" x14ac:dyDescent="0.2">
      <c r="A2073" s="40" t="s">
        <v>1303</v>
      </c>
      <c r="B2073" s="42">
        <v>79.58</v>
      </c>
    </row>
    <row r="2074" spans="1:2" x14ac:dyDescent="0.2">
      <c r="A2074" s="40" t="s">
        <v>1304</v>
      </c>
      <c r="B2074" s="42">
        <v>79.33</v>
      </c>
    </row>
    <row r="2075" spans="1:2" x14ac:dyDescent="0.2">
      <c r="A2075" s="40" t="s">
        <v>1305</v>
      </c>
      <c r="B2075" s="42">
        <v>79.39</v>
      </c>
    </row>
    <row r="2076" spans="1:2" x14ac:dyDescent="0.2">
      <c r="A2076" s="40" t="s">
        <v>1306</v>
      </c>
      <c r="B2076" s="42">
        <v>78.849999999999994</v>
      </c>
    </row>
    <row r="2077" spans="1:2" x14ac:dyDescent="0.2">
      <c r="A2077" s="40" t="s">
        <v>1307</v>
      </c>
      <c r="B2077" s="42">
        <v>80.53</v>
      </c>
    </row>
    <row r="2078" spans="1:2" x14ac:dyDescent="0.2">
      <c r="A2078" s="40" t="s">
        <v>1308</v>
      </c>
      <c r="B2078" s="42">
        <v>81.11</v>
      </c>
    </row>
    <row r="2079" spans="1:2" x14ac:dyDescent="0.2">
      <c r="A2079" s="41">
        <v>41679</v>
      </c>
      <c r="B2079" s="42">
        <v>82.41</v>
      </c>
    </row>
    <row r="2080" spans="1:2" x14ac:dyDescent="0.2">
      <c r="A2080" s="41">
        <v>41707</v>
      </c>
      <c r="B2080" s="42">
        <v>80.77</v>
      </c>
    </row>
    <row r="2081" spans="1:2" x14ac:dyDescent="0.2">
      <c r="A2081" s="41">
        <v>41738</v>
      </c>
      <c r="B2081" s="42">
        <v>79.989999999999995</v>
      </c>
    </row>
    <row r="2082" spans="1:2" x14ac:dyDescent="0.2">
      <c r="A2082" s="41">
        <v>41768</v>
      </c>
      <c r="B2082" s="42">
        <v>77.33</v>
      </c>
    </row>
    <row r="2083" spans="1:2" x14ac:dyDescent="0.2">
      <c r="A2083" s="41">
        <v>41860</v>
      </c>
      <c r="B2083" s="42">
        <v>77.84</v>
      </c>
    </row>
    <row r="2084" spans="1:2" x14ac:dyDescent="0.2">
      <c r="A2084" s="41">
        <v>41891</v>
      </c>
      <c r="B2084" s="42">
        <v>79.3</v>
      </c>
    </row>
    <row r="2085" spans="1:2" x14ac:dyDescent="0.2">
      <c r="A2085" s="41">
        <v>41921</v>
      </c>
      <c r="B2085" s="42">
        <v>82.12</v>
      </c>
    </row>
    <row r="2086" spans="1:2" x14ac:dyDescent="0.2">
      <c r="A2086" s="41">
        <v>41952</v>
      </c>
      <c r="B2086" s="42">
        <v>83.1</v>
      </c>
    </row>
    <row r="2087" spans="1:2" x14ac:dyDescent="0.2">
      <c r="A2087" s="41">
        <v>41982</v>
      </c>
      <c r="B2087" s="42">
        <v>89.25</v>
      </c>
    </row>
    <row r="2088" spans="1:2" x14ac:dyDescent="0.2">
      <c r="A2088" s="40" t="s">
        <v>1309</v>
      </c>
      <c r="B2088" s="42">
        <v>91.58</v>
      </c>
    </row>
    <row r="2089" spans="1:2" x14ac:dyDescent="0.2">
      <c r="A2089" s="40" t="s">
        <v>1310</v>
      </c>
      <c r="B2089" s="42">
        <v>84.52</v>
      </c>
    </row>
    <row r="2090" spans="1:2" x14ac:dyDescent="0.2">
      <c r="A2090" s="40" t="s">
        <v>1311</v>
      </c>
      <c r="B2090" s="42">
        <v>81.52</v>
      </c>
    </row>
    <row r="2091" spans="1:2" x14ac:dyDescent="0.2">
      <c r="A2091" s="40" t="s">
        <v>1312</v>
      </c>
      <c r="B2091" s="42">
        <v>77.47</v>
      </c>
    </row>
    <row r="2092" spans="1:2" x14ac:dyDescent="0.2">
      <c r="A2092" s="40" t="s">
        <v>1313</v>
      </c>
      <c r="B2092" s="42">
        <v>77.7</v>
      </c>
    </row>
    <row r="2093" spans="1:2" x14ac:dyDescent="0.2">
      <c r="A2093" s="40" t="s">
        <v>1314</v>
      </c>
      <c r="B2093" s="42">
        <v>87.41</v>
      </c>
    </row>
    <row r="2094" spans="1:2" x14ac:dyDescent="0.2">
      <c r="A2094" s="40" t="s">
        <v>1315</v>
      </c>
      <c r="B2094" s="42">
        <v>91.9</v>
      </c>
    </row>
    <row r="2095" spans="1:2" x14ac:dyDescent="0.2">
      <c r="A2095" s="40" t="s">
        <v>1316</v>
      </c>
      <c r="B2095" s="42">
        <v>86.21</v>
      </c>
    </row>
    <row r="2096" spans="1:2" x14ac:dyDescent="0.2">
      <c r="A2096" s="40" t="s">
        <v>1317</v>
      </c>
      <c r="B2096" s="42">
        <v>96.72</v>
      </c>
    </row>
    <row r="2097" spans="1:2" x14ac:dyDescent="0.2">
      <c r="A2097" s="40" t="s">
        <v>1318</v>
      </c>
      <c r="B2097" s="42">
        <v>90.63</v>
      </c>
    </row>
    <row r="2098" spans="1:2" x14ac:dyDescent="0.2">
      <c r="A2098" s="40" t="s">
        <v>1319</v>
      </c>
      <c r="B2098" s="42">
        <v>95.02</v>
      </c>
    </row>
    <row r="2099" spans="1:2" x14ac:dyDescent="0.2">
      <c r="A2099" s="40" t="s">
        <v>1320</v>
      </c>
      <c r="B2099" s="42">
        <v>92.47</v>
      </c>
    </row>
    <row r="2100" spans="1:2" x14ac:dyDescent="0.2">
      <c r="A2100" s="41">
        <v>41649</v>
      </c>
      <c r="B2100" s="42">
        <v>98.12</v>
      </c>
    </row>
    <row r="2101" spans="1:2" x14ac:dyDescent="0.2">
      <c r="A2101" s="41">
        <v>41680</v>
      </c>
      <c r="B2101" s="42">
        <v>93.75</v>
      </c>
    </row>
    <row r="2102" spans="1:2" x14ac:dyDescent="0.2">
      <c r="A2102" s="41">
        <v>41708</v>
      </c>
      <c r="B2102" s="42">
        <v>87.77</v>
      </c>
    </row>
    <row r="2103" spans="1:2" x14ac:dyDescent="0.2">
      <c r="A2103" s="41">
        <v>41800</v>
      </c>
      <c r="B2103" s="42">
        <v>88.73</v>
      </c>
    </row>
    <row r="2104" spans="1:2" x14ac:dyDescent="0.2">
      <c r="A2104" s="41">
        <v>41830</v>
      </c>
      <c r="B2104" s="42">
        <v>99.2</v>
      </c>
    </row>
    <row r="2105" spans="1:2" x14ac:dyDescent="0.2">
      <c r="A2105" s="41">
        <v>41861</v>
      </c>
      <c r="B2105" s="42">
        <v>89.08</v>
      </c>
    </row>
    <row r="2106" spans="1:2" x14ac:dyDescent="0.2">
      <c r="A2106" s="41">
        <v>41892</v>
      </c>
      <c r="B2106" s="42">
        <v>102.13</v>
      </c>
    </row>
    <row r="2107" spans="1:2" x14ac:dyDescent="0.2">
      <c r="A2107" s="41">
        <v>41922</v>
      </c>
      <c r="B2107" s="42">
        <v>113.38</v>
      </c>
    </row>
    <row r="2108" spans="1:2" x14ac:dyDescent="0.2">
      <c r="A2108" s="40" t="s">
        <v>1321</v>
      </c>
      <c r="B2108" s="42">
        <v>131.57</v>
      </c>
    </row>
    <row r="2109" spans="1:2" x14ac:dyDescent="0.2">
      <c r="A2109" s="40" t="s">
        <v>1322</v>
      </c>
      <c r="B2109" s="42">
        <v>120.61</v>
      </c>
    </row>
    <row r="2110" spans="1:2" x14ac:dyDescent="0.2">
      <c r="A2110" s="40" t="s">
        <v>1323</v>
      </c>
      <c r="B2110" s="42">
        <v>129.01</v>
      </c>
    </row>
    <row r="2111" spans="1:2" x14ac:dyDescent="0.2">
      <c r="A2111" s="40" t="s">
        <v>1324</v>
      </c>
      <c r="B2111" s="42">
        <v>121.94</v>
      </c>
    </row>
    <row r="2112" spans="1:2" x14ac:dyDescent="0.2">
      <c r="A2112" s="40" t="s">
        <v>1325</v>
      </c>
      <c r="B2112" s="42">
        <v>118.84</v>
      </c>
    </row>
    <row r="2113" spans="1:2" x14ac:dyDescent="0.2">
      <c r="A2113" s="40" t="s">
        <v>1326</v>
      </c>
      <c r="B2113" s="42">
        <v>108.83</v>
      </c>
    </row>
    <row r="2114" spans="1:2" x14ac:dyDescent="0.2">
      <c r="A2114" s="40" t="s">
        <v>1327</v>
      </c>
      <c r="B2114" s="42">
        <v>104.09</v>
      </c>
    </row>
    <row r="2115" spans="1:2" x14ac:dyDescent="0.2">
      <c r="A2115" s="40" t="s">
        <v>1328</v>
      </c>
      <c r="B2115" s="42">
        <v>108.82</v>
      </c>
    </row>
    <row r="2116" spans="1:2" x14ac:dyDescent="0.2">
      <c r="A2116" s="40" t="s">
        <v>1329</v>
      </c>
      <c r="B2116" s="42">
        <v>102.05</v>
      </c>
    </row>
    <row r="2117" spans="1:2" x14ac:dyDescent="0.2">
      <c r="A2117" s="40" t="s">
        <v>1330</v>
      </c>
      <c r="B2117" s="42">
        <v>104.38</v>
      </c>
    </row>
    <row r="2118" spans="1:2" x14ac:dyDescent="0.2">
      <c r="A2118" s="40" t="s">
        <v>1331</v>
      </c>
      <c r="B2118" s="42">
        <v>100.75</v>
      </c>
    </row>
    <row r="2119" spans="1:2" x14ac:dyDescent="0.2">
      <c r="A2119" s="40" t="s">
        <v>1332</v>
      </c>
      <c r="B2119" s="42">
        <v>95.89</v>
      </c>
    </row>
    <row r="2120" spans="1:2" x14ac:dyDescent="0.2">
      <c r="A2120" s="40" t="s">
        <v>1333</v>
      </c>
      <c r="B2120" s="42">
        <v>99.34</v>
      </c>
    </row>
    <row r="2121" spans="1:2" x14ac:dyDescent="0.2">
      <c r="A2121" s="40" t="s">
        <v>1334</v>
      </c>
      <c r="B2121" s="42">
        <v>98.52</v>
      </c>
    </row>
    <row r="2122" spans="1:2" x14ac:dyDescent="0.2">
      <c r="A2122" s="40" t="s">
        <v>1335</v>
      </c>
      <c r="B2122" s="42">
        <v>94.1</v>
      </c>
    </row>
    <row r="2123" spans="1:2" x14ac:dyDescent="0.2">
      <c r="A2123" s="41">
        <v>41709</v>
      </c>
      <c r="B2123" s="42">
        <v>93.19</v>
      </c>
    </row>
    <row r="2124" spans="1:2" x14ac:dyDescent="0.2">
      <c r="A2124" s="41">
        <v>41740</v>
      </c>
      <c r="B2124" s="42">
        <v>92.44</v>
      </c>
    </row>
    <row r="2125" spans="1:2" x14ac:dyDescent="0.2">
      <c r="A2125" s="41">
        <v>41770</v>
      </c>
      <c r="B2125" s="42">
        <v>87.08</v>
      </c>
    </row>
    <row r="2126" spans="1:2" x14ac:dyDescent="0.2">
      <c r="A2126" s="41">
        <v>41801</v>
      </c>
      <c r="B2126" s="42">
        <v>83.42</v>
      </c>
    </row>
    <row r="2127" spans="1:2" x14ac:dyDescent="0.2">
      <c r="A2127" s="41">
        <v>41831</v>
      </c>
      <c r="B2127" s="42">
        <v>80.44</v>
      </c>
    </row>
    <row r="2128" spans="1:2" x14ac:dyDescent="0.2">
      <c r="A2128" s="41">
        <v>41923</v>
      </c>
      <c r="B2128" s="42">
        <v>79.7</v>
      </c>
    </row>
    <row r="2129" spans="1:2" x14ac:dyDescent="0.2">
      <c r="A2129" s="41">
        <v>41954</v>
      </c>
      <c r="B2129" s="42">
        <v>79.790000000000006</v>
      </c>
    </row>
    <row r="2130" spans="1:2" x14ac:dyDescent="0.2">
      <c r="A2130" s="41">
        <v>41984</v>
      </c>
      <c r="B2130" s="42">
        <v>83.1</v>
      </c>
    </row>
    <row r="2131" spans="1:2" x14ac:dyDescent="0.2">
      <c r="A2131" s="40" t="s">
        <v>1336</v>
      </c>
      <c r="B2131" s="42">
        <v>86.29</v>
      </c>
    </row>
    <row r="2132" spans="1:2" x14ac:dyDescent="0.2">
      <c r="A2132" s="40" t="s">
        <v>1337</v>
      </c>
      <c r="B2132" s="42">
        <v>85.58</v>
      </c>
    </row>
    <row r="2133" spans="1:2" x14ac:dyDescent="0.2">
      <c r="A2133" s="40" t="s">
        <v>1338</v>
      </c>
      <c r="B2133" s="42">
        <v>84.79</v>
      </c>
    </row>
    <row r="2134" spans="1:2" x14ac:dyDescent="0.2">
      <c r="A2134" s="40" t="s">
        <v>1339</v>
      </c>
      <c r="B2134" s="42">
        <v>82.6</v>
      </c>
    </row>
    <row r="2135" spans="1:2" x14ac:dyDescent="0.2">
      <c r="A2135" s="40" t="s">
        <v>1340</v>
      </c>
      <c r="B2135" s="42">
        <v>81.06</v>
      </c>
    </row>
    <row r="2136" spans="1:2" x14ac:dyDescent="0.2">
      <c r="A2136" s="40" t="s">
        <v>1341</v>
      </c>
      <c r="B2136" s="42">
        <v>79.14</v>
      </c>
    </row>
    <row r="2137" spans="1:2" x14ac:dyDescent="0.2">
      <c r="A2137" s="40" t="s">
        <v>1342</v>
      </c>
      <c r="B2137" s="42">
        <v>79.34</v>
      </c>
    </row>
    <row r="2138" spans="1:2" x14ac:dyDescent="0.2">
      <c r="A2138" s="40" t="s">
        <v>1343</v>
      </c>
      <c r="B2138" s="42">
        <v>79.25</v>
      </c>
    </row>
    <row r="2139" spans="1:2" x14ac:dyDescent="0.2">
      <c r="A2139" s="40" t="s">
        <v>1344</v>
      </c>
      <c r="B2139" s="42">
        <v>77.930000000000007</v>
      </c>
    </row>
    <row r="2140" spans="1:2" x14ac:dyDescent="0.2">
      <c r="A2140" s="40" t="s">
        <v>1345</v>
      </c>
      <c r="B2140" s="42">
        <v>77.040000000000006</v>
      </c>
    </row>
    <row r="2141" spans="1:2" x14ac:dyDescent="0.2">
      <c r="A2141" s="40" t="s">
        <v>1346</v>
      </c>
      <c r="B2141" s="42">
        <v>79.84</v>
      </c>
    </row>
    <row r="2142" spans="1:2" x14ac:dyDescent="0.2">
      <c r="A2142" s="41">
        <v>41651</v>
      </c>
      <c r="B2142" s="42">
        <v>86.84</v>
      </c>
    </row>
    <row r="2143" spans="1:2" x14ac:dyDescent="0.2">
      <c r="A2143" s="41">
        <v>41682</v>
      </c>
      <c r="B2143" s="42">
        <v>83.47</v>
      </c>
    </row>
    <row r="2144" spans="1:2" x14ac:dyDescent="0.2">
      <c r="A2144" s="41">
        <v>41710</v>
      </c>
      <c r="B2144" s="42">
        <v>86.45</v>
      </c>
    </row>
    <row r="2145" spans="1:2" x14ac:dyDescent="0.2">
      <c r="A2145" s="41">
        <v>41741</v>
      </c>
      <c r="B2145" s="42">
        <v>85.17</v>
      </c>
    </row>
    <row r="2146" spans="1:2" x14ac:dyDescent="0.2">
      <c r="A2146" s="41">
        <v>41771</v>
      </c>
      <c r="B2146" s="42">
        <v>85.41</v>
      </c>
    </row>
    <row r="2147" spans="1:2" x14ac:dyDescent="0.2">
      <c r="A2147" s="41">
        <v>41863</v>
      </c>
      <c r="B2147" s="42">
        <v>94.45</v>
      </c>
    </row>
    <row r="2148" spans="1:2" x14ac:dyDescent="0.2">
      <c r="A2148" s="41">
        <v>41894</v>
      </c>
      <c r="B2148" s="42">
        <v>97.13</v>
      </c>
    </row>
    <row r="2149" spans="1:2" x14ac:dyDescent="0.2">
      <c r="A2149" s="41">
        <v>41924</v>
      </c>
      <c r="B2149" s="42">
        <v>117.32</v>
      </c>
    </row>
    <row r="2150" spans="1:2" x14ac:dyDescent="0.2">
      <c r="A2150" s="41">
        <v>41955</v>
      </c>
      <c r="B2150" s="42">
        <v>132.4</v>
      </c>
    </row>
    <row r="2151" spans="1:2" x14ac:dyDescent="0.2">
      <c r="A2151" s="41">
        <v>41985</v>
      </c>
      <c r="B2151" s="42">
        <v>138.6</v>
      </c>
    </row>
    <row r="2152" spans="1:2" x14ac:dyDescent="0.2">
      <c r="A2152" s="40" t="s">
        <v>1347</v>
      </c>
      <c r="B2152" s="42">
        <v>128.22</v>
      </c>
    </row>
    <row r="2153" spans="1:2" x14ac:dyDescent="0.2">
      <c r="A2153" s="40" t="s">
        <v>1348</v>
      </c>
      <c r="B2153" s="42">
        <v>132.94</v>
      </c>
    </row>
    <row r="2154" spans="1:2" x14ac:dyDescent="0.2">
      <c r="A2154" s="40" t="s">
        <v>1349</v>
      </c>
      <c r="B2154" s="42">
        <v>114.37</v>
      </c>
    </row>
    <row r="2155" spans="1:2" x14ac:dyDescent="0.2">
      <c r="A2155" s="40" t="s">
        <v>1350</v>
      </c>
      <c r="B2155" s="42">
        <v>107.24</v>
      </c>
    </row>
    <row r="2156" spans="1:2" x14ac:dyDescent="0.2">
      <c r="A2156" s="40" t="s">
        <v>1351</v>
      </c>
      <c r="B2156" s="42">
        <v>99.17</v>
      </c>
    </row>
    <row r="2157" spans="1:2" x14ac:dyDescent="0.2">
      <c r="A2157" s="40" t="s">
        <v>1352</v>
      </c>
      <c r="B2157" s="42">
        <v>99.69</v>
      </c>
    </row>
    <row r="2158" spans="1:2" x14ac:dyDescent="0.2">
      <c r="A2158" s="40" t="s">
        <v>1353</v>
      </c>
      <c r="B2158" s="42">
        <v>94.73</v>
      </c>
    </row>
    <row r="2159" spans="1:2" x14ac:dyDescent="0.2">
      <c r="A2159" s="40" t="s">
        <v>1354</v>
      </c>
      <c r="B2159" s="42">
        <v>95.29</v>
      </c>
    </row>
    <row r="2160" spans="1:2" x14ac:dyDescent="0.2">
      <c r="A2160" s="40" t="s">
        <v>1355</v>
      </c>
      <c r="B2160" s="42">
        <v>92.28</v>
      </c>
    </row>
    <row r="2161" spans="1:2" x14ac:dyDescent="0.2">
      <c r="A2161" s="40" t="s">
        <v>1356</v>
      </c>
      <c r="B2161" s="42">
        <v>94.86</v>
      </c>
    </row>
    <row r="2162" spans="1:2" x14ac:dyDescent="0.2">
      <c r="A2162" s="40" t="s">
        <v>1357</v>
      </c>
      <c r="B2162" s="42">
        <v>97.84</v>
      </c>
    </row>
    <row r="2163" spans="1:2" x14ac:dyDescent="0.2">
      <c r="A2163" s="40" t="s">
        <v>1358</v>
      </c>
      <c r="B2163" s="42">
        <v>113.08</v>
      </c>
    </row>
    <row r="2164" spans="1:2" x14ac:dyDescent="0.2">
      <c r="A2164" s="41">
        <v>42036</v>
      </c>
      <c r="B2164" s="42">
        <v>112.55</v>
      </c>
    </row>
    <row r="2165" spans="1:2" x14ac:dyDescent="0.2">
      <c r="A2165" s="41">
        <v>42125</v>
      </c>
      <c r="B2165" s="42">
        <v>121.87</v>
      </c>
    </row>
    <row r="2166" spans="1:2" x14ac:dyDescent="0.2">
      <c r="A2166" s="41">
        <v>42156</v>
      </c>
      <c r="B2166" s="42">
        <v>118.45</v>
      </c>
    </row>
    <row r="2167" spans="1:2" x14ac:dyDescent="0.2">
      <c r="A2167" s="41">
        <v>42186</v>
      </c>
      <c r="B2167" s="42">
        <v>107.69</v>
      </c>
    </row>
    <row r="2168" spans="1:2" x14ac:dyDescent="0.2">
      <c r="A2168" s="41">
        <v>42217</v>
      </c>
      <c r="B2168" s="42">
        <v>98.44</v>
      </c>
    </row>
    <row r="2169" spans="1:2" x14ac:dyDescent="0.2">
      <c r="A2169" s="41">
        <v>42248</v>
      </c>
      <c r="B2169" s="42">
        <v>103.77</v>
      </c>
    </row>
    <row r="2170" spans="1:2" x14ac:dyDescent="0.2">
      <c r="A2170" s="41">
        <v>42339</v>
      </c>
      <c r="B2170" s="42">
        <v>109.04</v>
      </c>
    </row>
    <row r="2171" spans="1:2" x14ac:dyDescent="0.2">
      <c r="A2171" s="40" t="s">
        <v>1359</v>
      </c>
      <c r="B2171" s="42">
        <v>109.22</v>
      </c>
    </row>
    <row r="2172" spans="1:2" x14ac:dyDescent="0.2">
      <c r="A2172" s="40" t="s">
        <v>1360</v>
      </c>
      <c r="B2172" s="42">
        <v>113.5</v>
      </c>
    </row>
    <row r="2173" spans="1:2" x14ac:dyDescent="0.2">
      <c r="A2173" s="40" t="s">
        <v>1361</v>
      </c>
      <c r="B2173" s="42">
        <v>117.07</v>
      </c>
    </row>
    <row r="2174" spans="1:2" x14ac:dyDescent="0.2">
      <c r="A2174" s="40" t="s">
        <v>1362</v>
      </c>
      <c r="B2174" s="42">
        <v>111.32</v>
      </c>
    </row>
    <row r="2175" spans="1:2" x14ac:dyDescent="0.2">
      <c r="A2175" s="40" t="s">
        <v>1363</v>
      </c>
      <c r="B2175" s="42">
        <v>108.4</v>
      </c>
    </row>
    <row r="2176" spans="1:2" x14ac:dyDescent="0.2">
      <c r="A2176" s="40" t="s">
        <v>1364</v>
      </c>
      <c r="B2176" s="42">
        <v>98.62</v>
      </c>
    </row>
    <row r="2177" spans="1:2" x14ac:dyDescent="0.2">
      <c r="A2177" s="40" t="s">
        <v>1365</v>
      </c>
      <c r="B2177" s="42">
        <v>93.25</v>
      </c>
    </row>
    <row r="2178" spans="1:2" x14ac:dyDescent="0.2">
      <c r="A2178" s="40" t="s">
        <v>1366</v>
      </c>
      <c r="B2178" s="42">
        <v>96.33</v>
      </c>
    </row>
    <row r="2179" spans="1:2" x14ac:dyDescent="0.2">
      <c r="A2179" s="40" t="s">
        <v>1367</v>
      </c>
      <c r="B2179" s="42">
        <v>91.94</v>
      </c>
    </row>
    <row r="2180" spans="1:2" x14ac:dyDescent="0.2">
      <c r="A2180" s="40" t="s">
        <v>1368</v>
      </c>
      <c r="B2180" s="42">
        <v>96.11</v>
      </c>
    </row>
    <row r="2181" spans="1:2" x14ac:dyDescent="0.2">
      <c r="A2181" s="40" t="s">
        <v>1369</v>
      </c>
      <c r="B2181" s="42">
        <v>108.68</v>
      </c>
    </row>
    <row r="2182" spans="1:2" x14ac:dyDescent="0.2">
      <c r="A2182" s="40" t="s">
        <v>1370</v>
      </c>
      <c r="B2182" s="42">
        <v>100.7</v>
      </c>
    </row>
    <row r="2183" spans="1:2" x14ac:dyDescent="0.2">
      <c r="A2183" s="40" t="s">
        <v>1371</v>
      </c>
      <c r="B2183" s="42">
        <v>108.99</v>
      </c>
    </row>
    <row r="2184" spans="1:2" x14ac:dyDescent="0.2">
      <c r="A2184" s="41">
        <v>42037</v>
      </c>
      <c r="B2184" s="42">
        <v>106.74</v>
      </c>
    </row>
    <row r="2185" spans="1:2" x14ac:dyDescent="0.2">
      <c r="A2185" s="41">
        <v>42065</v>
      </c>
      <c r="B2185" s="42">
        <v>101.03</v>
      </c>
    </row>
    <row r="2186" spans="1:2" x14ac:dyDescent="0.2">
      <c r="A2186" s="41">
        <v>42096</v>
      </c>
      <c r="B2186" s="42">
        <v>103.74</v>
      </c>
    </row>
    <row r="2187" spans="1:2" x14ac:dyDescent="0.2">
      <c r="A2187" s="41">
        <v>42126</v>
      </c>
      <c r="B2187" s="42">
        <v>98.56</v>
      </c>
    </row>
    <row r="2188" spans="1:2" x14ac:dyDescent="0.2">
      <c r="A2188" s="41">
        <v>42157</v>
      </c>
      <c r="B2188" s="42">
        <v>101.69</v>
      </c>
    </row>
    <row r="2189" spans="1:2" x14ac:dyDescent="0.2">
      <c r="A2189" s="41">
        <v>42249</v>
      </c>
      <c r="B2189" s="42">
        <v>104.19</v>
      </c>
    </row>
    <row r="2190" spans="1:2" x14ac:dyDescent="0.2">
      <c r="A2190" s="41">
        <v>42279</v>
      </c>
      <c r="B2190" s="42">
        <v>97.33</v>
      </c>
    </row>
    <row r="2191" spans="1:2" x14ac:dyDescent="0.2">
      <c r="A2191" s="41">
        <v>42310</v>
      </c>
      <c r="B2191" s="42">
        <v>98.73</v>
      </c>
    </row>
    <row r="2192" spans="1:2" x14ac:dyDescent="0.2">
      <c r="A2192" s="41">
        <v>42340</v>
      </c>
      <c r="B2192" s="42">
        <v>93.24</v>
      </c>
    </row>
    <row r="2193" spans="1:2" x14ac:dyDescent="0.2">
      <c r="A2193" s="40" t="s">
        <v>1372</v>
      </c>
      <c r="B2193" s="42">
        <v>92.74</v>
      </c>
    </row>
    <row r="2194" spans="1:2" x14ac:dyDescent="0.2">
      <c r="A2194" s="40" t="s">
        <v>1373</v>
      </c>
      <c r="B2194" s="42">
        <v>92.95</v>
      </c>
    </row>
    <row r="2195" spans="1:2" x14ac:dyDescent="0.2">
      <c r="A2195" s="40" t="s">
        <v>1374</v>
      </c>
      <c r="B2195" s="42">
        <v>89.38</v>
      </c>
    </row>
    <row r="2196" spans="1:2" x14ac:dyDescent="0.2">
      <c r="A2196" s="40" t="s">
        <v>1375</v>
      </c>
      <c r="B2196" s="42">
        <v>87.6</v>
      </c>
    </row>
    <row r="2197" spans="1:2" x14ac:dyDescent="0.2">
      <c r="A2197" s="40" t="s">
        <v>1376</v>
      </c>
      <c r="B2197" s="42">
        <v>85.78</v>
      </c>
    </row>
    <row r="2198" spans="1:2" x14ac:dyDescent="0.2">
      <c r="A2198" s="40" t="s">
        <v>1377</v>
      </c>
      <c r="B2198" s="42">
        <v>86.13</v>
      </c>
    </row>
    <row r="2199" spans="1:2" x14ac:dyDescent="0.2">
      <c r="A2199" s="40" t="s">
        <v>1378</v>
      </c>
      <c r="B2199" s="42">
        <v>82.65</v>
      </c>
    </row>
    <row r="2200" spans="1:2" x14ac:dyDescent="0.2">
      <c r="A2200" s="40" t="s">
        <v>1379</v>
      </c>
      <c r="B2200" s="42">
        <v>86.57</v>
      </c>
    </row>
    <row r="2201" spans="1:2" x14ac:dyDescent="0.2">
      <c r="A2201" s="40" t="s">
        <v>1380</v>
      </c>
      <c r="B2201" s="42">
        <v>86.93</v>
      </c>
    </row>
    <row r="2202" spans="1:2" x14ac:dyDescent="0.2">
      <c r="A2202" s="40" t="s">
        <v>1381</v>
      </c>
      <c r="B2202" s="42">
        <v>85.23</v>
      </c>
    </row>
    <row r="2203" spans="1:2" x14ac:dyDescent="0.2">
      <c r="A2203" s="41">
        <v>42038</v>
      </c>
      <c r="B2203" s="42">
        <v>81.84</v>
      </c>
    </row>
    <row r="2204" spans="1:2" x14ac:dyDescent="0.2">
      <c r="A2204" s="41">
        <v>42066</v>
      </c>
      <c r="B2204" s="42">
        <v>85.05</v>
      </c>
    </row>
    <row r="2205" spans="1:2" x14ac:dyDescent="0.2">
      <c r="A2205" s="41">
        <v>42097</v>
      </c>
      <c r="B2205" s="42">
        <v>84.1</v>
      </c>
    </row>
    <row r="2206" spans="1:2" x14ac:dyDescent="0.2">
      <c r="A2206" s="41">
        <v>42127</v>
      </c>
      <c r="B2206" s="42">
        <v>81.260000000000005</v>
      </c>
    </row>
    <row r="2207" spans="1:2" x14ac:dyDescent="0.2">
      <c r="A2207" s="41">
        <v>42158</v>
      </c>
      <c r="B2207" s="42">
        <v>86.88</v>
      </c>
    </row>
    <row r="2208" spans="1:2" x14ac:dyDescent="0.2">
      <c r="A2208" s="41">
        <v>42250</v>
      </c>
      <c r="B2208" s="42">
        <v>85.55</v>
      </c>
    </row>
    <row r="2209" spans="1:2" x14ac:dyDescent="0.2">
      <c r="A2209" s="41">
        <v>42280</v>
      </c>
      <c r="B2209" s="42">
        <v>91.89</v>
      </c>
    </row>
    <row r="2210" spans="1:2" x14ac:dyDescent="0.2">
      <c r="A2210" s="41">
        <v>42311</v>
      </c>
      <c r="B2210" s="42">
        <v>97.28</v>
      </c>
    </row>
    <row r="2211" spans="1:2" x14ac:dyDescent="0.2">
      <c r="A2211" s="41">
        <v>42341</v>
      </c>
      <c r="B2211" s="42">
        <v>89.48</v>
      </c>
    </row>
    <row r="2212" spans="1:2" x14ac:dyDescent="0.2">
      <c r="A2212" s="40" t="s">
        <v>1382</v>
      </c>
      <c r="B2212" s="42">
        <v>93.12</v>
      </c>
    </row>
    <row r="2213" spans="1:2" x14ac:dyDescent="0.2">
      <c r="A2213" s="40" t="s">
        <v>1383</v>
      </c>
      <c r="B2213" s="42">
        <v>90.54</v>
      </c>
    </row>
    <row r="2214" spans="1:2" x14ac:dyDescent="0.2">
      <c r="A2214" s="40" t="s">
        <v>1384</v>
      </c>
      <c r="B2214" s="42">
        <v>88.25</v>
      </c>
    </row>
    <row r="2215" spans="1:2" x14ac:dyDescent="0.2">
      <c r="A2215" s="40" t="s">
        <v>1385</v>
      </c>
      <c r="B2215" s="42">
        <v>81.22</v>
      </c>
    </row>
    <row r="2216" spans="1:2" x14ac:dyDescent="0.2">
      <c r="A2216" s="40" t="s">
        <v>1386</v>
      </c>
      <c r="B2216" s="42">
        <v>81.61</v>
      </c>
    </row>
    <row r="2217" spans="1:2" x14ac:dyDescent="0.2">
      <c r="A2217" s="40" t="s">
        <v>1387</v>
      </c>
      <c r="B2217" s="42">
        <v>80.489999999999995</v>
      </c>
    </row>
    <row r="2218" spans="1:2" x14ac:dyDescent="0.2">
      <c r="A2218" s="40" t="s">
        <v>1388</v>
      </c>
      <c r="B2218" s="42">
        <v>79.98</v>
      </c>
    </row>
    <row r="2219" spans="1:2" x14ac:dyDescent="0.2">
      <c r="A2219" s="40" t="s">
        <v>1389</v>
      </c>
      <c r="B2219" s="42">
        <v>80.040000000000006</v>
      </c>
    </row>
    <row r="2220" spans="1:2" x14ac:dyDescent="0.2">
      <c r="A2220" s="40" t="s">
        <v>1390</v>
      </c>
      <c r="B2220" s="42">
        <v>83.52</v>
      </c>
    </row>
    <row r="2221" spans="1:2" x14ac:dyDescent="0.2">
      <c r="A2221" s="40" t="s">
        <v>1391</v>
      </c>
      <c r="B2221" s="42">
        <v>87.03</v>
      </c>
    </row>
    <row r="2222" spans="1:2" x14ac:dyDescent="0.2">
      <c r="A2222" s="40" t="s">
        <v>1392</v>
      </c>
      <c r="B2222" s="42">
        <v>86.5</v>
      </c>
    </row>
    <row r="2223" spans="1:2" x14ac:dyDescent="0.2">
      <c r="A2223" s="40" t="s">
        <v>1393</v>
      </c>
      <c r="B2223" s="42">
        <v>82.16</v>
      </c>
    </row>
    <row r="2224" spans="1:2" x14ac:dyDescent="0.2">
      <c r="A2224" s="40" t="s">
        <v>1394</v>
      </c>
      <c r="B2224" s="42">
        <v>84.01</v>
      </c>
    </row>
    <row r="2225" spans="1:2" x14ac:dyDescent="0.2">
      <c r="A2225" s="41">
        <v>42008</v>
      </c>
      <c r="B2225" s="42">
        <v>82.82</v>
      </c>
    </row>
    <row r="2226" spans="1:2" x14ac:dyDescent="0.2">
      <c r="A2226" s="41">
        <v>42039</v>
      </c>
      <c r="B2226" s="42">
        <v>80.209999999999994</v>
      </c>
    </row>
    <row r="2227" spans="1:2" x14ac:dyDescent="0.2">
      <c r="A2227" s="41">
        <v>42159</v>
      </c>
      <c r="B2227" s="42">
        <v>80.3</v>
      </c>
    </row>
    <row r="2228" spans="1:2" x14ac:dyDescent="0.2">
      <c r="A2228" s="41">
        <v>42189</v>
      </c>
      <c r="B2228" s="42">
        <v>79.7</v>
      </c>
    </row>
    <row r="2229" spans="1:2" x14ac:dyDescent="0.2">
      <c r="A2229" s="41">
        <v>42220</v>
      </c>
      <c r="B2229" s="42">
        <v>84.76</v>
      </c>
    </row>
    <row r="2230" spans="1:2" x14ac:dyDescent="0.2">
      <c r="A2230" s="41">
        <v>42251</v>
      </c>
      <c r="B2230" s="42">
        <v>80.709999999999994</v>
      </c>
    </row>
    <row r="2231" spans="1:2" x14ac:dyDescent="0.2">
      <c r="A2231" s="41">
        <v>42281</v>
      </c>
      <c r="B2231" s="42">
        <v>78.91</v>
      </c>
    </row>
    <row r="2232" spans="1:2" x14ac:dyDescent="0.2">
      <c r="A2232" s="40" t="s">
        <v>1395</v>
      </c>
      <c r="B2232" s="42">
        <v>83.8</v>
      </c>
    </row>
    <row r="2233" spans="1:2" x14ac:dyDescent="0.2">
      <c r="A2233" s="40" t="s">
        <v>1396</v>
      </c>
      <c r="B2233" s="42">
        <v>81.91</v>
      </c>
    </row>
    <row r="2234" spans="1:2" x14ac:dyDescent="0.2">
      <c r="A2234" s="40" t="s">
        <v>1397</v>
      </c>
      <c r="B2234" s="42">
        <v>79.83</v>
      </c>
    </row>
    <row r="2235" spans="1:2" x14ac:dyDescent="0.2">
      <c r="A2235" s="40" t="s">
        <v>1398</v>
      </c>
      <c r="B2235" s="42">
        <v>79.78</v>
      </c>
    </row>
    <row r="2236" spans="1:2" x14ac:dyDescent="0.2">
      <c r="A2236" s="40" t="s">
        <v>1399</v>
      </c>
      <c r="B2236" s="42">
        <v>85.97</v>
      </c>
    </row>
    <row r="2237" spans="1:2" x14ac:dyDescent="0.2">
      <c r="A2237" s="40" t="s">
        <v>1400</v>
      </c>
      <c r="B2237" s="42">
        <v>81.48</v>
      </c>
    </row>
    <row r="2238" spans="1:2" x14ac:dyDescent="0.2">
      <c r="A2238" s="40" t="s">
        <v>1401</v>
      </c>
      <c r="B2238" s="42">
        <v>81.290000000000006</v>
      </c>
    </row>
    <row r="2239" spans="1:2" x14ac:dyDescent="0.2">
      <c r="A2239" s="40" t="s">
        <v>1402</v>
      </c>
      <c r="B2239" s="42">
        <v>79.7</v>
      </c>
    </row>
    <row r="2240" spans="1:2" x14ac:dyDescent="0.2">
      <c r="A2240" s="40" t="s">
        <v>1403</v>
      </c>
      <c r="B2240" s="42">
        <v>78.17</v>
      </c>
    </row>
    <row r="2241" spans="1:2" x14ac:dyDescent="0.2">
      <c r="A2241" s="40" t="s">
        <v>1404</v>
      </c>
      <c r="B2241" s="42">
        <v>76.430000000000007</v>
      </c>
    </row>
    <row r="2242" spans="1:2" x14ac:dyDescent="0.2">
      <c r="A2242" s="40" t="s">
        <v>1405</v>
      </c>
      <c r="B2242" s="42">
        <v>81.22</v>
      </c>
    </row>
    <row r="2243" spans="1:2" x14ac:dyDescent="0.2">
      <c r="A2243" s="40" t="s">
        <v>1406</v>
      </c>
      <c r="B2243" s="42">
        <v>77.680000000000007</v>
      </c>
    </row>
    <row r="2244" spans="1:2" x14ac:dyDescent="0.2">
      <c r="A2244" s="40" t="s">
        <v>1407</v>
      </c>
      <c r="B2244" s="42">
        <v>82.27</v>
      </c>
    </row>
    <row r="2245" spans="1:2" x14ac:dyDescent="0.2">
      <c r="A2245" s="40" t="s">
        <v>1408</v>
      </c>
      <c r="B2245" s="42">
        <v>87.08</v>
      </c>
    </row>
    <row r="2246" spans="1:2" x14ac:dyDescent="0.2">
      <c r="A2246" s="41">
        <v>42009</v>
      </c>
      <c r="B2246" s="42">
        <v>79.64</v>
      </c>
    </row>
    <row r="2247" spans="1:2" x14ac:dyDescent="0.2">
      <c r="A2247" s="41">
        <v>42099</v>
      </c>
      <c r="B2247" s="42">
        <v>78.56</v>
      </c>
    </row>
    <row r="2248" spans="1:2" x14ac:dyDescent="0.2">
      <c r="A2248" s="41">
        <v>42129</v>
      </c>
      <c r="B2248" s="42">
        <v>84.45</v>
      </c>
    </row>
    <row r="2249" spans="1:2" x14ac:dyDescent="0.2">
      <c r="A2249" s="41">
        <v>42160</v>
      </c>
      <c r="B2249" s="42">
        <v>90.8</v>
      </c>
    </row>
    <row r="2250" spans="1:2" x14ac:dyDescent="0.2">
      <c r="A2250" s="41">
        <v>42190</v>
      </c>
      <c r="B2250" s="42">
        <v>89.21</v>
      </c>
    </row>
    <row r="2251" spans="1:2" x14ac:dyDescent="0.2">
      <c r="A2251" s="41">
        <v>42221</v>
      </c>
      <c r="B2251" s="42">
        <v>79.44</v>
      </c>
    </row>
    <row r="2252" spans="1:2" x14ac:dyDescent="0.2">
      <c r="A2252" s="41">
        <v>42313</v>
      </c>
      <c r="B2252" s="42">
        <v>83.11</v>
      </c>
    </row>
    <row r="2253" spans="1:2" x14ac:dyDescent="0.2">
      <c r="A2253" s="41">
        <v>42343</v>
      </c>
      <c r="B2253" s="42">
        <v>84.64</v>
      </c>
    </row>
    <row r="2254" spans="1:2" x14ac:dyDescent="0.2">
      <c r="A2254" s="40" t="s">
        <v>1409</v>
      </c>
      <c r="B2254" s="42">
        <v>84.45</v>
      </c>
    </row>
    <row r="2255" spans="1:2" x14ac:dyDescent="0.2">
      <c r="A2255" s="40" t="s">
        <v>1410</v>
      </c>
      <c r="B2255" s="42">
        <v>82.34</v>
      </c>
    </row>
    <row r="2256" spans="1:2" x14ac:dyDescent="0.2">
      <c r="A2256" s="40" t="s">
        <v>1411</v>
      </c>
      <c r="B2256" s="42">
        <v>80.930000000000007</v>
      </c>
    </row>
    <row r="2257" spans="1:2" x14ac:dyDescent="0.2">
      <c r="A2257" s="40" t="s">
        <v>1412</v>
      </c>
      <c r="B2257" s="42">
        <v>82.06</v>
      </c>
    </row>
    <row r="2258" spans="1:2" x14ac:dyDescent="0.2">
      <c r="A2258" s="40" t="s">
        <v>1413</v>
      </c>
      <c r="B2258" s="42">
        <v>77.53</v>
      </c>
    </row>
    <row r="2259" spans="1:2" x14ac:dyDescent="0.2">
      <c r="A2259" s="40" t="s">
        <v>1414</v>
      </c>
      <c r="B2259" s="42">
        <v>77.03</v>
      </c>
    </row>
    <row r="2260" spans="1:2" x14ac:dyDescent="0.2">
      <c r="A2260" s="40" t="s">
        <v>1415</v>
      </c>
      <c r="B2260" s="42">
        <v>73.180000000000007</v>
      </c>
    </row>
    <row r="2261" spans="1:2" x14ac:dyDescent="0.2">
      <c r="A2261" s="40" t="s">
        <v>1416</v>
      </c>
      <c r="B2261" s="42">
        <v>75.98</v>
      </c>
    </row>
    <row r="2262" spans="1:2" x14ac:dyDescent="0.2">
      <c r="A2262" s="40" t="s">
        <v>1417</v>
      </c>
      <c r="B2262" s="42">
        <v>81.94</v>
      </c>
    </row>
    <row r="2263" spans="1:2" x14ac:dyDescent="0.2">
      <c r="A2263" s="40" t="s">
        <v>1418</v>
      </c>
      <c r="B2263" s="42">
        <v>77.790000000000006</v>
      </c>
    </row>
    <row r="2264" spans="1:2" x14ac:dyDescent="0.2">
      <c r="A2264" s="40" t="s">
        <v>1419</v>
      </c>
      <c r="B2264" s="42">
        <v>77.349999999999994</v>
      </c>
    </row>
    <row r="2265" spans="1:2" x14ac:dyDescent="0.2">
      <c r="A2265" s="40" t="s">
        <v>1420</v>
      </c>
      <c r="B2265" s="42">
        <v>79.069999999999993</v>
      </c>
    </row>
    <row r="2266" spans="1:2" x14ac:dyDescent="0.2">
      <c r="A2266" s="41">
        <v>42010</v>
      </c>
      <c r="B2266" s="42">
        <v>78.89</v>
      </c>
    </row>
    <row r="2267" spans="1:2" x14ac:dyDescent="0.2">
      <c r="A2267" s="41">
        <v>42041</v>
      </c>
      <c r="B2267" s="42">
        <v>80.61</v>
      </c>
    </row>
    <row r="2268" spans="1:2" x14ac:dyDescent="0.2">
      <c r="A2268" s="41">
        <v>42069</v>
      </c>
      <c r="B2268" s="42">
        <v>79.27</v>
      </c>
    </row>
    <row r="2269" spans="1:2" x14ac:dyDescent="0.2">
      <c r="A2269" s="41">
        <v>42100</v>
      </c>
      <c r="B2269" s="42">
        <v>87.99</v>
      </c>
    </row>
    <row r="2270" spans="1:2" x14ac:dyDescent="0.2">
      <c r="A2270" s="41">
        <v>42130</v>
      </c>
      <c r="B2270" s="42">
        <v>84.1</v>
      </c>
    </row>
    <row r="2271" spans="1:2" x14ac:dyDescent="0.2">
      <c r="A2271" s="41">
        <v>42222</v>
      </c>
      <c r="B2271" s="42">
        <v>86.5</v>
      </c>
    </row>
    <row r="2272" spans="1:2" x14ac:dyDescent="0.2">
      <c r="A2272" s="41">
        <v>42253</v>
      </c>
      <c r="B2272" s="42">
        <v>84.34</v>
      </c>
    </row>
    <row r="2273" spans="1:2" x14ac:dyDescent="0.2">
      <c r="A2273" s="41">
        <v>42283</v>
      </c>
      <c r="B2273" s="42">
        <v>81.599999999999994</v>
      </c>
    </row>
    <row r="2274" spans="1:2" x14ac:dyDescent="0.2">
      <c r="A2274" s="41">
        <v>42314</v>
      </c>
      <c r="B2274" s="42">
        <v>79.53</v>
      </c>
    </row>
    <row r="2275" spans="1:2" x14ac:dyDescent="0.2">
      <c r="A2275" s="41">
        <v>42344</v>
      </c>
      <c r="B2275" s="42">
        <v>85.55</v>
      </c>
    </row>
    <row r="2276" spans="1:2" x14ac:dyDescent="0.2">
      <c r="A2276" s="40" t="s">
        <v>1421</v>
      </c>
      <c r="B2276" s="42">
        <v>96.12</v>
      </c>
    </row>
    <row r="2277" spans="1:2" x14ac:dyDescent="0.2">
      <c r="A2277" s="40" t="s">
        <v>1422</v>
      </c>
      <c r="B2277" s="42">
        <v>95.96</v>
      </c>
    </row>
    <row r="2278" spans="1:2" x14ac:dyDescent="0.2">
      <c r="A2278" s="40" t="s">
        <v>1423</v>
      </c>
      <c r="B2278" s="42">
        <v>93.19</v>
      </c>
    </row>
    <row r="2279" spans="1:2" x14ac:dyDescent="0.2">
      <c r="A2279" s="40" t="s">
        <v>1424</v>
      </c>
      <c r="B2279" s="42">
        <v>89.2</v>
      </c>
    </row>
    <row r="2280" spans="1:2" x14ac:dyDescent="0.2">
      <c r="A2280" s="40" t="s">
        <v>1425</v>
      </c>
      <c r="B2280" s="42">
        <v>92.16</v>
      </c>
    </row>
    <row r="2281" spans="1:2" x14ac:dyDescent="0.2">
      <c r="A2281" s="40" t="s">
        <v>1426</v>
      </c>
      <c r="B2281" s="42">
        <v>83.87</v>
      </c>
    </row>
    <row r="2282" spans="1:2" x14ac:dyDescent="0.2">
      <c r="A2282" s="40" t="s">
        <v>1427</v>
      </c>
      <c r="B2282" s="42">
        <v>78.849999999999994</v>
      </c>
    </row>
    <row r="2283" spans="1:2" x14ac:dyDescent="0.2">
      <c r="A2283" s="40" t="s">
        <v>1428</v>
      </c>
      <c r="B2283" s="42">
        <v>82.53</v>
      </c>
    </row>
    <row r="2284" spans="1:2" x14ac:dyDescent="0.2">
      <c r="A2284" s="40" t="s">
        <v>1429</v>
      </c>
      <c r="B2284" s="42">
        <v>83.51</v>
      </c>
    </row>
    <row r="2285" spans="1:2" x14ac:dyDescent="0.2">
      <c r="A2285" s="40" t="s">
        <v>1430</v>
      </c>
      <c r="B2285" s="42">
        <v>83.09</v>
      </c>
    </row>
    <row r="2286" spans="1:2" x14ac:dyDescent="0.2">
      <c r="A2286" s="40" t="s">
        <v>1431</v>
      </c>
      <c r="B2286" s="42">
        <v>117</v>
      </c>
    </row>
    <row r="2287" spans="1:2" x14ac:dyDescent="0.2">
      <c r="A2287" s="40" t="s">
        <v>1432</v>
      </c>
      <c r="B2287" s="42">
        <v>110.17</v>
      </c>
    </row>
    <row r="2288" spans="1:2" x14ac:dyDescent="0.2">
      <c r="A2288" s="41">
        <v>42011</v>
      </c>
      <c r="B2288" s="42">
        <v>97.6</v>
      </c>
    </row>
    <row r="2289" spans="1:2" x14ac:dyDescent="0.2">
      <c r="A2289" s="41">
        <v>42042</v>
      </c>
      <c r="B2289" s="42">
        <v>105.14</v>
      </c>
    </row>
    <row r="2290" spans="1:2" x14ac:dyDescent="0.2">
      <c r="A2290" s="41">
        <v>42162</v>
      </c>
      <c r="B2290" s="42">
        <v>105.97</v>
      </c>
    </row>
    <row r="2291" spans="1:2" x14ac:dyDescent="0.2">
      <c r="A2291" s="41">
        <v>42192</v>
      </c>
      <c r="B2291" s="42">
        <v>99.35</v>
      </c>
    </row>
    <row r="2292" spans="1:2" x14ac:dyDescent="0.2">
      <c r="A2292" s="41">
        <v>42223</v>
      </c>
      <c r="B2292" s="42">
        <v>111.67</v>
      </c>
    </row>
    <row r="2293" spans="1:2" x14ac:dyDescent="0.2">
      <c r="A2293" s="41">
        <v>42254</v>
      </c>
      <c r="B2293" s="42">
        <v>115.36</v>
      </c>
    </row>
    <row r="2294" spans="1:2" x14ac:dyDescent="0.2">
      <c r="A2294" s="41">
        <v>42284</v>
      </c>
      <c r="B2294" s="42">
        <v>101.19</v>
      </c>
    </row>
    <row r="2295" spans="1:2" x14ac:dyDescent="0.2">
      <c r="A2295" s="40" t="s">
        <v>1433</v>
      </c>
      <c r="B2295" s="42">
        <v>85.95</v>
      </c>
    </row>
    <row r="2296" spans="1:2" x14ac:dyDescent="0.2">
      <c r="A2296" s="40" t="s">
        <v>1434</v>
      </c>
      <c r="B2296" s="42">
        <v>87.35</v>
      </c>
    </row>
    <row r="2297" spans="1:2" x14ac:dyDescent="0.2">
      <c r="A2297" s="40" t="s">
        <v>1435</v>
      </c>
      <c r="B2297" s="42">
        <v>90.81</v>
      </c>
    </row>
    <row r="2298" spans="1:2" x14ac:dyDescent="0.2">
      <c r="A2298" s="40" t="s">
        <v>1436</v>
      </c>
      <c r="B2298" s="42">
        <v>87.12</v>
      </c>
    </row>
    <row r="2299" spans="1:2" x14ac:dyDescent="0.2">
      <c r="A2299" s="40" t="s">
        <v>1437</v>
      </c>
      <c r="B2299" s="42">
        <v>85.32</v>
      </c>
    </row>
    <row r="2300" spans="1:2" x14ac:dyDescent="0.2">
      <c r="A2300" s="40" t="s">
        <v>1438</v>
      </c>
      <c r="B2300" s="42">
        <v>84.38</v>
      </c>
    </row>
    <row r="2301" spans="1:2" x14ac:dyDescent="0.2">
      <c r="A2301" s="40" t="s">
        <v>1439</v>
      </c>
      <c r="B2301" s="42">
        <v>82.56</v>
      </c>
    </row>
    <row r="2302" spans="1:2" x14ac:dyDescent="0.2">
      <c r="A2302" s="40" t="s">
        <v>1440</v>
      </c>
      <c r="B2302" s="42">
        <v>78.89</v>
      </c>
    </row>
    <row r="2303" spans="1:2" x14ac:dyDescent="0.2">
      <c r="A2303" s="40" t="s">
        <v>1441</v>
      </c>
      <c r="B2303" s="42">
        <v>81.44</v>
      </c>
    </row>
    <row r="2304" spans="1:2" x14ac:dyDescent="0.2">
      <c r="A2304" s="40" t="s">
        <v>1442</v>
      </c>
      <c r="B2304" s="42">
        <v>88.36</v>
      </c>
    </row>
    <row r="2305" spans="1:2" x14ac:dyDescent="0.2">
      <c r="A2305" s="40" t="s">
        <v>1443</v>
      </c>
      <c r="B2305" s="42">
        <v>97.32</v>
      </c>
    </row>
    <row r="2306" spans="1:2" x14ac:dyDescent="0.2">
      <c r="A2306" s="40" t="s">
        <v>1444</v>
      </c>
      <c r="B2306" s="42">
        <v>84.77</v>
      </c>
    </row>
    <row r="2307" spans="1:2" x14ac:dyDescent="0.2">
      <c r="A2307" s="40" t="s">
        <v>1445</v>
      </c>
      <c r="B2307" s="42">
        <v>82.94</v>
      </c>
    </row>
    <row r="2308" spans="1:2" x14ac:dyDescent="0.2">
      <c r="A2308" s="40" t="s">
        <v>1446</v>
      </c>
      <c r="B2308" s="42">
        <v>80.650000000000006</v>
      </c>
    </row>
    <row r="2309" spans="1:2" x14ac:dyDescent="0.2">
      <c r="A2309" s="40" t="s">
        <v>1447</v>
      </c>
      <c r="B2309" s="42">
        <v>81.77</v>
      </c>
    </row>
    <row r="2310" spans="1:2" x14ac:dyDescent="0.2">
      <c r="A2310" s="41">
        <v>42071</v>
      </c>
      <c r="B2310" s="42">
        <v>79.430000000000007</v>
      </c>
    </row>
    <row r="2311" spans="1:2" x14ac:dyDescent="0.2">
      <c r="A2311" s="41">
        <v>42102</v>
      </c>
      <c r="B2311" s="42">
        <v>80.819999999999993</v>
      </c>
    </row>
    <row r="2312" spans="1:2" x14ac:dyDescent="0.2">
      <c r="A2312" s="41">
        <v>42132</v>
      </c>
      <c r="B2312" s="42">
        <v>80.099999999999994</v>
      </c>
    </row>
    <row r="2313" spans="1:2" x14ac:dyDescent="0.2">
      <c r="A2313" s="41">
        <v>42163</v>
      </c>
      <c r="B2313" s="42">
        <v>84.36</v>
      </c>
    </row>
    <row r="2314" spans="1:2" x14ac:dyDescent="0.2">
      <c r="A2314" s="41">
        <v>42193</v>
      </c>
      <c r="B2314" s="42">
        <v>82.57</v>
      </c>
    </row>
    <row r="2315" spans="1:2" x14ac:dyDescent="0.2">
      <c r="A2315" s="41">
        <v>42285</v>
      </c>
      <c r="B2315" s="42">
        <v>80.209999999999994</v>
      </c>
    </row>
    <row r="2316" spans="1:2" x14ac:dyDescent="0.2">
      <c r="A2316" s="41">
        <v>42316</v>
      </c>
      <c r="B2316" s="42">
        <v>85.22</v>
      </c>
    </row>
    <row r="2317" spans="1:2" x14ac:dyDescent="0.2">
      <c r="A2317" s="41">
        <v>42346</v>
      </c>
      <c r="B2317" s="42">
        <v>88.13</v>
      </c>
    </row>
    <row r="2318" spans="1:2" x14ac:dyDescent="0.2">
      <c r="A2318" s="40" t="s">
        <v>1448</v>
      </c>
      <c r="B2318" s="42">
        <v>88.36</v>
      </c>
    </row>
    <row r="2319" spans="1:2" x14ac:dyDescent="0.2">
      <c r="A2319" s="40" t="s">
        <v>1449</v>
      </c>
      <c r="B2319" s="42">
        <v>89.38</v>
      </c>
    </row>
    <row r="2320" spans="1:2" x14ac:dyDescent="0.2">
      <c r="A2320" s="40" t="s">
        <v>1450</v>
      </c>
      <c r="B2320" s="42">
        <v>87.35</v>
      </c>
    </row>
    <row r="2321" spans="1:2" x14ac:dyDescent="0.2">
      <c r="A2321" s="40" t="s">
        <v>1451</v>
      </c>
      <c r="B2321" s="42">
        <v>88.84</v>
      </c>
    </row>
    <row r="2322" spans="1:2" x14ac:dyDescent="0.2">
      <c r="A2322" s="40" t="s">
        <v>1452</v>
      </c>
      <c r="B2322" s="42">
        <v>91.84</v>
      </c>
    </row>
    <row r="2323" spans="1:2" x14ac:dyDescent="0.2">
      <c r="A2323" s="40" t="s">
        <v>1453</v>
      </c>
      <c r="B2323" s="42">
        <v>108.75</v>
      </c>
    </row>
    <row r="2324" spans="1:2" x14ac:dyDescent="0.2">
      <c r="A2324" s="40" t="s">
        <v>1454</v>
      </c>
      <c r="B2324" s="42">
        <v>138.57</v>
      </c>
    </row>
    <row r="2325" spans="1:2" x14ac:dyDescent="0.2">
      <c r="A2325" s="40" t="s">
        <v>1455</v>
      </c>
      <c r="B2325" s="42">
        <v>168.75</v>
      </c>
    </row>
    <row r="2326" spans="1:2" x14ac:dyDescent="0.2">
      <c r="A2326" s="40" t="s">
        <v>1456</v>
      </c>
      <c r="B2326" s="42">
        <v>152.41999999999999</v>
      </c>
    </row>
    <row r="2327" spans="1:2" x14ac:dyDescent="0.2">
      <c r="A2327" s="40" t="s">
        <v>1457</v>
      </c>
      <c r="B2327" s="42">
        <v>134.31</v>
      </c>
    </row>
    <row r="2328" spans="1:2" x14ac:dyDescent="0.2">
      <c r="A2328" s="40" t="s">
        <v>1458</v>
      </c>
      <c r="B2328" s="42">
        <v>128.59</v>
      </c>
    </row>
    <row r="2329" spans="1:2" x14ac:dyDescent="0.2">
      <c r="A2329" s="40" t="s">
        <v>1459</v>
      </c>
      <c r="B2329" s="42">
        <v>127.18</v>
      </c>
    </row>
    <row r="2330" spans="1:2" x14ac:dyDescent="0.2">
      <c r="A2330" s="40" t="s">
        <v>1460</v>
      </c>
      <c r="B2330" s="42">
        <v>127.28</v>
      </c>
    </row>
    <row r="2331" spans="1:2" x14ac:dyDescent="0.2">
      <c r="A2331" s="41">
        <v>42013</v>
      </c>
      <c r="B2331" s="42">
        <v>128.94</v>
      </c>
    </row>
    <row r="2332" spans="1:2" x14ac:dyDescent="0.2">
      <c r="A2332" s="41">
        <v>42044</v>
      </c>
      <c r="B2332" s="42">
        <v>114.43</v>
      </c>
    </row>
    <row r="2333" spans="1:2" x14ac:dyDescent="0.2">
      <c r="A2333" s="41">
        <v>42072</v>
      </c>
      <c r="B2333" s="42">
        <v>118.16</v>
      </c>
    </row>
    <row r="2334" spans="1:2" x14ac:dyDescent="0.2">
      <c r="A2334" s="41">
        <v>42103</v>
      </c>
      <c r="B2334" s="42">
        <v>123.15</v>
      </c>
    </row>
    <row r="2335" spans="1:2" x14ac:dyDescent="0.2">
      <c r="A2335" s="41">
        <v>42225</v>
      </c>
      <c r="B2335" s="42">
        <v>117.62</v>
      </c>
    </row>
    <row r="2336" spans="1:2" x14ac:dyDescent="0.2">
      <c r="A2336" s="41">
        <v>42256</v>
      </c>
      <c r="B2336" s="42">
        <v>131.30000000000001</v>
      </c>
    </row>
    <row r="2337" spans="1:2" x14ac:dyDescent="0.2">
      <c r="A2337" s="41">
        <v>42286</v>
      </c>
      <c r="B2337" s="42">
        <v>127.06</v>
      </c>
    </row>
    <row r="2338" spans="1:2" x14ac:dyDescent="0.2">
      <c r="A2338" s="41">
        <v>42317</v>
      </c>
      <c r="B2338" s="42">
        <v>119.09</v>
      </c>
    </row>
    <row r="2339" spans="1:2" x14ac:dyDescent="0.2">
      <c r="A2339" s="40" t="s">
        <v>1461</v>
      </c>
      <c r="B2339" s="42">
        <v>118.01</v>
      </c>
    </row>
    <row r="2340" spans="1:2" x14ac:dyDescent="0.2">
      <c r="A2340" s="40" t="s">
        <v>1462</v>
      </c>
      <c r="B2340" s="42">
        <v>109.34</v>
      </c>
    </row>
    <row r="2341" spans="1:2" x14ac:dyDescent="0.2">
      <c r="A2341" s="40" t="s">
        <v>1463</v>
      </c>
      <c r="B2341" s="42">
        <v>107.02</v>
      </c>
    </row>
    <row r="2342" spans="1:2" x14ac:dyDescent="0.2">
      <c r="A2342" s="40" t="s">
        <v>1464</v>
      </c>
      <c r="B2342" s="42">
        <v>118.09</v>
      </c>
    </row>
    <row r="2343" spans="1:2" x14ac:dyDescent="0.2">
      <c r="A2343" s="40" t="s">
        <v>1465</v>
      </c>
      <c r="B2343" s="42">
        <v>116.26</v>
      </c>
    </row>
    <row r="2344" spans="1:2" x14ac:dyDescent="0.2">
      <c r="A2344" s="40" t="s">
        <v>1466</v>
      </c>
      <c r="B2344" s="42">
        <v>103.4</v>
      </c>
    </row>
    <row r="2345" spans="1:2" x14ac:dyDescent="0.2">
      <c r="A2345" s="40" t="s">
        <v>1467</v>
      </c>
      <c r="B2345" s="42">
        <v>111.36</v>
      </c>
    </row>
    <row r="2346" spans="1:2" x14ac:dyDescent="0.2">
      <c r="A2346" s="40" t="s">
        <v>1468</v>
      </c>
      <c r="B2346" s="42">
        <v>105.86</v>
      </c>
    </row>
    <row r="2347" spans="1:2" x14ac:dyDescent="0.2">
      <c r="A2347" s="40" t="s">
        <v>1469</v>
      </c>
      <c r="B2347" s="42">
        <v>110.12</v>
      </c>
    </row>
    <row r="2348" spans="1:2" x14ac:dyDescent="0.2">
      <c r="A2348" s="40" t="s">
        <v>1470</v>
      </c>
      <c r="B2348" s="42">
        <v>110.54</v>
      </c>
    </row>
    <row r="2349" spans="1:2" x14ac:dyDescent="0.2">
      <c r="A2349" s="40" t="s">
        <v>1471</v>
      </c>
      <c r="B2349" s="42">
        <v>115.31</v>
      </c>
    </row>
    <row r="2350" spans="1:2" x14ac:dyDescent="0.2">
      <c r="A2350" s="40" t="s">
        <v>1472</v>
      </c>
      <c r="B2350" s="42">
        <v>110.99</v>
      </c>
    </row>
    <row r="2351" spans="1:2" x14ac:dyDescent="0.2">
      <c r="A2351" s="40" t="s">
        <v>1473</v>
      </c>
      <c r="B2351" s="42">
        <v>103.28</v>
      </c>
    </row>
    <row r="2352" spans="1:2" x14ac:dyDescent="0.2">
      <c r="A2352" s="41">
        <v>42014</v>
      </c>
      <c r="B2352" s="42">
        <v>98.27</v>
      </c>
    </row>
    <row r="2353" spans="1:2" x14ac:dyDescent="0.2">
      <c r="A2353" s="41">
        <v>42045</v>
      </c>
      <c r="B2353" s="42">
        <v>95.07</v>
      </c>
    </row>
    <row r="2354" spans="1:2" x14ac:dyDescent="0.2">
      <c r="A2354" s="41">
        <v>42134</v>
      </c>
      <c r="B2354" s="42">
        <v>92.29</v>
      </c>
    </row>
    <row r="2355" spans="1:2" x14ac:dyDescent="0.2">
      <c r="A2355" s="41">
        <v>42165</v>
      </c>
      <c r="B2355" s="42">
        <v>92.46</v>
      </c>
    </row>
    <row r="2356" spans="1:2" x14ac:dyDescent="0.2">
      <c r="A2356" s="41">
        <v>42195</v>
      </c>
      <c r="B2356" s="42">
        <v>89.43</v>
      </c>
    </row>
    <row r="2357" spans="1:2" x14ac:dyDescent="0.2">
      <c r="A2357" s="41">
        <v>42226</v>
      </c>
      <c r="B2357" s="42">
        <v>88.42</v>
      </c>
    </row>
    <row r="2358" spans="1:2" x14ac:dyDescent="0.2">
      <c r="A2358" s="41">
        <v>42257</v>
      </c>
      <c r="B2358" s="42">
        <v>89.08</v>
      </c>
    </row>
    <row r="2359" spans="1:2" x14ac:dyDescent="0.2">
      <c r="A2359" s="41">
        <v>42348</v>
      </c>
      <c r="B2359" s="42">
        <v>88.27</v>
      </c>
    </row>
    <row r="2360" spans="1:2" x14ac:dyDescent="0.2">
      <c r="A2360" s="40" t="s">
        <v>1474</v>
      </c>
      <c r="B2360" s="42">
        <v>98.35</v>
      </c>
    </row>
    <row r="2361" spans="1:2" x14ac:dyDescent="0.2">
      <c r="A2361" s="40" t="s">
        <v>1475</v>
      </c>
      <c r="B2361" s="42">
        <v>102.29</v>
      </c>
    </row>
    <row r="2362" spans="1:2" x14ac:dyDescent="0.2">
      <c r="A2362" s="40" t="s">
        <v>1476</v>
      </c>
      <c r="B2362" s="42">
        <v>96.61</v>
      </c>
    </row>
    <row r="2363" spans="1:2" x14ac:dyDescent="0.2">
      <c r="A2363" s="40" t="s">
        <v>1477</v>
      </c>
      <c r="B2363" s="42">
        <v>97.58</v>
      </c>
    </row>
    <row r="2364" spans="1:2" x14ac:dyDescent="0.2">
      <c r="A2364" s="40" t="s">
        <v>1478</v>
      </c>
      <c r="B2364" s="42">
        <v>94.38</v>
      </c>
    </row>
    <row r="2365" spans="1:2" x14ac:dyDescent="0.2">
      <c r="A2365" s="40" t="s">
        <v>1479</v>
      </c>
      <c r="B2365" s="42">
        <v>97.11</v>
      </c>
    </row>
    <row r="2366" spans="1:2" x14ac:dyDescent="0.2">
      <c r="A2366" s="40" t="s">
        <v>1480</v>
      </c>
      <c r="B2366" s="42">
        <v>106.02</v>
      </c>
    </row>
    <row r="2367" spans="1:2" x14ac:dyDescent="0.2">
      <c r="A2367" s="40" t="s">
        <v>1481</v>
      </c>
      <c r="B2367" s="42">
        <v>97.07</v>
      </c>
    </row>
    <row r="2368" spans="1:2" x14ac:dyDescent="0.2">
      <c r="A2368" s="40" t="s">
        <v>1482</v>
      </c>
      <c r="B2368" s="42">
        <v>97.21</v>
      </c>
    </row>
    <row r="2369" spans="1:2" x14ac:dyDescent="0.2">
      <c r="A2369" s="40" t="s">
        <v>1483</v>
      </c>
      <c r="B2369" s="42">
        <v>98.1</v>
      </c>
    </row>
    <row r="2370" spans="1:2" x14ac:dyDescent="0.2">
      <c r="A2370" s="40" t="s">
        <v>1484</v>
      </c>
      <c r="B2370" s="42">
        <v>95.21</v>
      </c>
    </row>
    <row r="2371" spans="1:2" x14ac:dyDescent="0.2">
      <c r="A2371" s="40" t="s">
        <v>1485</v>
      </c>
      <c r="B2371" s="42">
        <v>88.28</v>
      </c>
    </row>
    <row r="2372" spans="1:2" x14ac:dyDescent="0.2">
      <c r="A2372" s="40" t="s">
        <v>1486</v>
      </c>
      <c r="B2372" s="42">
        <v>88.6</v>
      </c>
    </row>
    <row r="2373" spans="1:2" x14ac:dyDescent="0.2">
      <c r="A2373" s="40" t="s">
        <v>1487</v>
      </c>
      <c r="B2373" s="42">
        <v>90.27</v>
      </c>
    </row>
    <row r="2374" spans="1:2" x14ac:dyDescent="0.2">
      <c r="A2374" s="41">
        <v>42046</v>
      </c>
      <c r="B2374" s="42">
        <v>86.75</v>
      </c>
    </row>
    <row r="2375" spans="1:2" x14ac:dyDescent="0.2">
      <c r="A2375" s="41">
        <v>42074</v>
      </c>
      <c r="B2375" s="42">
        <v>87.34</v>
      </c>
    </row>
    <row r="2376" spans="1:2" x14ac:dyDescent="0.2">
      <c r="A2376" s="41">
        <v>42105</v>
      </c>
      <c r="B2376" s="42">
        <v>89.46</v>
      </c>
    </row>
    <row r="2377" spans="1:2" x14ac:dyDescent="0.2">
      <c r="A2377" s="41">
        <v>42135</v>
      </c>
      <c r="B2377" s="42">
        <v>87.68</v>
      </c>
    </row>
    <row r="2378" spans="1:2" x14ac:dyDescent="0.2">
      <c r="A2378" s="41">
        <v>42166</v>
      </c>
      <c r="B2378" s="42">
        <v>85.03</v>
      </c>
    </row>
    <row r="2379" spans="1:2" x14ac:dyDescent="0.2">
      <c r="A2379" s="41">
        <v>42258</v>
      </c>
      <c r="B2379" s="42">
        <v>92.97</v>
      </c>
    </row>
    <row r="2380" spans="1:2" x14ac:dyDescent="0.2">
      <c r="A2380" s="41">
        <v>42288</v>
      </c>
      <c r="B2380" s="42">
        <v>86.96</v>
      </c>
    </row>
    <row r="2381" spans="1:2" x14ac:dyDescent="0.2">
      <c r="A2381" s="41">
        <v>42319</v>
      </c>
      <c r="B2381" s="42">
        <v>91.25</v>
      </c>
    </row>
    <row r="2382" spans="1:2" x14ac:dyDescent="0.2">
      <c r="A2382" s="41">
        <v>42349</v>
      </c>
      <c r="B2382" s="42">
        <v>98.19</v>
      </c>
    </row>
    <row r="2383" spans="1:2" x14ac:dyDescent="0.2">
      <c r="A2383" s="40" t="s">
        <v>1488</v>
      </c>
      <c r="B2383" s="42">
        <v>106.06</v>
      </c>
    </row>
    <row r="2384" spans="1:2" x14ac:dyDescent="0.2">
      <c r="A2384" s="40" t="s">
        <v>1489</v>
      </c>
      <c r="B2384" s="42">
        <v>96.71</v>
      </c>
    </row>
    <row r="2385" spans="1:2" x14ac:dyDescent="0.2">
      <c r="A2385" s="40" t="s">
        <v>1490</v>
      </c>
      <c r="B2385" s="42">
        <v>100.37</v>
      </c>
    </row>
    <row r="2386" spans="1:2" x14ac:dyDescent="0.2">
      <c r="A2386" s="40" t="s">
        <v>1491</v>
      </c>
      <c r="B2386" s="42">
        <v>93.47</v>
      </c>
    </row>
    <row r="2387" spans="1:2" x14ac:dyDescent="0.2">
      <c r="A2387" s="40" t="s">
        <v>1492</v>
      </c>
      <c r="B2387" s="42">
        <v>96.18</v>
      </c>
    </row>
    <row r="2388" spans="1:2" x14ac:dyDescent="0.2">
      <c r="A2388" s="40" t="s">
        <v>1493</v>
      </c>
      <c r="B2388" s="42">
        <v>90.79</v>
      </c>
    </row>
    <row r="2389" spans="1:2" x14ac:dyDescent="0.2">
      <c r="A2389" s="40" t="s">
        <v>1494</v>
      </c>
      <c r="B2389" s="42">
        <v>88.55</v>
      </c>
    </row>
    <row r="2390" spans="1:2" x14ac:dyDescent="0.2">
      <c r="A2390" s="40" t="s">
        <v>1495</v>
      </c>
      <c r="B2390" s="42">
        <v>89.64</v>
      </c>
    </row>
    <row r="2391" spans="1:2" x14ac:dyDescent="0.2">
      <c r="A2391" s="40" t="s">
        <v>1496</v>
      </c>
      <c r="B2391" s="42">
        <v>86.14</v>
      </c>
    </row>
    <row r="2392" spans="1:2" x14ac:dyDescent="0.2">
      <c r="A2392" s="40" t="s">
        <v>1497</v>
      </c>
      <c r="B2392" s="42">
        <v>88.35</v>
      </c>
    </row>
    <row r="2393" spans="1:2" x14ac:dyDescent="0.2">
      <c r="A2393" s="40" t="s">
        <v>1498</v>
      </c>
      <c r="B2393" s="42">
        <v>90.84</v>
      </c>
    </row>
    <row r="2394" spans="1:2" x14ac:dyDescent="0.2">
      <c r="A2394" s="41">
        <v>42016</v>
      </c>
      <c r="B2394" s="42">
        <v>87.32</v>
      </c>
    </row>
    <row r="2395" spans="1:2" x14ac:dyDescent="0.2">
      <c r="A2395" s="41">
        <v>42047</v>
      </c>
      <c r="B2395" s="42">
        <v>92.94</v>
      </c>
    </row>
    <row r="2396" spans="1:2" x14ac:dyDescent="0.2">
      <c r="A2396" s="41">
        <v>42075</v>
      </c>
      <c r="B2396" s="42">
        <v>101.8</v>
      </c>
    </row>
    <row r="2397" spans="1:2" x14ac:dyDescent="0.2">
      <c r="A2397" s="41">
        <v>42106</v>
      </c>
      <c r="B2397" s="42">
        <v>89.19</v>
      </c>
    </row>
    <row r="2398" spans="1:2" x14ac:dyDescent="0.2">
      <c r="A2398" s="41">
        <v>42197</v>
      </c>
      <c r="B2398" s="42">
        <v>94.3</v>
      </c>
    </row>
    <row r="2399" spans="1:2" x14ac:dyDescent="0.2">
      <c r="A2399" s="41">
        <v>42228</v>
      </c>
      <c r="B2399" s="42">
        <v>99.16</v>
      </c>
    </row>
    <row r="2400" spans="1:2" x14ac:dyDescent="0.2">
      <c r="A2400" s="41">
        <v>42259</v>
      </c>
      <c r="B2400" s="42">
        <v>113.83</v>
      </c>
    </row>
    <row r="2401" spans="1:2" x14ac:dyDescent="0.2">
      <c r="A2401" s="41">
        <v>42289</v>
      </c>
      <c r="B2401" s="42">
        <v>113.8</v>
      </c>
    </row>
    <row r="2402" spans="1:2" x14ac:dyDescent="0.2">
      <c r="A2402" s="41">
        <v>42320</v>
      </c>
      <c r="B2402" s="42">
        <v>131.09</v>
      </c>
    </row>
    <row r="2403" spans="1:2" x14ac:dyDescent="0.2">
      <c r="A2403" s="40" t="s">
        <v>1499</v>
      </c>
      <c r="B2403" s="42">
        <v>122.22</v>
      </c>
    </row>
    <row r="2404" spans="1:2" x14ac:dyDescent="0.2">
      <c r="A2404" s="40" t="s">
        <v>1500</v>
      </c>
      <c r="B2404" s="42">
        <v>114.37</v>
      </c>
    </row>
    <row r="2405" spans="1:2" x14ac:dyDescent="0.2">
      <c r="A2405" s="40" t="s">
        <v>1501</v>
      </c>
      <c r="B2405" s="42">
        <v>108.93</v>
      </c>
    </row>
    <row r="2406" spans="1:2" x14ac:dyDescent="0.2">
      <c r="A2406" s="40" t="s">
        <v>1502</v>
      </c>
      <c r="B2406" s="42">
        <v>113.52</v>
      </c>
    </row>
    <row r="2407" spans="1:2" x14ac:dyDescent="0.2">
      <c r="A2407" s="40" t="s">
        <v>1503</v>
      </c>
      <c r="B2407" s="42">
        <v>118.32</v>
      </c>
    </row>
    <row r="2408" spans="1:2" x14ac:dyDescent="0.2">
      <c r="A2408" s="40" t="s">
        <v>1504</v>
      </c>
      <c r="B2408" s="42">
        <v>109.44</v>
      </c>
    </row>
    <row r="2409" spans="1:2" x14ac:dyDescent="0.2">
      <c r="A2409" s="40" t="s">
        <v>1505</v>
      </c>
      <c r="B2409" s="42">
        <v>100.91</v>
      </c>
    </row>
    <row r="2410" spans="1:2" x14ac:dyDescent="0.2">
      <c r="A2410" s="40" t="s">
        <v>1506</v>
      </c>
      <c r="B2410" s="42">
        <v>99.61</v>
      </c>
    </row>
    <row r="2411" spans="1:2" x14ac:dyDescent="0.2">
      <c r="A2411" s="40" t="s">
        <v>1507</v>
      </c>
      <c r="B2411" s="42">
        <v>99.88</v>
      </c>
    </row>
    <row r="2412" spans="1:2" x14ac:dyDescent="0.2">
      <c r="A2412" s="40" t="s">
        <v>1508</v>
      </c>
      <c r="B2412" s="42">
        <v>99.24</v>
      </c>
    </row>
    <row r="2413" spans="1:2" x14ac:dyDescent="0.2">
      <c r="A2413" s="40" t="s">
        <v>1509</v>
      </c>
      <c r="B2413" s="42">
        <v>95.13</v>
      </c>
    </row>
    <row r="2414" spans="1:2" x14ac:dyDescent="0.2">
      <c r="A2414" s="40" t="s">
        <v>1510</v>
      </c>
      <c r="B2414" s="42">
        <v>100.82</v>
      </c>
    </row>
    <row r="2415" spans="1:2" x14ac:dyDescent="0.2">
      <c r="A2415" s="40" t="s">
        <v>1511</v>
      </c>
      <c r="B2415" s="42">
        <v>100.2</v>
      </c>
    </row>
    <row r="2416" spans="1:2" x14ac:dyDescent="0.2">
      <c r="A2416" s="41">
        <v>42461</v>
      </c>
      <c r="B2416" s="42">
        <v>107.69</v>
      </c>
    </row>
    <row r="2417" spans="1:2" x14ac:dyDescent="0.2">
      <c r="A2417" s="41">
        <v>42491</v>
      </c>
      <c r="B2417" s="42">
        <v>101.84</v>
      </c>
    </row>
    <row r="2418" spans="1:2" x14ac:dyDescent="0.2">
      <c r="A2418" s="41">
        <v>42522</v>
      </c>
      <c r="B2418" s="42">
        <v>103.06</v>
      </c>
    </row>
    <row r="2419" spans="1:2" x14ac:dyDescent="0.2">
      <c r="A2419" s="41">
        <v>42552</v>
      </c>
      <c r="B2419" s="42">
        <v>116.55</v>
      </c>
    </row>
    <row r="2420" spans="1:2" x14ac:dyDescent="0.2">
      <c r="A2420" s="41">
        <v>42583</v>
      </c>
      <c r="B2420" s="42">
        <v>116.46</v>
      </c>
    </row>
    <row r="2421" spans="1:2" x14ac:dyDescent="0.2">
      <c r="A2421" s="41">
        <v>42675</v>
      </c>
      <c r="B2421" s="42">
        <v>109.63</v>
      </c>
    </row>
    <row r="2422" spans="1:2" x14ac:dyDescent="0.2">
      <c r="A2422" s="41">
        <v>42705</v>
      </c>
      <c r="B2422" s="42">
        <v>104.52</v>
      </c>
    </row>
    <row r="2423" spans="1:2" x14ac:dyDescent="0.2">
      <c r="A2423" s="40" t="s">
        <v>1512</v>
      </c>
      <c r="B2423" s="42">
        <v>117.14</v>
      </c>
    </row>
    <row r="2424" spans="1:2" x14ac:dyDescent="0.2">
      <c r="A2424" s="40" t="s">
        <v>1513</v>
      </c>
      <c r="B2424" s="42">
        <v>110.07</v>
      </c>
    </row>
    <row r="2425" spans="1:2" x14ac:dyDescent="0.2">
      <c r="A2425" s="40" t="s">
        <v>1514</v>
      </c>
      <c r="B2425" s="42">
        <v>116.41</v>
      </c>
    </row>
    <row r="2426" spans="1:2" x14ac:dyDescent="0.2">
      <c r="A2426" s="40" t="s">
        <v>1515</v>
      </c>
      <c r="B2426" s="42">
        <v>113.76</v>
      </c>
    </row>
    <row r="2427" spans="1:2" x14ac:dyDescent="0.2">
      <c r="A2427" s="40" t="s">
        <v>1516</v>
      </c>
      <c r="B2427" s="42">
        <v>112.88</v>
      </c>
    </row>
    <row r="2428" spans="1:2" x14ac:dyDescent="0.2">
      <c r="A2428" s="40" t="s">
        <v>1517</v>
      </c>
      <c r="B2428" s="42">
        <v>108.38</v>
      </c>
    </row>
    <row r="2429" spans="1:2" x14ac:dyDescent="0.2">
      <c r="A2429" s="40" t="s">
        <v>1518</v>
      </c>
      <c r="B2429" s="42">
        <v>98.92</v>
      </c>
    </row>
    <row r="2430" spans="1:2" x14ac:dyDescent="0.2">
      <c r="A2430" s="40" t="s">
        <v>1519</v>
      </c>
      <c r="B2430" s="42">
        <v>102.88</v>
      </c>
    </row>
    <row r="2431" spans="1:2" x14ac:dyDescent="0.2">
      <c r="A2431" s="40" t="s">
        <v>1520</v>
      </c>
      <c r="B2431" s="42">
        <v>98.4</v>
      </c>
    </row>
    <row r="2432" spans="1:2" x14ac:dyDescent="0.2">
      <c r="A2432" s="40" t="s">
        <v>1521</v>
      </c>
      <c r="B2432" s="42">
        <v>100.04</v>
      </c>
    </row>
    <row r="2433" spans="1:2" x14ac:dyDescent="0.2">
      <c r="A2433" s="40" t="s">
        <v>1522</v>
      </c>
      <c r="B2433" s="42">
        <v>96.56</v>
      </c>
    </row>
    <row r="2434" spans="1:2" x14ac:dyDescent="0.2">
      <c r="A2434" s="40" t="s">
        <v>1523</v>
      </c>
      <c r="B2434" s="42">
        <v>89.95</v>
      </c>
    </row>
    <row r="2435" spans="1:2" x14ac:dyDescent="0.2">
      <c r="A2435" s="41">
        <v>42371</v>
      </c>
      <c r="B2435" s="42">
        <v>89.65</v>
      </c>
    </row>
    <row r="2436" spans="1:2" x14ac:dyDescent="0.2">
      <c r="A2436" s="41">
        <v>42402</v>
      </c>
      <c r="B2436" s="42">
        <v>97.6</v>
      </c>
    </row>
    <row r="2437" spans="1:2" x14ac:dyDescent="0.2">
      <c r="A2437" s="41">
        <v>42431</v>
      </c>
      <c r="B2437" s="42">
        <v>97.32</v>
      </c>
    </row>
    <row r="2438" spans="1:2" x14ac:dyDescent="0.2">
      <c r="A2438" s="41">
        <v>42462</v>
      </c>
      <c r="B2438" s="42">
        <v>95.22</v>
      </c>
    </row>
    <row r="2439" spans="1:2" x14ac:dyDescent="0.2">
      <c r="A2439" s="41">
        <v>42492</v>
      </c>
      <c r="B2439" s="42">
        <v>100.55</v>
      </c>
    </row>
    <row r="2440" spans="1:2" x14ac:dyDescent="0.2">
      <c r="A2440" s="41">
        <v>42584</v>
      </c>
      <c r="B2440" s="42">
        <v>104.53</v>
      </c>
    </row>
    <row r="2441" spans="1:2" x14ac:dyDescent="0.2">
      <c r="A2441" s="41">
        <v>42615</v>
      </c>
      <c r="B2441" s="42">
        <v>103.06</v>
      </c>
    </row>
    <row r="2442" spans="1:2" x14ac:dyDescent="0.2">
      <c r="A2442" s="41">
        <v>42645</v>
      </c>
      <c r="B2442" s="42">
        <v>106.19</v>
      </c>
    </row>
    <row r="2443" spans="1:2" x14ac:dyDescent="0.2">
      <c r="A2443" s="41">
        <v>42676</v>
      </c>
      <c r="B2443" s="42">
        <v>107.21</v>
      </c>
    </row>
    <row r="2444" spans="1:2" x14ac:dyDescent="0.2">
      <c r="A2444" s="41">
        <v>42706</v>
      </c>
      <c r="B2444" s="42">
        <v>103.25</v>
      </c>
    </row>
    <row r="2445" spans="1:2" x14ac:dyDescent="0.2">
      <c r="A2445" s="40" t="s">
        <v>1524</v>
      </c>
      <c r="B2445" s="42">
        <v>94.2</v>
      </c>
    </row>
    <row r="2446" spans="1:2" x14ac:dyDescent="0.2">
      <c r="A2446" s="40" t="s">
        <v>1525</v>
      </c>
      <c r="B2446" s="42">
        <v>88.96</v>
      </c>
    </row>
    <row r="2447" spans="1:2" x14ac:dyDescent="0.2">
      <c r="A2447" s="40" t="s">
        <v>1526</v>
      </c>
      <c r="B2447" s="42">
        <v>87.53</v>
      </c>
    </row>
    <row r="2448" spans="1:2" x14ac:dyDescent="0.2">
      <c r="A2448" s="40" t="s">
        <v>1527</v>
      </c>
      <c r="B2448" s="42">
        <v>86.25</v>
      </c>
    </row>
    <row r="2449" spans="1:2" x14ac:dyDescent="0.2">
      <c r="A2449" s="40" t="s">
        <v>1528</v>
      </c>
      <c r="B2449" s="42">
        <v>86.19</v>
      </c>
    </row>
    <row r="2450" spans="1:2" x14ac:dyDescent="0.2">
      <c r="A2450" s="40" t="s">
        <v>1529</v>
      </c>
      <c r="B2450" s="42">
        <v>89.67</v>
      </c>
    </row>
    <row r="2451" spans="1:2" x14ac:dyDescent="0.2">
      <c r="A2451" s="40" t="s">
        <v>1530</v>
      </c>
      <c r="B2451" s="42">
        <v>86.74</v>
      </c>
    </row>
    <row r="2452" spans="1:2" x14ac:dyDescent="0.2">
      <c r="A2452" s="40" t="s">
        <v>1531</v>
      </c>
      <c r="B2452" s="42">
        <v>83.51</v>
      </c>
    </row>
    <row r="2453" spans="1:2" x14ac:dyDescent="0.2">
      <c r="A2453" s="40" t="s">
        <v>1532</v>
      </c>
      <c r="B2453" s="42">
        <v>83.72</v>
      </c>
    </row>
    <row r="2454" spans="1:2" x14ac:dyDescent="0.2">
      <c r="A2454" s="40" t="s">
        <v>1533</v>
      </c>
      <c r="B2454" s="42">
        <v>85.06</v>
      </c>
    </row>
    <row r="2455" spans="1:2" x14ac:dyDescent="0.2">
      <c r="A2455" s="41">
        <v>42372</v>
      </c>
      <c r="B2455" s="42">
        <v>79.45</v>
      </c>
    </row>
    <row r="2456" spans="1:2" x14ac:dyDescent="0.2">
      <c r="A2456" s="41">
        <v>42403</v>
      </c>
      <c r="B2456" s="42">
        <v>78.84</v>
      </c>
    </row>
    <row r="2457" spans="1:2" x14ac:dyDescent="0.2">
      <c r="A2457" s="41">
        <v>42432</v>
      </c>
      <c r="B2457" s="42">
        <v>79.41</v>
      </c>
    </row>
    <row r="2458" spans="1:2" x14ac:dyDescent="0.2">
      <c r="A2458" s="41">
        <v>42463</v>
      </c>
      <c r="B2458" s="42">
        <v>81.97</v>
      </c>
    </row>
    <row r="2459" spans="1:2" x14ac:dyDescent="0.2">
      <c r="A2459" s="41">
        <v>42554</v>
      </c>
      <c r="B2459" s="42">
        <v>82.3</v>
      </c>
    </row>
    <row r="2460" spans="1:2" x14ac:dyDescent="0.2">
      <c r="A2460" s="41">
        <v>42585</v>
      </c>
      <c r="B2460" s="42">
        <v>87.46</v>
      </c>
    </row>
    <row r="2461" spans="1:2" x14ac:dyDescent="0.2">
      <c r="A2461" s="41">
        <v>42616</v>
      </c>
      <c r="B2461" s="42">
        <v>92.86</v>
      </c>
    </row>
    <row r="2462" spans="1:2" x14ac:dyDescent="0.2">
      <c r="A2462" s="41">
        <v>42646</v>
      </c>
      <c r="B2462" s="42">
        <v>94.77</v>
      </c>
    </row>
    <row r="2463" spans="1:2" x14ac:dyDescent="0.2">
      <c r="A2463" s="41">
        <v>42677</v>
      </c>
      <c r="B2463" s="42">
        <v>92.35</v>
      </c>
    </row>
    <row r="2464" spans="1:2" x14ac:dyDescent="0.2">
      <c r="A2464" s="40" t="s">
        <v>1534</v>
      </c>
      <c r="B2464" s="42">
        <v>89.74</v>
      </c>
    </row>
    <row r="2465" spans="1:2" x14ac:dyDescent="0.2">
      <c r="A2465" s="40" t="s">
        <v>1535</v>
      </c>
      <c r="B2465" s="42">
        <v>90.34</v>
      </c>
    </row>
    <row r="2466" spans="1:2" x14ac:dyDescent="0.2">
      <c r="A2466" s="40" t="s">
        <v>1536</v>
      </c>
      <c r="B2466" s="42">
        <v>84.37</v>
      </c>
    </row>
    <row r="2467" spans="1:2" x14ac:dyDescent="0.2">
      <c r="A2467" s="40" t="s">
        <v>1537</v>
      </c>
      <c r="B2467" s="42">
        <v>84.71</v>
      </c>
    </row>
    <row r="2468" spans="1:2" x14ac:dyDescent="0.2">
      <c r="A2468" s="40" t="s">
        <v>1538</v>
      </c>
      <c r="B2468" s="42">
        <v>86.2</v>
      </c>
    </row>
    <row r="2469" spans="1:2" x14ac:dyDescent="0.2">
      <c r="A2469" s="40" t="s">
        <v>1539</v>
      </c>
      <c r="B2469" s="42">
        <v>87.78</v>
      </c>
    </row>
    <row r="2470" spans="1:2" x14ac:dyDescent="0.2">
      <c r="A2470" s="40" t="s">
        <v>1540</v>
      </c>
      <c r="B2470" s="42">
        <v>85.04</v>
      </c>
    </row>
    <row r="2471" spans="1:2" x14ac:dyDescent="0.2">
      <c r="A2471" s="40" t="s">
        <v>1541</v>
      </c>
      <c r="B2471" s="42">
        <v>86.06</v>
      </c>
    </row>
    <row r="2472" spans="1:2" x14ac:dyDescent="0.2">
      <c r="A2472" s="40" t="s">
        <v>1542</v>
      </c>
      <c r="B2472" s="42">
        <v>84.2</v>
      </c>
    </row>
    <row r="2473" spans="1:2" x14ac:dyDescent="0.2">
      <c r="A2473" s="40" t="s">
        <v>1543</v>
      </c>
      <c r="B2473" s="42">
        <v>83.29</v>
      </c>
    </row>
    <row r="2474" spans="1:2" x14ac:dyDescent="0.2">
      <c r="A2474" s="40" t="s">
        <v>1544</v>
      </c>
      <c r="B2474" s="42">
        <v>81.39</v>
      </c>
    </row>
    <row r="2475" spans="1:2" x14ac:dyDescent="0.2">
      <c r="A2475" s="40" t="s">
        <v>1545</v>
      </c>
      <c r="B2475" s="42">
        <v>80.33</v>
      </c>
    </row>
    <row r="2476" spans="1:2" x14ac:dyDescent="0.2">
      <c r="A2476" s="40" t="s">
        <v>1546</v>
      </c>
      <c r="B2476" s="42">
        <v>82.94</v>
      </c>
    </row>
    <row r="2477" spans="1:2" x14ac:dyDescent="0.2">
      <c r="A2477" s="41">
        <v>42373</v>
      </c>
      <c r="B2477" s="42">
        <v>81.569999999999993</v>
      </c>
    </row>
    <row r="2478" spans="1:2" x14ac:dyDescent="0.2">
      <c r="A2478" s="41">
        <v>42464</v>
      </c>
      <c r="B2478" s="42">
        <v>84.43</v>
      </c>
    </row>
    <row r="2479" spans="1:2" x14ac:dyDescent="0.2">
      <c r="A2479" s="41">
        <v>42494</v>
      </c>
      <c r="B2479" s="42">
        <v>89.11</v>
      </c>
    </row>
    <row r="2480" spans="1:2" x14ac:dyDescent="0.2">
      <c r="A2480" s="41">
        <v>42525</v>
      </c>
      <c r="B2480" s="42">
        <v>85.59</v>
      </c>
    </row>
    <row r="2481" spans="1:2" x14ac:dyDescent="0.2">
      <c r="A2481" s="41">
        <v>42555</v>
      </c>
      <c r="B2481" s="42">
        <v>92.74</v>
      </c>
    </row>
    <row r="2482" spans="1:2" x14ac:dyDescent="0.2">
      <c r="A2482" s="41">
        <v>42586</v>
      </c>
      <c r="B2482" s="42">
        <v>89.73</v>
      </c>
    </row>
    <row r="2483" spans="1:2" x14ac:dyDescent="0.2">
      <c r="A2483" s="41">
        <v>42678</v>
      </c>
      <c r="B2483" s="42">
        <v>92.81</v>
      </c>
    </row>
    <row r="2484" spans="1:2" x14ac:dyDescent="0.2">
      <c r="A2484" s="41">
        <v>42708</v>
      </c>
      <c r="B2484" s="42">
        <v>89.78</v>
      </c>
    </row>
    <row r="2485" spans="1:2" x14ac:dyDescent="0.2">
      <c r="A2485" s="40" t="s">
        <v>1547</v>
      </c>
      <c r="B2485" s="42">
        <v>87.89</v>
      </c>
    </row>
    <row r="2486" spans="1:2" x14ac:dyDescent="0.2">
      <c r="A2486" s="40" t="s">
        <v>1548</v>
      </c>
      <c r="B2486" s="42">
        <v>87.92</v>
      </c>
    </row>
    <row r="2487" spans="1:2" x14ac:dyDescent="0.2">
      <c r="A2487" s="40" t="s">
        <v>1549</v>
      </c>
      <c r="B2487" s="42">
        <v>90.27</v>
      </c>
    </row>
    <row r="2488" spans="1:2" x14ac:dyDescent="0.2">
      <c r="A2488" s="40" t="s">
        <v>1550</v>
      </c>
      <c r="B2488" s="42">
        <v>86.57</v>
      </c>
    </row>
    <row r="2489" spans="1:2" x14ac:dyDescent="0.2">
      <c r="A2489" s="40" t="s">
        <v>1551</v>
      </c>
      <c r="B2489" s="42">
        <v>86.98</v>
      </c>
    </row>
    <row r="2490" spans="1:2" x14ac:dyDescent="0.2">
      <c r="A2490" s="40" t="s">
        <v>1552</v>
      </c>
      <c r="B2490" s="42">
        <v>87.97</v>
      </c>
    </row>
    <row r="2491" spans="1:2" x14ac:dyDescent="0.2">
      <c r="A2491" s="40" t="s">
        <v>1553</v>
      </c>
      <c r="B2491" s="42">
        <v>87.07</v>
      </c>
    </row>
    <row r="2492" spans="1:2" x14ac:dyDescent="0.2">
      <c r="A2492" s="40" t="s">
        <v>1554</v>
      </c>
      <c r="B2492" s="42">
        <v>84.1</v>
      </c>
    </row>
    <row r="2493" spans="1:2" x14ac:dyDescent="0.2">
      <c r="A2493" s="40" t="s">
        <v>1555</v>
      </c>
      <c r="B2493" s="42">
        <v>85.77</v>
      </c>
    </row>
    <row r="2494" spans="1:2" x14ac:dyDescent="0.2">
      <c r="A2494" s="40" t="s">
        <v>1556</v>
      </c>
      <c r="B2494" s="42">
        <v>84.51</v>
      </c>
    </row>
    <row r="2495" spans="1:2" x14ac:dyDescent="0.2">
      <c r="A2495" s="40" t="s">
        <v>1557</v>
      </c>
      <c r="B2495" s="42">
        <v>83.1</v>
      </c>
    </row>
    <row r="2496" spans="1:2" x14ac:dyDescent="0.2">
      <c r="A2496" s="40" t="s">
        <v>1558</v>
      </c>
      <c r="B2496" s="42">
        <v>87.36</v>
      </c>
    </row>
    <row r="2497" spans="1:2" x14ac:dyDescent="0.2">
      <c r="A2497" s="40" t="s">
        <v>1559</v>
      </c>
      <c r="B2497" s="42">
        <v>91.68</v>
      </c>
    </row>
    <row r="2498" spans="1:2" x14ac:dyDescent="0.2">
      <c r="A2498" s="41">
        <v>42405</v>
      </c>
      <c r="B2498" s="42">
        <v>89.49</v>
      </c>
    </row>
    <row r="2499" spans="1:2" x14ac:dyDescent="0.2">
      <c r="A2499" s="41">
        <v>42434</v>
      </c>
      <c r="B2499" s="42">
        <v>91.66</v>
      </c>
    </row>
    <row r="2500" spans="1:2" x14ac:dyDescent="0.2">
      <c r="A2500" s="41">
        <v>42465</v>
      </c>
      <c r="B2500" s="42">
        <v>91.86</v>
      </c>
    </row>
    <row r="2501" spans="1:2" x14ac:dyDescent="0.2">
      <c r="A2501" s="41">
        <v>42495</v>
      </c>
      <c r="B2501" s="42">
        <v>91.58</v>
      </c>
    </row>
    <row r="2502" spans="1:2" x14ac:dyDescent="0.2">
      <c r="A2502" s="41">
        <v>42526</v>
      </c>
      <c r="B2502" s="42">
        <v>88.86</v>
      </c>
    </row>
    <row r="2503" spans="1:2" x14ac:dyDescent="0.2">
      <c r="A2503" s="41">
        <v>42618</v>
      </c>
      <c r="B2503" s="42">
        <v>86.42</v>
      </c>
    </row>
    <row r="2504" spans="1:2" x14ac:dyDescent="0.2">
      <c r="A2504" s="41">
        <v>42648</v>
      </c>
      <c r="B2504" s="42">
        <v>85.92</v>
      </c>
    </row>
    <row r="2505" spans="1:2" x14ac:dyDescent="0.2">
      <c r="A2505" s="41">
        <v>42679</v>
      </c>
      <c r="B2505" s="42">
        <v>91.53</v>
      </c>
    </row>
    <row r="2506" spans="1:2" x14ac:dyDescent="0.2">
      <c r="A2506" s="41">
        <v>42709</v>
      </c>
      <c r="B2506" s="42">
        <v>91.25</v>
      </c>
    </row>
    <row r="2507" spans="1:2" x14ac:dyDescent="0.2">
      <c r="A2507" s="40" t="s">
        <v>1560</v>
      </c>
      <c r="B2507" s="42">
        <v>94</v>
      </c>
    </row>
    <row r="2508" spans="1:2" x14ac:dyDescent="0.2">
      <c r="A2508" s="40" t="s">
        <v>1561</v>
      </c>
      <c r="B2508" s="42">
        <v>90.61</v>
      </c>
    </row>
    <row r="2509" spans="1:2" x14ac:dyDescent="0.2">
      <c r="A2509" s="40" t="s">
        <v>1562</v>
      </c>
      <c r="B2509" s="42">
        <v>91.76</v>
      </c>
    </row>
    <row r="2510" spans="1:2" x14ac:dyDescent="0.2">
      <c r="A2510" s="40" t="s">
        <v>1563</v>
      </c>
      <c r="B2510" s="42">
        <v>89.99</v>
      </c>
    </row>
    <row r="2511" spans="1:2" x14ac:dyDescent="0.2">
      <c r="A2511" s="40" t="s">
        <v>1564</v>
      </c>
      <c r="B2511" s="42">
        <v>90.46</v>
      </c>
    </row>
    <row r="2512" spans="1:2" x14ac:dyDescent="0.2">
      <c r="A2512" s="40" t="s">
        <v>1565</v>
      </c>
      <c r="B2512" s="42">
        <v>85.46</v>
      </c>
    </row>
    <row r="2513" spans="1:2" x14ac:dyDescent="0.2">
      <c r="A2513" s="40" t="s">
        <v>1566</v>
      </c>
      <c r="B2513" s="42">
        <v>84.12</v>
      </c>
    </row>
    <row r="2514" spans="1:2" x14ac:dyDescent="0.2">
      <c r="A2514" s="40" t="s">
        <v>1567</v>
      </c>
      <c r="B2514" s="42">
        <v>79.48</v>
      </c>
    </row>
    <row r="2515" spans="1:2" x14ac:dyDescent="0.2">
      <c r="A2515" s="40" t="s">
        <v>1568</v>
      </c>
      <c r="B2515" s="42">
        <v>78.540000000000006</v>
      </c>
    </row>
    <row r="2516" spans="1:2" x14ac:dyDescent="0.2">
      <c r="A2516" s="40" t="s">
        <v>1569</v>
      </c>
      <c r="B2516" s="42">
        <v>77.48</v>
      </c>
    </row>
    <row r="2517" spans="1:2" x14ac:dyDescent="0.2">
      <c r="A2517" s="40" t="s">
        <v>1570</v>
      </c>
      <c r="B2517" s="42">
        <v>76.17</v>
      </c>
    </row>
    <row r="2518" spans="1:2" x14ac:dyDescent="0.2">
      <c r="A2518" s="40" t="s">
        <v>1571</v>
      </c>
      <c r="B2518" s="42">
        <v>79.430000000000007</v>
      </c>
    </row>
    <row r="2519" spans="1:2" x14ac:dyDescent="0.2">
      <c r="A2519" s="41">
        <v>42375</v>
      </c>
      <c r="B2519" s="42">
        <v>78.930000000000007</v>
      </c>
    </row>
    <row r="2520" spans="1:2" x14ac:dyDescent="0.2">
      <c r="A2520" s="41">
        <v>42406</v>
      </c>
      <c r="B2520" s="42">
        <v>79.540000000000006</v>
      </c>
    </row>
    <row r="2521" spans="1:2" x14ac:dyDescent="0.2">
      <c r="A2521" s="41">
        <v>42435</v>
      </c>
      <c r="B2521" s="42">
        <v>79.08</v>
      </c>
    </row>
    <row r="2522" spans="1:2" x14ac:dyDescent="0.2">
      <c r="A2522" s="41">
        <v>42527</v>
      </c>
      <c r="B2522" s="42">
        <v>80.709999999999994</v>
      </c>
    </row>
    <row r="2523" spans="1:2" x14ac:dyDescent="0.2">
      <c r="A2523" s="41">
        <v>42557</v>
      </c>
      <c r="B2523" s="42">
        <v>82.3</v>
      </c>
    </row>
    <row r="2524" spans="1:2" x14ac:dyDescent="0.2">
      <c r="A2524" s="41">
        <v>42588</v>
      </c>
      <c r="B2524" s="42">
        <v>86.61</v>
      </c>
    </row>
    <row r="2525" spans="1:2" x14ac:dyDescent="0.2">
      <c r="A2525" s="41">
        <v>42619</v>
      </c>
      <c r="B2525" s="42">
        <v>89.98</v>
      </c>
    </row>
    <row r="2526" spans="1:2" x14ac:dyDescent="0.2">
      <c r="A2526" s="41">
        <v>42649</v>
      </c>
      <c r="B2526" s="42">
        <v>103.78</v>
      </c>
    </row>
    <row r="2527" spans="1:2" x14ac:dyDescent="0.2">
      <c r="A2527" s="40" t="s">
        <v>1572</v>
      </c>
      <c r="B2527" s="42">
        <v>124.56</v>
      </c>
    </row>
    <row r="2528" spans="1:2" x14ac:dyDescent="0.2">
      <c r="A2528" s="40" t="s">
        <v>1573</v>
      </c>
      <c r="B2528" s="42">
        <v>116.44</v>
      </c>
    </row>
    <row r="2529" spans="1:2" x14ac:dyDescent="0.2">
      <c r="A2529" s="40" t="s">
        <v>1574</v>
      </c>
      <c r="B2529" s="42">
        <v>114.23</v>
      </c>
    </row>
    <row r="2530" spans="1:2" x14ac:dyDescent="0.2">
      <c r="A2530" s="40" t="s">
        <v>1575</v>
      </c>
      <c r="B2530" s="42">
        <v>115.47</v>
      </c>
    </row>
    <row r="2531" spans="1:2" x14ac:dyDescent="0.2">
      <c r="A2531" s="40" t="s">
        <v>1576</v>
      </c>
      <c r="B2531" s="42">
        <v>115.72</v>
      </c>
    </row>
    <row r="2532" spans="1:2" x14ac:dyDescent="0.2">
      <c r="A2532" s="40" t="s">
        <v>1577</v>
      </c>
      <c r="B2532" s="42">
        <v>112.4</v>
      </c>
    </row>
    <row r="2533" spans="1:2" x14ac:dyDescent="0.2">
      <c r="A2533" s="40" t="s">
        <v>1578</v>
      </c>
      <c r="B2533" s="42">
        <v>113.46</v>
      </c>
    </row>
    <row r="2534" spans="1:2" x14ac:dyDescent="0.2">
      <c r="A2534" s="40" t="s">
        <v>1579</v>
      </c>
      <c r="B2534" s="42">
        <v>122.94</v>
      </c>
    </row>
    <row r="2535" spans="1:2" x14ac:dyDescent="0.2">
      <c r="A2535" s="40" t="s">
        <v>1580</v>
      </c>
      <c r="B2535" s="42">
        <v>104.71</v>
      </c>
    </row>
    <row r="2536" spans="1:2" x14ac:dyDescent="0.2">
      <c r="A2536" s="40" t="s">
        <v>1581</v>
      </c>
      <c r="B2536" s="42">
        <v>125.13</v>
      </c>
    </row>
    <row r="2537" spans="1:2" x14ac:dyDescent="0.2">
      <c r="A2537" s="40" t="s">
        <v>1582</v>
      </c>
      <c r="B2537" s="42">
        <v>115.6</v>
      </c>
    </row>
    <row r="2538" spans="1:2" x14ac:dyDescent="0.2">
      <c r="A2538" s="40" t="s">
        <v>1583</v>
      </c>
      <c r="B2538" s="42">
        <v>108</v>
      </c>
    </row>
    <row r="2539" spans="1:2" x14ac:dyDescent="0.2">
      <c r="A2539" s="40" t="s">
        <v>1584</v>
      </c>
      <c r="B2539" s="42">
        <v>98.6</v>
      </c>
    </row>
    <row r="2540" spans="1:2" x14ac:dyDescent="0.2">
      <c r="A2540" s="40" t="s">
        <v>1585</v>
      </c>
      <c r="B2540" s="42">
        <v>94.23</v>
      </c>
    </row>
    <row r="2541" spans="1:2" x14ac:dyDescent="0.2">
      <c r="A2541" s="41">
        <v>42376</v>
      </c>
      <c r="B2541" s="42">
        <v>91.7</v>
      </c>
    </row>
    <row r="2542" spans="1:2" x14ac:dyDescent="0.2">
      <c r="A2542" s="41">
        <v>42497</v>
      </c>
      <c r="B2542" s="42">
        <v>91.85</v>
      </c>
    </row>
    <row r="2543" spans="1:2" x14ac:dyDescent="0.2">
      <c r="A2543" s="41">
        <v>42528</v>
      </c>
      <c r="B2543" s="42">
        <v>89.24</v>
      </c>
    </row>
    <row r="2544" spans="1:2" x14ac:dyDescent="0.2">
      <c r="A2544" s="41">
        <v>42558</v>
      </c>
      <c r="B2544" s="42">
        <v>89.5</v>
      </c>
    </row>
    <row r="2545" spans="1:2" x14ac:dyDescent="0.2">
      <c r="A2545" s="41">
        <v>42589</v>
      </c>
      <c r="B2545" s="42">
        <v>84.72</v>
      </c>
    </row>
    <row r="2546" spans="1:2" x14ac:dyDescent="0.2">
      <c r="A2546" s="41">
        <v>42681</v>
      </c>
      <c r="B2546" s="42">
        <v>84.78</v>
      </c>
    </row>
    <row r="2547" spans="1:2" x14ac:dyDescent="0.2">
      <c r="A2547" s="41">
        <v>42711</v>
      </c>
      <c r="B2547" s="42">
        <v>84.98</v>
      </c>
    </row>
    <row r="2548" spans="1:2" x14ac:dyDescent="0.2">
      <c r="A2548" s="40" t="s">
        <v>1586</v>
      </c>
      <c r="B2548" s="42">
        <v>84.18</v>
      </c>
    </row>
    <row r="2549" spans="1:2" x14ac:dyDescent="0.2">
      <c r="A2549" s="40" t="s">
        <v>1587</v>
      </c>
      <c r="B2549" s="42">
        <v>86.03</v>
      </c>
    </row>
    <row r="2550" spans="1:2" x14ac:dyDescent="0.2">
      <c r="A2550" s="40" t="s">
        <v>1588</v>
      </c>
      <c r="B2550" s="42">
        <v>89.04</v>
      </c>
    </row>
    <row r="2551" spans="1:2" x14ac:dyDescent="0.2">
      <c r="A2551" s="40" t="s">
        <v>1589</v>
      </c>
      <c r="B2551" s="42">
        <v>87.2</v>
      </c>
    </row>
    <row r="2552" spans="1:2" x14ac:dyDescent="0.2">
      <c r="A2552" s="40" t="s">
        <v>1590</v>
      </c>
      <c r="B2552" s="42">
        <v>89.03</v>
      </c>
    </row>
    <row r="2553" spans="1:2" x14ac:dyDescent="0.2">
      <c r="A2553" s="40" t="s">
        <v>1591</v>
      </c>
      <c r="B2553" s="42">
        <v>87.09</v>
      </c>
    </row>
    <row r="2554" spans="1:2" x14ac:dyDescent="0.2">
      <c r="A2554" s="40" t="s">
        <v>1592</v>
      </c>
      <c r="B2554" s="42">
        <v>92.84</v>
      </c>
    </row>
    <row r="2555" spans="1:2" x14ac:dyDescent="0.2">
      <c r="A2555" s="40" t="s">
        <v>1593</v>
      </c>
      <c r="B2555" s="42">
        <v>89.51</v>
      </c>
    </row>
    <row r="2556" spans="1:2" x14ac:dyDescent="0.2">
      <c r="A2556" s="40" t="s">
        <v>1594</v>
      </c>
      <c r="B2556" s="42">
        <v>91.95</v>
      </c>
    </row>
    <row r="2557" spans="1:2" x14ac:dyDescent="0.2">
      <c r="A2557" s="40" t="s">
        <v>1595</v>
      </c>
      <c r="B2557" s="42">
        <v>91.44</v>
      </c>
    </row>
    <row r="2558" spans="1:2" x14ac:dyDescent="0.2">
      <c r="A2558" s="40" t="s">
        <v>1596</v>
      </c>
      <c r="B2558" s="42">
        <v>91.23</v>
      </c>
    </row>
    <row r="2559" spans="1:2" x14ac:dyDescent="0.2">
      <c r="A2559" s="40" t="s">
        <v>1597</v>
      </c>
      <c r="B2559" s="42">
        <v>89.81</v>
      </c>
    </row>
    <row r="2560" spans="1:2" x14ac:dyDescent="0.2">
      <c r="A2560" s="40" t="s">
        <v>1598</v>
      </c>
      <c r="B2560" s="42">
        <v>90.84</v>
      </c>
    </row>
    <row r="2561" spans="1:2" x14ac:dyDescent="0.2">
      <c r="A2561" s="41">
        <v>42377</v>
      </c>
      <c r="B2561" s="42">
        <v>90.68</v>
      </c>
    </row>
    <row r="2562" spans="1:2" x14ac:dyDescent="0.2">
      <c r="A2562" s="41">
        <v>42408</v>
      </c>
      <c r="B2562" s="42">
        <v>93.89</v>
      </c>
    </row>
    <row r="2563" spans="1:2" x14ac:dyDescent="0.2">
      <c r="A2563" s="41">
        <v>42437</v>
      </c>
      <c r="B2563" s="42">
        <v>88.59</v>
      </c>
    </row>
    <row r="2564" spans="1:2" x14ac:dyDescent="0.2">
      <c r="A2564" s="41">
        <v>42468</v>
      </c>
      <c r="B2564" s="42">
        <v>88.14</v>
      </c>
    </row>
    <row r="2565" spans="1:2" x14ac:dyDescent="0.2">
      <c r="A2565" s="41">
        <v>42498</v>
      </c>
      <c r="B2565" s="42">
        <v>85.23</v>
      </c>
    </row>
    <row r="2566" spans="1:2" x14ac:dyDescent="0.2">
      <c r="A2566" s="41">
        <v>42590</v>
      </c>
      <c r="B2566" s="42">
        <v>84.5</v>
      </c>
    </row>
    <row r="2567" spans="1:2" x14ac:dyDescent="0.2">
      <c r="A2567" s="41">
        <v>42621</v>
      </c>
      <c r="B2567" s="42">
        <v>86.65</v>
      </c>
    </row>
    <row r="2568" spans="1:2" x14ac:dyDescent="0.2">
      <c r="A2568" s="41">
        <v>42651</v>
      </c>
      <c r="B2568" s="42">
        <v>89.4</v>
      </c>
    </row>
    <row r="2569" spans="1:2" x14ac:dyDescent="0.2">
      <c r="A2569" s="41">
        <v>42682</v>
      </c>
      <c r="B2569" s="42">
        <v>97.36</v>
      </c>
    </row>
    <row r="2570" spans="1:2" x14ac:dyDescent="0.2">
      <c r="A2570" s="41">
        <v>42712</v>
      </c>
      <c r="B2570" s="42">
        <v>94.49</v>
      </c>
    </row>
    <row r="2571" spans="1:2" x14ac:dyDescent="0.2">
      <c r="A2571" s="40" t="s">
        <v>1599</v>
      </c>
      <c r="B2571" s="42">
        <v>91.67</v>
      </c>
    </row>
    <row r="2572" spans="1:2" x14ac:dyDescent="0.2">
      <c r="A2572" s="40" t="s">
        <v>1600</v>
      </c>
      <c r="B2572" s="42">
        <v>91.86</v>
      </c>
    </row>
    <row r="2573" spans="1:2" x14ac:dyDescent="0.2">
      <c r="A2573" s="40" t="s">
        <v>1601</v>
      </c>
      <c r="B2573" s="42">
        <v>84.84</v>
      </c>
    </row>
    <row r="2574" spans="1:2" x14ac:dyDescent="0.2">
      <c r="A2574" s="40" t="s">
        <v>1602</v>
      </c>
      <c r="B2574" s="42">
        <v>82.83</v>
      </c>
    </row>
    <row r="2575" spans="1:2" x14ac:dyDescent="0.2">
      <c r="A2575" s="40" t="s">
        <v>1603</v>
      </c>
      <c r="B2575" s="42">
        <v>82.44</v>
      </c>
    </row>
    <row r="2576" spans="1:2" x14ac:dyDescent="0.2">
      <c r="A2576" s="40" t="s">
        <v>1604</v>
      </c>
      <c r="B2576" s="42">
        <v>83.13</v>
      </c>
    </row>
    <row r="2577" spans="1:2" x14ac:dyDescent="0.2">
      <c r="A2577" s="40" t="s">
        <v>1605</v>
      </c>
      <c r="B2577" s="42">
        <v>83.45</v>
      </c>
    </row>
    <row r="2578" spans="1:2" x14ac:dyDescent="0.2">
      <c r="A2578" s="40" t="s">
        <v>1606</v>
      </c>
      <c r="B2578" s="42">
        <v>85.37</v>
      </c>
    </row>
    <row r="2579" spans="1:2" x14ac:dyDescent="0.2">
      <c r="A2579" s="40" t="s">
        <v>1607</v>
      </c>
      <c r="B2579" s="42">
        <v>85.43</v>
      </c>
    </row>
    <row r="2580" spans="1:2" x14ac:dyDescent="0.2">
      <c r="A2580" s="40" t="s">
        <v>1608</v>
      </c>
      <c r="B2580" s="42">
        <v>88.62</v>
      </c>
    </row>
    <row r="2581" spans="1:2" x14ac:dyDescent="0.2">
      <c r="A2581" s="40" t="s">
        <v>1609</v>
      </c>
      <c r="B2581" s="42">
        <v>85.83</v>
      </c>
    </row>
    <row r="2582" spans="1:2" x14ac:dyDescent="0.2">
      <c r="A2582" s="40" t="s">
        <v>1610</v>
      </c>
      <c r="B2582" s="42">
        <v>84.44</v>
      </c>
    </row>
    <row r="2583" spans="1:2" x14ac:dyDescent="0.2">
      <c r="A2583" s="40" t="s">
        <v>1611</v>
      </c>
      <c r="B2583" s="42">
        <v>84.87</v>
      </c>
    </row>
    <row r="2584" spans="1:2" x14ac:dyDescent="0.2">
      <c r="A2584" s="41">
        <v>42378</v>
      </c>
      <c r="B2584" s="42">
        <v>84.9</v>
      </c>
    </row>
    <row r="2585" spans="1:2" x14ac:dyDescent="0.2">
      <c r="A2585" s="41">
        <v>42409</v>
      </c>
      <c r="B2585" s="42">
        <v>81.349999999999994</v>
      </c>
    </row>
    <row r="2586" spans="1:2" x14ac:dyDescent="0.2">
      <c r="A2586" s="41">
        <v>42530</v>
      </c>
      <c r="B2586" s="42">
        <v>82.14</v>
      </c>
    </row>
    <row r="2587" spans="1:2" x14ac:dyDescent="0.2">
      <c r="A2587" s="41">
        <v>42560</v>
      </c>
      <c r="B2587" s="42">
        <v>83.08</v>
      </c>
    </row>
    <row r="2588" spans="1:2" x14ac:dyDescent="0.2">
      <c r="A2588" s="41">
        <v>42591</v>
      </c>
      <c r="B2588" s="42">
        <v>85.57</v>
      </c>
    </row>
    <row r="2589" spans="1:2" x14ac:dyDescent="0.2">
      <c r="A2589" s="41">
        <v>42622</v>
      </c>
      <c r="B2589" s="42">
        <v>110.02</v>
      </c>
    </row>
    <row r="2590" spans="1:2" x14ac:dyDescent="0.2">
      <c r="A2590" s="41">
        <v>42713</v>
      </c>
      <c r="B2590" s="42">
        <v>99.53</v>
      </c>
    </row>
    <row r="2591" spans="1:2" x14ac:dyDescent="0.2">
      <c r="A2591" s="40" t="s">
        <v>1612</v>
      </c>
      <c r="B2591" s="42">
        <v>110.02</v>
      </c>
    </row>
    <row r="2592" spans="1:2" x14ac:dyDescent="0.2">
      <c r="A2592" s="40" t="s">
        <v>1613</v>
      </c>
      <c r="B2592" s="42">
        <v>113.15</v>
      </c>
    </row>
    <row r="2593" spans="1:2" x14ac:dyDescent="0.2">
      <c r="A2593" s="40" t="s">
        <v>1614</v>
      </c>
      <c r="B2593" s="42">
        <v>109.27</v>
      </c>
    </row>
    <row r="2594" spans="1:2" x14ac:dyDescent="0.2">
      <c r="A2594" s="40" t="s">
        <v>1615</v>
      </c>
      <c r="B2594" s="42">
        <v>102.59</v>
      </c>
    </row>
    <row r="2595" spans="1:2" x14ac:dyDescent="0.2">
      <c r="A2595" s="40" t="s">
        <v>1616</v>
      </c>
      <c r="B2595" s="42">
        <v>101.58</v>
      </c>
    </row>
    <row r="2596" spans="1:2" x14ac:dyDescent="0.2">
      <c r="A2596" s="40" t="s">
        <v>1617</v>
      </c>
      <c r="B2596" s="42">
        <v>101.98</v>
      </c>
    </row>
    <row r="2597" spans="1:2" x14ac:dyDescent="0.2">
      <c r="A2597" s="40" t="s">
        <v>1618</v>
      </c>
      <c r="B2597" s="42">
        <v>92.59</v>
      </c>
    </row>
    <row r="2598" spans="1:2" x14ac:dyDescent="0.2">
      <c r="A2598" s="40" t="s">
        <v>1619</v>
      </c>
      <c r="B2598" s="42">
        <v>89.22</v>
      </c>
    </row>
    <row r="2599" spans="1:2" x14ac:dyDescent="0.2">
      <c r="A2599" s="40" t="s">
        <v>1620</v>
      </c>
      <c r="B2599" s="42">
        <v>90.4</v>
      </c>
    </row>
    <row r="2600" spans="1:2" x14ac:dyDescent="0.2">
      <c r="A2600" s="40" t="s">
        <v>1621</v>
      </c>
      <c r="B2600" s="42">
        <v>96.24</v>
      </c>
    </row>
    <row r="2601" spans="1:2" x14ac:dyDescent="0.2">
      <c r="A2601" s="40" t="s">
        <v>1622</v>
      </c>
      <c r="B2601" s="42">
        <v>88.94</v>
      </c>
    </row>
    <row r="2602" spans="1:2" x14ac:dyDescent="0.2">
      <c r="A2602" s="40" t="s">
        <v>1623</v>
      </c>
      <c r="B2602" s="42">
        <v>87.55</v>
      </c>
    </row>
    <row r="2603" spans="1:2" x14ac:dyDescent="0.2">
      <c r="A2603" s="40" t="s">
        <v>1624</v>
      </c>
      <c r="B2603" s="42">
        <v>93.78</v>
      </c>
    </row>
    <row r="2604" spans="1:2" x14ac:dyDescent="0.2">
      <c r="A2604" s="40" t="s">
        <v>1625</v>
      </c>
      <c r="B2604" s="42">
        <v>91.42</v>
      </c>
    </row>
    <row r="2605" spans="1:2" x14ac:dyDescent="0.2">
      <c r="A2605" s="41">
        <v>42439</v>
      </c>
      <c r="B2605" s="42">
        <v>91.51</v>
      </c>
    </row>
    <row r="2606" spans="1:2" x14ac:dyDescent="0.2">
      <c r="A2606" s="41">
        <v>42470</v>
      </c>
      <c r="B2606" s="42">
        <v>89.94</v>
      </c>
    </row>
    <row r="2607" spans="1:2" x14ac:dyDescent="0.2">
      <c r="A2607" s="41">
        <v>42500</v>
      </c>
      <c r="B2607" s="42">
        <v>89.88</v>
      </c>
    </row>
    <row r="2608" spans="1:2" x14ac:dyDescent="0.2">
      <c r="A2608" s="41">
        <v>42531</v>
      </c>
      <c r="B2608" s="42">
        <v>89.86</v>
      </c>
    </row>
    <row r="2609" spans="1:2" x14ac:dyDescent="0.2">
      <c r="A2609" s="41">
        <v>42561</v>
      </c>
      <c r="B2609" s="42">
        <v>90.86</v>
      </c>
    </row>
    <row r="2610" spans="1:2" x14ac:dyDescent="0.2">
      <c r="A2610" s="41">
        <v>42653</v>
      </c>
      <c r="B2610" s="42">
        <v>90.66</v>
      </c>
    </row>
    <row r="2611" spans="1:2" x14ac:dyDescent="0.2">
      <c r="A2611" s="41">
        <v>42684</v>
      </c>
      <c r="B2611" s="42">
        <v>95.43</v>
      </c>
    </row>
    <row r="2612" spans="1:2" x14ac:dyDescent="0.2">
      <c r="A2612" s="41">
        <v>42714</v>
      </c>
      <c r="B2612" s="42">
        <v>102.02</v>
      </c>
    </row>
    <row r="2613" spans="1:2" x14ac:dyDescent="0.2">
      <c r="A2613" s="40" t="s">
        <v>1626</v>
      </c>
      <c r="B2613" s="42">
        <v>103.4</v>
      </c>
    </row>
    <row r="2614" spans="1:2" x14ac:dyDescent="0.2">
      <c r="A2614" s="40" t="s">
        <v>1627</v>
      </c>
      <c r="B2614" s="42">
        <v>101.01</v>
      </c>
    </row>
    <row r="2615" spans="1:2" x14ac:dyDescent="0.2">
      <c r="A2615" s="40" t="s">
        <v>1628</v>
      </c>
      <c r="B2615" s="42">
        <v>99.34</v>
      </c>
    </row>
    <row r="2616" spans="1:2" x14ac:dyDescent="0.2">
      <c r="A2616" s="40" t="s">
        <v>1629</v>
      </c>
      <c r="B2616" s="42">
        <v>96.87</v>
      </c>
    </row>
    <row r="2617" spans="1:2" x14ac:dyDescent="0.2">
      <c r="A2617" s="40" t="s">
        <v>1630</v>
      </c>
      <c r="B2617" s="42">
        <v>93.9</v>
      </c>
    </row>
    <row r="2618" spans="1:2" x14ac:dyDescent="0.2">
      <c r="A2618" s="40" t="s">
        <v>1631</v>
      </c>
      <c r="B2618" s="42">
        <v>89.72</v>
      </c>
    </row>
    <row r="2619" spans="1:2" x14ac:dyDescent="0.2">
      <c r="A2619" s="40" t="s">
        <v>1632</v>
      </c>
      <c r="B2619" s="42">
        <v>87.34</v>
      </c>
    </row>
    <row r="2620" spans="1:2" x14ac:dyDescent="0.2">
      <c r="A2620" s="40" t="s">
        <v>1633</v>
      </c>
      <c r="B2620" s="42">
        <v>85.81</v>
      </c>
    </row>
    <row r="2621" spans="1:2" x14ac:dyDescent="0.2">
      <c r="A2621" s="40" t="s">
        <v>1634</v>
      </c>
      <c r="B2621" s="42">
        <v>86.23</v>
      </c>
    </row>
    <row r="2622" spans="1:2" x14ac:dyDescent="0.2">
      <c r="A2622" s="40" t="s">
        <v>1635</v>
      </c>
      <c r="B2622" s="42">
        <v>86.9</v>
      </c>
    </row>
    <row r="2623" spans="1:2" x14ac:dyDescent="0.2">
      <c r="A2623" s="40" t="s">
        <v>1636</v>
      </c>
      <c r="B2623" s="42">
        <v>91.21</v>
      </c>
    </row>
    <row r="2624" spans="1:2" x14ac:dyDescent="0.2">
      <c r="A2624" s="40" t="s">
        <v>1637</v>
      </c>
      <c r="B2624" s="42">
        <v>99.44</v>
      </c>
    </row>
    <row r="2625" spans="1:2" x14ac:dyDescent="0.2">
      <c r="A2625" s="40" t="s">
        <v>1638</v>
      </c>
      <c r="B2625" s="42">
        <v>102.82</v>
      </c>
    </row>
    <row r="2626" spans="1:2" x14ac:dyDescent="0.2">
      <c r="A2626" s="41">
        <v>42380</v>
      </c>
      <c r="B2626" s="42">
        <v>108.26</v>
      </c>
    </row>
    <row r="2627" spans="1:2" x14ac:dyDescent="0.2">
      <c r="A2627" s="41">
        <v>42411</v>
      </c>
      <c r="B2627" s="42">
        <v>112.39</v>
      </c>
    </row>
    <row r="2628" spans="1:2" x14ac:dyDescent="0.2">
      <c r="A2628" s="41">
        <v>42440</v>
      </c>
      <c r="B2628" s="42">
        <v>120.24</v>
      </c>
    </row>
    <row r="2629" spans="1:2" x14ac:dyDescent="0.2">
      <c r="A2629" s="41">
        <v>42471</v>
      </c>
      <c r="B2629" s="42">
        <v>120.23</v>
      </c>
    </row>
    <row r="2630" spans="1:2" x14ac:dyDescent="0.2">
      <c r="A2630" s="41">
        <v>42562</v>
      </c>
      <c r="B2630" s="42">
        <v>107.84</v>
      </c>
    </row>
    <row r="2631" spans="1:2" x14ac:dyDescent="0.2">
      <c r="A2631" s="41">
        <v>42593</v>
      </c>
      <c r="B2631" s="42">
        <v>108.67</v>
      </c>
    </row>
    <row r="2632" spans="1:2" x14ac:dyDescent="0.2">
      <c r="A2632" s="41">
        <v>42624</v>
      </c>
      <c r="B2632" s="42">
        <v>96.14</v>
      </c>
    </row>
    <row r="2633" spans="1:2" x14ac:dyDescent="0.2">
      <c r="A2633" s="41">
        <v>42654</v>
      </c>
      <c r="B2633" s="42">
        <v>102.67</v>
      </c>
    </row>
    <row r="2634" spans="1:2" x14ac:dyDescent="0.2">
      <c r="A2634" s="41">
        <v>42685</v>
      </c>
      <c r="B2634" s="42">
        <v>97.22</v>
      </c>
    </row>
    <row r="2635" spans="1:2" x14ac:dyDescent="0.2">
      <c r="A2635" s="40" t="s">
        <v>1639</v>
      </c>
      <c r="B2635" s="42">
        <v>98.22</v>
      </c>
    </row>
    <row r="2636" spans="1:2" x14ac:dyDescent="0.2">
      <c r="A2636" s="40" t="s">
        <v>1640</v>
      </c>
      <c r="B2636" s="42">
        <v>91.77</v>
      </c>
    </row>
    <row r="2637" spans="1:2" x14ac:dyDescent="0.2">
      <c r="A2637" s="40" t="s">
        <v>1641</v>
      </c>
      <c r="B2637" s="42">
        <v>92.45</v>
      </c>
    </row>
    <row r="2638" spans="1:2" x14ac:dyDescent="0.2">
      <c r="A2638" s="40" t="s">
        <v>1642</v>
      </c>
      <c r="B2638" s="42">
        <v>87.58</v>
      </c>
    </row>
    <row r="2639" spans="1:2" x14ac:dyDescent="0.2">
      <c r="A2639" s="40" t="s">
        <v>1643</v>
      </c>
      <c r="B2639" s="42">
        <v>86.4</v>
      </c>
    </row>
    <row r="2640" spans="1:2" x14ac:dyDescent="0.2">
      <c r="A2640" s="40" t="s">
        <v>1644</v>
      </c>
      <c r="B2640" s="42">
        <v>80.75</v>
      </c>
    </row>
    <row r="2641" spans="1:2" x14ac:dyDescent="0.2">
      <c r="A2641" s="40" t="s">
        <v>1645</v>
      </c>
      <c r="B2641" s="42">
        <v>83.4</v>
      </c>
    </row>
    <row r="2642" spans="1:2" x14ac:dyDescent="0.2">
      <c r="A2642" s="40" t="s">
        <v>1646</v>
      </c>
      <c r="B2642" s="42">
        <v>82.45</v>
      </c>
    </row>
    <row r="2643" spans="1:2" x14ac:dyDescent="0.2">
      <c r="A2643" s="40" t="s">
        <v>1647</v>
      </c>
      <c r="B2643" s="42">
        <v>82.65</v>
      </c>
    </row>
    <row r="2644" spans="1:2" x14ac:dyDescent="0.2">
      <c r="A2644" s="40" t="s">
        <v>1648</v>
      </c>
      <c r="B2644" s="42">
        <v>86.17</v>
      </c>
    </row>
    <row r="2645" spans="1:2" x14ac:dyDescent="0.2">
      <c r="A2645" s="40" t="s">
        <v>1649</v>
      </c>
      <c r="B2645" s="42">
        <v>86.28</v>
      </c>
    </row>
    <row r="2646" spans="1:2" x14ac:dyDescent="0.2">
      <c r="A2646" s="40" t="s">
        <v>1650</v>
      </c>
      <c r="B2646" s="42">
        <v>88.99</v>
      </c>
    </row>
    <row r="2647" spans="1:2" x14ac:dyDescent="0.2">
      <c r="A2647" s="41">
        <v>42381</v>
      </c>
      <c r="B2647" s="42">
        <v>97.79</v>
      </c>
    </row>
    <row r="2648" spans="1:2" x14ac:dyDescent="0.2">
      <c r="A2648" s="41">
        <v>42412</v>
      </c>
      <c r="B2648" s="42">
        <v>98.07</v>
      </c>
    </row>
    <row r="2649" spans="1:2" x14ac:dyDescent="0.2">
      <c r="A2649" s="41">
        <v>42502</v>
      </c>
      <c r="B2649" s="42">
        <v>88.88</v>
      </c>
    </row>
    <row r="2650" spans="1:2" x14ac:dyDescent="0.2">
      <c r="A2650" s="41">
        <v>42533</v>
      </c>
      <c r="B2650" s="42">
        <v>88.12</v>
      </c>
    </row>
    <row r="2651" spans="1:2" x14ac:dyDescent="0.2">
      <c r="A2651" s="41">
        <v>42563</v>
      </c>
      <c r="B2651" s="42">
        <v>89.11</v>
      </c>
    </row>
    <row r="2652" spans="1:2" x14ac:dyDescent="0.2">
      <c r="A2652" s="41">
        <v>42594</v>
      </c>
      <c r="B2652" s="42">
        <v>91.27</v>
      </c>
    </row>
    <row r="2653" spans="1:2" x14ac:dyDescent="0.2">
      <c r="A2653" s="41">
        <v>42625</v>
      </c>
      <c r="B2653" s="42">
        <v>89.4</v>
      </c>
    </row>
    <row r="2654" spans="1:2" x14ac:dyDescent="0.2">
      <c r="A2654" s="41">
        <v>42716</v>
      </c>
      <c r="B2654" s="42">
        <v>91.87</v>
      </c>
    </row>
    <row r="2655" spans="1:2" x14ac:dyDescent="0.2">
      <c r="A2655" s="40" t="s">
        <v>1651</v>
      </c>
      <c r="B2655" s="42">
        <v>93.32</v>
      </c>
    </row>
    <row r="2656" spans="1:2" x14ac:dyDescent="0.2">
      <c r="A2656" s="40" t="s">
        <v>1652</v>
      </c>
      <c r="B2656" s="42">
        <v>96.82</v>
      </c>
    </row>
    <row r="2657" spans="1:2" x14ac:dyDescent="0.2">
      <c r="A2657" s="40" t="s">
        <v>1653</v>
      </c>
      <c r="B2657" s="42">
        <v>93.08</v>
      </c>
    </row>
    <row r="2658" spans="1:2" x14ac:dyDescent="0.2">
      <c r="A2658" s="40" t="s">
        <v>1654</v>
      </c>
      <c r="B2658" s="42">
        <v>93.79</v>
      </c>
    </row>
    <row r="2659" spans="1:2" x14ac:dyDescent="0.2">
      <c r="A2659" s="40" t="s">
        <v>1655</v>
      </c>
      <c r="B2659" s="42">
        <v>90.51</v>
      </c>
    </row>
    <row r="2660" spans="1:2" x14ac:dyDescent="0.2">
      <c r="A2660" s="40" t="s">
        <v>1656</v>
      </c>
      <c r="B2660" s="42">
        <v>88.26</v>
      </c>
    </row>
    <row r="2661" spans="1:2" x14ac:dyDescent="0.2">
      <c r="A2661" s="40" t="s">
        <v>1657</v>
      </c>
      <c r="B2661" s="42">
        <v>87.97</v>
      </c>
    </row>
    <row r="2662" spans="1:2" x14ac:dyDescent="0.2">
      <c r="A2662" s="40" t="s">
        <v>1658</v>
      </c>
      <c r="B2662" s="42">
        <v>89.72</v>
      </c>
    </row>
    <row r="2663" spans="1:2" x14ac:dyDescent="0.2">
      <c r="A2663" s="40" t="s">
        <v>1659</v>
      </c>
      <c r="B2663" s="42">
        <v>87.64</v>
      </c>
    </row>
    <row r="2664" spans="1:2" x14ac:dyDescent="0.2">
      <c r="A2664" s="40" t="s">
        <v>1660</v>
      </c>
      <c r="B2664" s="42">
        <v>86.37</v>
      </c>
    </row>
    <row r="2665" spans="1:2" x14ac:dyDescent="0.2">
      <c r="A2665" s="40" t="s">
        <v>1661</v>
      </c>
      <c r="B2665" s="42">
        <v>89.17</v>
      </c>
    </row>
    <row r="2666" spans="1:2" x14ac:dyDescent="0.2">
      <c r="A2666" s="40" t="s">
        <v>1662</v>
      </c>
      <c r="B2666" s="42">
        <v>88.87</v>
      </c>
    </row>
    <row r="2667" spans="1:2" x14ac:dyDescent="0.2">
      <c r="A2667" s="40" t="s">
        <v>1663</v>
      </c>
      <c r="B2667" s="42">
        <v>91.6</v>
      </c>
    </row>
    <row r="2668" spans="1:2" x14ac:dyDescent="0.2">
      <c r="A2668" s="41">
        <v>42795</v>
      </c>
      <c r="B2668" s="42">
        <v>85.37</v>
      </c>
    </row>
    <row r="2669" spans="1:2" x14ac:dyDescent="0.2">
      <c r="A2669" s="41">
        <v>42826</v>
      </c>
      <c r="B2669" s="42">
        <v>82.27</v>
      </c>
    </row>
    <row r="2670" spans="1:2" x14ac:dyDescent="0.2">
      <c r="A2670" s="41">
        <v>42856</v>
      </c>
      <c r="B2670" s="42">
        <v>81.33</v>
      </c>
    </row>
    <row r="2671" spans="1:2" x14ac:dyDescent="0.2">
      <c r="A2671" s="41">
        <v>42887</v>
      </c>
      <c r="B2671" s="42">
        <v>80.59</v>
      </c>
    </row>
    <row r="2672" spans="1:2" x14ac:dyDescent="0.2">
      <c r="A2672" s="41">
        <v>42979</v>
      </c>
      <c r="B2672" s="42">
        <v>83.47</v>
      </c>
    </row>
    <row r="2673" spans="1:2" x14ac:dyDescent="0.2">
      <c r="A2673" s="41">
        <v>43009</v>
      </c>
      <c r="B2673" s="42">
        <v>86.36</v>
      </c>
    </row>
    <row r="2674" spans="1:2" x14ac:dyDescent="0.2">
      <c r="A2674" s="41">
        <v>43040</v>
      </c>
      <c r="B2674" s="42">
        <v>86.72</v>
      </c>
    </row>
    <row r="2675" spans="1:2" x14ac:dyDescent="0.2">
      <c r="A2675" s="41">
        <v>43070</v>
      </c>
      <c r="B2675" s="42">
        <v>90.44</v>
      </c>
    </row>
    <row r="2676" spans="1:2" x14ac:dyDescent="0.2">
      <c r="A2676" s="40" t="s">
        <v>1664</v>
      </c>
      <c r="B2676" s="42">
        <v>92.9</v>
      </c>
    </row>
    <row r="2677" spans="1:2" x14ac:dyDescent="0.2">
      <c r="A2677" s="40" t="s">
        <v>1665</v>
      </c>
      <c r="B2677" s="42">
        <v>92.39</v>
      </c>
    </row>
    <row r="2678" spans="1:2" x14ac:dyDescent="0.2">
      <c r="A2678" s="40" t="s">
        <v>1666</v>
      </c>
      <c r="B2678" s="42">
        <v>87.06</v>
      </c>
    </row>
    <row r="2679" spans="1:2" x14ac:dyDescent="0.2">
      <c r="A2679" s="40" t="s">
        <v>1667</v>
      </c>
      <c r="B2679" s="42">
        <v>86.84</v>
      </c>
    </row>
    <row r="2680" spans="1:2" x14ac:dyDescent="0.2">
      <c r="A2680" s="40" t="s">
        <v>1668</v>
      </c>
      <c r="B2680" s="42">
        <v>83.63</v>
      </c>
    </row>
    <row r="2681" spans="1:2" x14ac:dyDescent="0.2">
      <c r="A2681" s="40" t="s">
        <v>1669</v>
      </c>
      <c r="B2681" s="42">
        <v>84.51</v>
      </c>
    </row>
    <row r="2682" spans="1:2" x14ac:dyDescent="0.2">
      <c r="A2682" s="40" t="s">
        <v>1670</v>
      </c>
      <c r="B2682" s="42">
        <v>79.05</v>
      </c>
    </row>
    <row r="2683" spans="1:2" x14ac:dyDescent="0.2">
      <c r="A2683" s="40" t="s">
        <v>1671</v>
      </c>
      <c r="B2683" s="42">
        <v>78.66</v>
      </c>
    </row>
    <row r="2684" spans="1:2" x14ac:dyDescent="0.2">
      <c r="A2684" s="40" t="s">
        <v>1672</v>
      </c>
      <c r="B2684" s="42">
        <v>79.650000000000006</v>
      </c>
    </row>
    <row r="2685" spans="1:2" x14ac:dyDescent="0.2">
      <c r="A2685" s="40" t="s">
        <v>1673</v>
      </c>
      <c r="B2685" s="42">
        <v>83.63</v>
      </c>
    </row>
    <row r="2686" spans="1:2" x14ac:dyDescent="0.2">
      <c r="A2686" s="40" t="s">
        <v>1674</v>
      </c>
      <c r="B2686" s="42">
        <v>92.04</v>
      </c>
    </row>
    <row r="2687" spans="1:2" x14ac:dyDescent="0.2">
      <c r="A2687" s="40" t="s">
        <v>1675</v>
      </c>
      <c r="B2687" s="42">
        <v>89.83</v>
      </c>
    </row>
    <row r="2688" spans="1:2" x14ac:dyDescent="0.2">
      <c r="A2688" s="41">
        <v>42737</v>
      </c>
      <c r="B2688" s="42">
        <v>87.75</v>
      </c>
    </row>
    <row r="2689" spans="1:2" x14ac:dyDescent="0.2">
      <c r="A2689" s="41">
        <v>42768</v>
      </c>
      <c r="B2689" s="42">
        <v>89.73</v>
      </c>
    </row>
    <row r="2690" spans="1:2" x14ac:dyDescent="0.2">
      <c r="A2690" s="41">
        <v>42796</v>
      </c>
      <c r="B2690" s="42">
        <v>88.97</v>
      </c>
    </row>
    <row r="2691" spans="1:2" x14ac:dyDescent="0.2">
      <c r="A2691" s="41">
        <v>42888</v>
      </c>
      <c r="B2691" s="42">
        <v>90.02</v>
      </c>
    </row>
    <row r="2692" spans="1:2" x14ac:dyDescent="0.2">
      <c r="A2692" s="41">
        <v>42918</v>
      </c>
      <c r="B2692" s="42">
        <v>89.61</v>
      </c>
    </row>
    <row r="2693" spans="1:2" x14ac:dyDescent="0.2">
      <c r="A2693" s="41">
        <v>42949</v>
      </c>
      <c r="B2693" s="42">
        <v>94.58</v>
      </c>
    </row>
    <row r="2694" spans="1:2" x14ac:dyDescent="0.2">
      <c r="A2694" s="41">
        <v>42980</v>
      </c>
      <c r="B2694" s="42">
        <v>89.59</v>
      </c>
    </row>
    <row r="2695" spans="1:2" x14ac:dyDescent="0.2">
      <c r="A2695" s="41">
        <v>43010</v>
      </c>
      <c r="B2695" s="42">
        <v>85.77</v>
      </c>
    </row>
    <row r="2696" spans="1:2" x14ac:dyDescent="0.2">
      <c r="A2696" s="40" t="s">
        <v>1676</v>
      </c>
      <c r="B2696" s="42">
        <v>80.84</v>
      </c>
    </row>
    <row r="2697" spans="1:2" x14ac:dyDescent="0.2">
      <c r="A2697" s="40" t="s">
        <v>1677</v>
      </c>
      <c r="B2697" s="42">
        <v>78.349999999999994</v>
      </c>
    </row>
    <row r="2698" spans="1:2" x14ac:dyDescent="0.2">
      <c r="A2698" s="40" t="s">
        <v>1678</v>
      </c>
      <c r="B2698" s="42">
        <v>81.12</v>
      </c>
    </row>
    <row r="2699" spans="1:2" x14ac:dyDescent="0.2">
      <c r="A2699" s="40" t="s">
        <v>1679</v>
      </c>
      <c r="B2699" s="42">
        <v>79.66</v>
      </c>
    </row>
    <row r="2700" spans="1:2" x14ac:dyDescent="0.2">
      <c r="A2700" s="40" t="s">
        <v>1680</v>
      </c>
      <c r="B2700" s="42">
        <v>81.25</v>
      </c>
    </row>
    <row r="2701" spans="1:2" x14ac:dyDescent="0.2">
      <c r="A2701" s="40" t="s">
        <v>1681</v>
      </c>
      <c r="B2701" s="42">
        <v>82.45</v>
      </c>
    </row>
    <row r="2702" spans="1:2" x14ac:dyDescent="0.2">
      <c r="A2702" s="40" t="s">
        <v>1682</v>
      </c>
      <c r="B2702" s="42">
        <v>81.53</v>
      </c>
    </row>
    <row r="2703" spans="1:2" x14ac:dyDescent="0.2">
      <c r="A2703" s="40" t="s">
        <v>1683</v>
      </c>
      <c r="B2703" s="42">
        <v>82.2</v>
      </c>
    </row>
    <row r="2704" spans="1:2" x14ac:dyDescent="0.2">
      <c r="A2704" s="40" t="s">
        <v>1684</v>
      </c>
      <c r="B2704" s="42">
        <v>83.31</v>
      </c>
    </row>
    <row r="2705" spans="1:2" x14ac:dyDescent="0.2">
      <c r="A2705" s="40" t="s">
        <v>1685</v>
      </c>
      <c r="B2705" s="42">
        <v>85.69</v>
      </c>
    </row>
    <row r="2706" spans="1:2" x14ac:dyDescent="0.2">
      <c r="A2706" s="40" t="s">
        <v>1686</v>
      </c>
      <c r="B2706" s="42">
        <v>88.08</v>
      </c>
    </row>
    <row r="2707" spans="1:2" x14ac:dyDescent="0.2">
      <c r="A2707" s="41">
        <v>42738</v>
      </c>
      <c r="B2707" s="42">
        <v>84.03</v>
      </c>
    </row>
    <row r="2708" spans="1:2" x14ac:dyDescent="0.2">
      <c r="A2708" s="41">
        <v>42769</v>
      </c>
      <c r="B2708" s="42">
        <v>83.61</v>
      </c>
    </row>
    <row r="2709" spans="1:2" x14ac:dyDescent="0.2">
      <c r="A2709" s="41">
        <v>42797</v>
      </c>
      <c r="B2709" s="42">
        <v>81.19</v>
      </c>
    </row>
    <row r="2710" spans="1:2" x14ac:dyDescent="0.2">
      <c r="A2710" s="41">
        <v>42889</v>
      </c>
      <c r="B2710" s="42">
        <v>81.44</v>
      </c>
    </row>
    <row r="2711" spans="1:2" x14ac:dyDescent="0.2">
      <c r="A2711" s="41">
        <v>42919</v>
      </c>
      <c r="B2711" s="42">
        <v>81.430000000000007</v>
      </c>
    </row>
    <row r="2712" spans="1:2" x14ac:dyDescent="0.2">
      <c r="A2712" s="41">
        <v>42950</v>
      </c>
      <c r="B2712" s="42">
        <v>82.5</v>
      </c>
    </row>
    <row r="2713" spans="1:2" x14ac:dyDescent="0.2">
      <c r="A2713" s="41">
        <v>42981</v>
      </c>
      <c r="B2713" s="42">
        <v>83.64</v>
      </c>
    </row>
    <row r="2714" spans="1:2" x14ac:dyDescent="0.2">
      <c r="A2714" s="41">
        <v>43011</v>
      </c>
      <c r="B2714" s="42">
        <v>80.27</v>
      </c>
    </row>
    <row r="2715" spans="1:2" x14ac:dyDescent="0.2">
      <c r="A2715" s="40" t="s">
        <v>1687</v>
      </c>
      <c r="B2715" s="42">
        <v>81.569999999999993</v>
      </c>
    </row>
    <row r="2716" spans="1:2" x14ac:dyDescent="0.2">
      <c r="A2716" s="40" t="s">
        <v>1688</v>
      </c>
      <c r="B2716" s="42">
        <v>85.88</v>
      </c>
    </row>
    <row r="2717" spans="1:2" x14ac:dyDescent="0.2">
      <c r="A2717" s="40" t="s">
        <v>1689</v>
      </c>
      <c r="B2717" s="42">
        <v>80.760000000000005</v>
      </c>
    </row>
    <row r="2718" spans="1:2" x14ac:dyDescent="0.2">
      <c r="A2718" s="40" t="s">
        <v>1690</v>
      </c>
      <c r="B2718" s="42">
        <v>75.959999999999994</v>
      </c>
    </row>
    <row r="2719" spans="1:2" x14ac:dyDescent="0.2">
      <c r="A2719" s="40" t="s">
        <v>1691</v>
      </c>
      <c r="B2719" s="42">
        <v>78.66</v>
      </c>
    </row>
    <row r="2720" spans="1:2" x14ac:dyDescent="0.2">
      <c r="A2720" s="40" t="s">
        <v>1692</v>
      </c>
      <c r="B2720" s="42">
        <v>77.16</v>
      </c>
    </row>
    <row r="2721" spans="1:2" x14ac:dyDescent="0.2">
      <c r="A2721" s="40" t="s">
        <v>1693</v>
      </c>
      <c r="B2721" s="42">
        <v>83.02</v>
      </c>
    </row>
    <row r="2722" spans="1:2" x14ac:dyDescent="0.2">
      <c r="A2722" s="40" t="s">
        <v>1694</v>
      </c>
      <c r="B2722" s="42">
        <v>83.8</v>
      </c>
    </row>
    <row r="2723" spans="1:2" x14ac:dyDescent="0.2">
      <c r="A2723" s="40" t="s">
        <v>1695</v>
      </c>
      <c r="B2723" s="42">
        <v>88.93</v>
      </c>
    </row>
    <row r="2724" spans="1:2" x14ac:dyDescent="0.2">
      <c r="A2724" s="40" t="s">
        <v>1696</v>
      </c>
      <c r="B2724" s="42">
        <v>89.74</v>
      </c>
    </row>
    <row r="2725" spans="1:2" x14ac:dyDescent="0.2">
      <c r="A2725" s="40" t="s">
        <v>1697</v>
      </c>
      <c r="B2725" s="42">
        <v>84.86</v>
      </c>
    </row>
    <row r="2726" spans="1:2" x14ac:dyDescent="0.2">
      <c r="A2726" s="40" t="s">
        <v>1698</v>
      </c>
      <c r="B2726" s="42">
        <v>79.27</v>
      </c>
    </row>
    <row r="2727" spans="1:2" x14ac:dyDescent="0.2">
      <c r="A2727" s="40" t="s">
        <v>1699</v>
      </c>
      <c r="B2727" s="42">
        <v>78.260000000000005</v>
      </c>
    </row>
    <row r="2728" spans="1:2" x14ac:dyDescent="0.2">
      <c r="A2728" s="40" t="s">
        <v>1700</v>
      </c>
      <c r="B2728" s="42">
        <v>77.87</v>
      </c>
    </row>
    <row r="2729" spans="1:2" x14ac:dyDescent="0.2">
      <c r="A2729" s="40" t="s">
        <v>1701</v>
      </c>
      <c r="B2729" s="42">
        <v>78.31</v>
      </c>
    </row>
    <row r="2730" spans="1:2" x14ac:dyDescent="0.2">
      <c r="A2730" s="41">
        <v>42798</v>
      </c>
      <c r="B2730" s="42">
        <v>82.96</v>
      </c>
    </row>
    <row r="2731" spans="1:2" x14ac:dyDescent="0.2">
      <c r="A2731" s="41">
        <v>42829</v>
      </c>
      <c r="B2731" s="42">
        <v>79.67</v>
      </c>
    </row>
    <row r="2732" spans="1:2" x14ac:dyDescent="0.2">
      <c r="A2732" s="41">
        <v>42859</v>
      </c>
      <c r="B2732" s="42">
        <v>86.59</v>
      </c>
    </row>
    <row r="2733" spans="1:2" x14ac:dyDescent="0.2">
      <c r="A2733" s="41">
        <v>42890</v>
      </c>
      <c r="B2733" s="42">
        <v>83.91</v>
      </c>
    </row>
    <row r="2734" spans="1:2" x14ac:dyDescent="0.2">
      <c r="A2734" s="41">
        <v>42920</v>
      </c>
      <c r="B2734" s="42">
        <v>89.39</v>
      </c>
    </row>
    <row r="2735" spans="1:2" x14ac:dyDescent="0.2">
      <c r="A2735" s="41">
        <v>43012</v>
      </c>
      <c r="B2735" s="42">
        <v>97.9</v>
      </c>
    </row>
    <row r="2736" spans="1:2" x14ac:dyDescent="0.2">
      <c r="A2736" s="41">
        <v>43043</v>
      </c>
      <c r="B2736" s="42">
        <v>103.74</v>
      </c>
    </row>
    <row r="2737" spans="1:2" x14ac:dyDescent="0.2">
      <c r="A2737" s="41">
        <v>43073</v>
      </c>
      <c r="B2737" s="42">
        <v>111.53</v>
      </c>
    </row>
    <row r="2738" spans="1:2" x14ac:dyDescent="0.2">
      <c r="A2738" s="40" t="s">
        <v>1702</v>
      </c>
      <c r="B2738" s="42">
        <v>115.54</v>
      </c>
    </row>
    <row r="2739" spans="1:2" x14ac:dyDescent="0.2">
      <c r="A2739" s="40" t="s">
        <v>1703</v>
      </c>
      <c r="B2739" s="42">
        <v>101.49</v>
      </c>
    </row>
    <row r="2740" spans="1:2" x14ac:dyDescent="0.2">
      <c r="A2740" s="40" t="s">
        <v>1704</v>
      </c>
      <c r="B2740" s="42">
        <v>99.52</v>
      </c>
    </row>
    <row r="2741" spans="1:2" x14ac:dyDescent="0.2">
      <c r="A2741" s="40" t="s">
        <v>1705</v>
      </c>
      <c r="B2741" s="42">
        <v>97.89</v>
      </c>
    </row>
    <row r="2742" spans="1:2" x14ac:dyDescent="0.2">
      <c r="A2742" s="40" t="s">
        <v>1706</v>
      </c>
      <c r="B2742" s="42">
        <v>94.53</v>
      </c>
    </row>
    <row r="2743" spans="1:2" x14ac:dyDescent="0.2">
      <c r="A2743" s="40" t="s">
        <v>1707</v>
      </c>
      <c r="B2743" s="42">
        <v>95.41</v>
      </c>
    </row>
    <row r="2744" spans="1:2" x14ac:dyDescent="0.2">
      <c r="A2744" s="40" t="s">
        <v>1708</v>
      </c>
      <c r="B2744" s="42">
        <v>78.17</v>
      </c>
    </row>
    <row r="2745" spans="1:2" x14ac:dyDescent="0.2">
      <c r="A2745" s="40" t="s">
        <v>1709</v>
      </c>
      <c r="B2745" s="42">
        <v>75.64</v>
      </c>
    </row>
    <row r="2746" spans="1:2" x14ac:dyDescent="0.2">
      <c r="A2746" s="40" t="s">
        <v>1710</v>
      </c>
      <c r="B2746" s="42">
        <v>76.64</v>
      </c>
    </row>
    <row r="2747" spans="1:2" x14ac:dyDescent="0.2">
      <c r="A2747" s="40" t="s">
        <v>1711</v>
      </c>
      <c r="B2747" s="42">
        <v>76.66</v>
      </c>
    </row>
    <row r="2748" spans="1:2" x14ac:dyDescent="0.2">
      <c r="A2748" s="40" t="s">
        <v>1712</v>
      </c>
      <c r="B2748" s="42">
        <v>77.09</v>
      </c>
    </row>
    <row r="2749" spans="1:2" x14ac:dyDescent="0.2">
      <c r="A2749" s="41">
        <v>42740</v>
      </c>
      <c r="B2749" s="42">
        <v>78.33</v>
      </c>
    </row>
    <row r="2750" spans="1:2" x14ac:dyDescent="0.2">
      <c r="A2750" s="41">
        <v>42771</v>
      </c>
      <c r="B2750" s="42">
        <v>79.33</v>
      </c>
    </row>
    <row r="2751" spans="1:2" x14ac:dyDescent="0.2">
      <c r="A2751" s="41">
        <v>42799</v>
      </c>
      <c r="B2751" s="42">
        <v>78.77</v>
      </c>
    </row>
    <row r="2752" spans="1:2" x14ac:dyDescent="0.2">
      <c r="A2752" s="41">
        <v>42830</v>
      </c>
      <c r="B2752" s="42">
        <v>78</v>
      </c>
    </row>
    <row r="2753" spans="1:2" x14ac:dyDescent="0.2">
      <c r="A2753" s="41">
        <v>42860</v>
      </c>
      <c r="B2753" s="42">
        <v>80.650000000000006</v>
      </c>
    </row>
    <row r="2754" spans="1:2" x14ac:dyDescent="0.2">
      <c r="A2754" s="41">
        <v>42952</v>
      </c>
      <c r="B2754" s="42">
        <v>81.38</v>
      </c>
    </row>
    <row r="2755" spans="1:2" x14ac:dyDescent="0.2">
      <c r="A2755" s="41">
        <v>42983</v>
      </c>
      <c r="B2755" s="42">
        <v>83.63</v>
      </c>
    </row>
    <row r="2756" spans="1:2" x14ac:dyDescent="0.2">
      <c r="A2756" s="41">
        <v>43013</v>
      </c>
      <c r="B2756" s="42">
        <v>87.49</v>
      </c>
    </row>
    <row r="2757" spans="1:2" x14ac:dyDescent="0.2">
      <c r="A2757" s="41">
        <v>43044</v>
      </c>
      <c r="B2757" s="42">
        <v>86.51</v>
      </c>
    </row>
    <row r="2758" spans="1:2" x14ac:dyDescent="0.2">
      <c r="A2758" s="41">
        <v>43074</v>
      </c>
      <c r="B2758" s="42">
        <v>82.5</v>
      </c>
    </row>
    <row r="2759" spans="1:2" x14ac:dyDescent="0.2">
      <c r="A2759" s="40" t="s">
        <v>1713</v>
      </c>
      <c r="B2759" s="42">
        <v>79.53</v>
      </c>
    </row>
    <row r="2760" spans="1:2" x14ac:dyDescent="0.2">
      <c r="A2760" s="40" t="s">
        <v>1714</v>
      </c>
      <c r="B2760" s="42">
        <v>76.760000000000005</v>
      </c>
    </row>
    <row r="2761" spans="1:2" x14ac:dyDescent="0.2">
      <c r="A2761" s="40" t="s">
        <v>1715</v>
      </c>
      <c r="B2761" s="42">
        <v>111.48</v>
      </c>
    </row>
    <row r="2762" spans="1:2" x14ac:dyDescent="0.2">
      <c r="A2762" s="40" t="s">
        <v>1716</v>
      </c>
      <c r="B2762" s="42">
        <v>104.12</v>
      </c>
    </row>
    <row r="2763" spans="1:2" x14ac:dyDescent="0.2">
      <c r="A2763" s="40" t="s">
        <v>1717</v>
      </c>
      <c r="B2763" s="42">
        <v>87.21</v>
      </c>
    </row>
    <row r="2764" spans="1:2" x14ac:dyDescent="0.2">
      <c r="A2764" s="40" t="s">
        <v>1718</v>
      </c>
      <c r="B2764" s="42">
        <v>83.47</v>
      </c>
    </row>
    <row r="2765" spans="1:2" x14ac:dyDescent="0.2">
      <c r="A2765" s="40" t="s">
        <v>1719</v>
      </c>
      <c r="B2765" s="42">
        <v>84.19</v>
      </c>
    </row>
    <row r="2766" spans="1:2" x14ac:dyDescent="0.2">
      <c r="A2766" s="40" t="s">
        <v>1720</v>
      </c>
      <c r="B2766" s="42">
        <v>81.91</v>
      </c>
    </row>
    <row r="2767" spans="1:2" x14ac:dyDescent="0.2">
      <c r="A2767" s="40" t="s">
        <v>1721</v>
      </c>
      <c r="B2767" s="42">
        <v>82.2</v>
      </c>
    </row>
    <row r="2768" spans="1:2" x14ac:dyDescent="0.2">
      <c r="A2768" s="40" t="s">
        <v>1722</v>
      </c>
      <c r="B2768" s="42">
        <v>81.81</v>
      </c>
    </row>
    <row r="2769" spans="1:2" x14ac:dyDescent="0.2">
      <c r="A2769" s="40" t="s">
        <v>1723</v>
      </c>
      <c r="B2769" s="42">
        <v>84.3</v>
      </c>
    </row>
    <row r="2770" spans="1:2" x14ac:dyDescent="0.2">
      <c r="A2770" s="40" t="s">
        <v>1724</v>
      </c>
      <c r="B2770" s="42">
        <v>84.52</v>
      </c>
    </row>
    <row r="2771" spans="1:2" x14ac:dyDescent="0.2">
      <c r="A2771" s="41">
        <v>42741</v>
      </c>
      <c r="B2771" s="42">
        <v>83.83</v>
      </c>
    </row>
    <row r="2772" spans="1:2" x14ac:dyDescent="0.2">
      <c r="A2772" s="41">
        <v>42772</v>
      </c>
      <c r="B2772" s="42">
        <v>83.62</v>
      </c>
    </row>
    <row r="2773" spans="1:2" x14ac:dyDescent="0.2">
      <c r="A2773" s="41">
        <v>42861</v>
      </c>
      <c r="B2773" s="42">
        <v>86.08</v>
      </c>
    </row>
    <row r="2774" spans="1:2" x14ac:dyDescent="0.2">
      <c r="A2774" s="41">
        <v>42892</v>
      </c>
      <c r="B2774" s="42">
        <v>89.15</v>
      </c>
    </row>
    <row r="2775" spans="1:2" x14ac:dyDescent="0.2">
      <c r="A2775" s="41">
        <v>42922</v>
      </c>
      <c r="B2775" s="42">
        <v>88.22</v>
      </c>
    </row>
    <row r="2776" spans="1:2" x14ac:dyDescent="0.2">
      <c r="A2776" s="41">
        <v>42953</v>
      </c>
      <c r="B2776" s="42">
        <v>83.28</v>
      </c>
    </row>
    <row r="2777" spans="1:2" x14ac:dyDescent="0.2">
      <c r="A2777" s="41">
        <v>42984</v>
      </c>
      <c r="B2777" s="42">
        <v>87.41</v>
      </c>
    </row>
    <row r="2778" spans="1:2" x14ac:dyDescent="0.2">
      <c r="A2778" s="41">
        <v>43075</v>
      </c>
      <c r="B2778" s="42">
        <v>91.21</v>
      </c>
    </row>
    <row r="2779" spans="1:2" x14ac:dyDescent="0.2">
      <c r="A2779" s="40" t="s">
        <v>1725</v>
      </c>
      <c r="B2779" s="42">
        <v>86.66</v>
      </c>
    </row>
    <row r="2780" spans="1:2" x14ac:dyDescent="0.2">
      <c r="A2780" s="40" t="s">
        <v>1726</v>
      </c>
      <c r="B2780" s="42">
        <v>89.97</v>
      </c>
    </row>
    <row r="2781" spans="1:2" x14ac:dyDescent="0.2">
      <c r="A2781" s="40" t="s">
        <v>1727</v>
      </c>
      <c r="B2781" s="42">
        <v>89.95</v>
      </c>
    </row>
    <row r="2782" spans="1:2" x14ac:dyDescent="0.2">
      <c r="A2782" s="40" t="s">
        <v>1728</v>
      </c>
      <c r="B2782" s="42">
        <v>87</v>
      </c>
    </row>
    <row r="2783" spans="1:2" x14ac:dyDescent="0.2">
      <c r="A2783" s="40" t="s">
        <v>1729</v>
      </c>
      <c r="B2783" s="42">
        <v>85.27</v>
      </c>
    </row>
    <row r="2784" spans="1:2" x14ac:dyDescent="0.2">
      <c r="A2784" s="40" t="s">
        <v>1730</v>
      </c>
      <c r="B2784" s="42">
        <v>89.19</v>
      </c>
    </row>
    <row r="2785" spans="1:2" x14ac:dyDescent="0.2">
      <c r="A2785" s="40" t="s">
        <v>1731</v>
      </c>
      <c r="B2785" s="42">
        <v>88.07</v>
      </c>
    </row>
    <row r="2786" spans="1:2" x14ac:dyDescent="0.2">
      <c r="A2786" s="40" t="s">
        <v>1732</v>
      </c>
      <c r="B2786" s="42">
        <v>86.38</v>
      </c>
    </row>
    <row r="2787" spans="1:2" x14ac:dyDescent="0.2">
      <c r="A2787" s="40" t="s">
        <v>1733</v>
      </c>
      <c r="B2787" s="42">
        <v>84.52</v>
      </c>
    </row>
    <row r="2788" spans="1:2" x14ac:dyDescent="0.2">
      <c r="A2788" s="40" t="s">
        <v>1734</v>
      </c>
      <c r="B2788" s="42">
        <v>81.94</v>
      </c>
    </row>
    <row r="2789" spans="1:2" x14ac:dyDescent="0.2">
      <c r="A2789" s="40" t="s">
        <v>1735</v>
      </c>
      <c r="B2789" s="42">
        <v>87.3</v>
      </c>
    </row>
    <row r="2790" spans="1:2" x14ac:dyDescent="0.2">
      <c r="A2790" s="40" t="s">
        <v>1736</v>
      </c>
      <c r="B2790" s="42">
        <v>84.24</v>
      </c>
    </row>
    <row r="2791" spans="1:2" x14ac:dyDescent="0.2">
      <c r="A2791" s="40" t="s">
        <v>1737</v>
      </c>
      <c r="B2791" s="42">
        <v>93.78</v>
      </c>
    </row>
    <row r="2792" spans="1:2" x14ac:dyDescent="0.2">
      <c r="A2792" s="40" t="s">
        <v>1738</v>
      </c>
      <c r="B2792" s="42">
        <v>90.43</v>
      </c>
    </row>
    <row r="2793" spans="1:2" x14ac:dyDescent="0.2">
      <c r="A2793" s="41">
        <v>42801</v>
      </c>
      <c r="B2793" s="42">
        <v>93.31</v>
      </c>
    </row>
    <row r="2794" spans="1:2" x14ac:dyDescent="0.2">
      <c r="A2794" s="41">
        <v>42862</v>
      </c>
      <c r="B2794" s="42">
        <v>91.98</v>
      </c>
    </row>
    <row r="2795" spans="1:2" x14ac:dyDescent="0.2">
      <c r="A2795" s="41">
        <v>42893</v>
      </c>
      <c r="B2795" s="42">
        <v>100.21</v>
      </c>
    </row>
    <row r="2796" spans="1:2" x14ac:dyDescent="0.2">
      <c r="A2796" s="41">
        <v>42923</v>
      </c>
      <c r="B2796" s="42">
        <v>92.5</v>
      </c>
    </row>
    <row r="2797" spans="1:2" x14ac:dyDescent="0.2">
      <c r="A2797" s="41">
        <v>43015</v>
      </c>
      <c r="B2797" s="42">
        <v>89.69</v>
      </c>
    </row>
    <row r="2798" spans="1:2" x14ac:dyDescent="0.2">
      <c r="A2798" s="41">
        <v>43046</v>
      </c>
      <c r="B2798" s="42">
        <v>88.23</v>
      </c>
    </row>
    <row r="2799" spans="1:2" x14ac:dyDescent="0.2">
      <c r="A2799" s="41">
        <v>43076</v>
      </c>
      <c r="B2799" s="42">
        <v>88.19</v>
      </c>
    </row>
    <row r="2800" spans="1:2" x14ac:dyDescent="0.2">
      <c r="A2800" s="40" t="s">
        <v>1739</v>
      </c>
      <c r="B2800" s="42">
        <v>85.68</v>
      </c>
    </row>
    <row r="2801" spans="1:2" x14ac:dyDescent="0.2">
      <c r="A2801" s="40" t="s">
        <v>1740</v>
      </c>
      <c r="B2801" s="42">
        <v>82.2</v>
      </c>
    </row>
    <row r="2802" spans="1:2" x14ac:dyDescent="0.2">
      <c r="A2802" s="40" t="s">
        <v>1741</v>
      </c>
      <c r="B2802" s="42">
        <v>80.27</v>
      </c>
    </row>
    <row r="2803" spans="1:2" x14ac:dyDescent="0.2">
      <c r="A2803" s="40" t="s">
        <v>1742</v>
      </c>
      <c r="B2803" s="42">
        <v>79.14</v>
      </c>
    </row>
    <row r="2804" spans="1:2" x14ac:dyDescent="0.2">
      <c r="A2804" s="40" t="s">
        <v>1743</v>
      </c>
      <c r="B2804" s="42">
        <v>77.959999999999994</v>
      </c>
    </row>
    <row r="2805" spans="1:2" x14ac:dyDescent="0.2">
      <c r="A2805" s="40" t="s">
        <v>1744</v>
      </c>
      <c r="B2805" s="42">
        <v>76.260000000000005</v>
      </c>
    </row>
    <row r="2806" spans="1:2" x14ac:dyDescent="0.2">
      <c r="A2806" s="40" t="s">
        <v>1745</v>
      </c>
      <c r="B2806" s="42">
        <v>77.86</v>
      </c>
    </row>
    <row r="2807" spans="1:2" x14ac:dyDescent="0.2">
      <c r="A2807" s="40" t="s">
        <v>1746</v>
      </c>
      <c r="B2807" s="42">
        <v>78.239999999999995</v>
      </c>
    </row>
    <row r="2808" spans="1:2" x14ac:dyDescent="0.2">
      <c r="A2808" s="40" t="s">
        <v>1747</v>
      </c>
      <c r="B2808" s="42">
        <v>79.17</v>
      </c>
    </row>
    <row r="2809" spans="1:2" x14ac:dyDescent="0.2">
      <c r="A2809" s="40" t="s">
        <v>1748</v>
      </c>
      <c r="B2809" s="42">
        <v>82.34</v>
      </c>
    </row>
    <row r="2810" spans="1:2" x14ac:dyDescent="0.2">
      <c r="A2810" s="40" t="s">
        <v>1749</v>
      </c>
      <c r="B2810" s="42">
        <v>86.87</v>
      </c>
    </row>
    <row r="2811" spans="1:2" x14ac:dyDescent="0.2">
      <c r="A2811" s="40" t="s">
        <v>1750</v>
      </c>
      <c r="B2811" s="42">
        <v>87.2</v>
      </c>
    </row>
    <row r="2812" spans="1:2" x14ac:dyDescent="0.2">
      <c r="A2812" s="40" t="s">
        <v>1751</v>
      </c>
      <c r="B2812" s="42">
        <v>86.76</v>
      </c>
    </row>
    <row r="2813" spans="1:2" x14ac:dyDescent="0.2">
      <c r="A2813" s="41">
        <v>42743</v>
      </c>
      <c r="B2813" s="42">
        <v>84.55</v>
      </c>
    </row>
    <row r="2814" spans="1:2" x14ac:dyDescent="0.2">
      <c r="A2814" s="41">
        <v>42774</v>
      </c>
      <c r="B2814" s="42">
        <v>86.89</v>
      </c>
    </row>
    <row r="2815" spans="1:2" x14ac:dyDescent="0.2">
      <c r="A2815" s="41">
        <v>42802</v>
      </c>
      <c r="B2815" s="42">
        <v>87.66</v>
      </c>
    </row>
    <row r="2816" spans="1:2" x14ac:dyDescent="0.2">
      <c r="A2816" s="41">
        <v>42833</v>
      </c>
      <c r="B2816" s="42">
        <v>87.39</v>
      </c>
    </row>
    <row r="2817" spans="1:2" x14ac:dyDescent="0.2">
      <c r="A2817" s="41">
        <v>42924</v>
      </c>
      <c r="B2817" s="42">
        <v>90.01</v>
      </c>
    </row>
    <row r="2818" spans="1:2" x14ac:dyDescent="0.2">
      <c r="A2818" s="41">
        <v>42955</v>
      </c>
      <c r="B2818" s="42">
        <v>98.68</v>
      </c>
    </row>
    <row r="2819" spans="1:2" x14ac:dyDescent="0.2">
      <c r="A2819" s="41">
        <v>42986</v>
      </c>
      <c r="B2819" s="42">
        <v>106.77</v>
      </c>
    </row>
    <row r="2820" spans="1:2" x14ac:dyDescent="0.2">
      <c r="A2820" s="41">
        <v>43016</v>
      </c>
      <c r="B2820" s="42">
        <v>135.32</v>
      </c>
    </row>
    <row r="2821" spans="1:2" x14ac:dyDescent="0.2">
      <c r="A2821" s="41">
        <v>43047</v>
      </c>
      <c r="B2821" s="42">
        <v>127.43</v>
      </c>
    </row>
    <row r="2822" spans="1:2" x14ac:dyDescent="0.2">
      <c r="A2822" s="40" t="s">
        <v>1752</v>
      </c>
      <c r="B2822" s="42">
        <v>100.6</v>
      </c>
    </row>
    <row r="2823" spans="1:2" x14ac:dyDescent="0.2">
      <c r="A2823" s="40" t="s">
        <v>1753</v>
      </c>
      <c r="B2823" s="42">
        <v>96.71</v>
      </c>
    </row>
    <row r="2824" spans="1:2" x14ac:dyDescent="0.2">
      <c r="A2824" s="40" t="s">
        <v>1754</v>
      </c>
      <c r="B2824" s="42">
        <v>94.82</v>
      </c>
    </row>
    <row r="2825" spans="1:2" x14ac:dyDescent="0.2">
      <c r="A2825" s="40" t="s">
        <v>1755</v>
      </c>
      <c r="B2825" s="42">
        <v>117.77</v>
      </c>
    </row>
    <row r="2826" spans="1:2" x14ac:dyDescent="0.2">
      <c r="A2826" s="40" t="s">
        <v>1756</v>
      </c>
      <c r="B2826" s="42">
        <v>114.39</v>
      </c>
    </row>
    <row r="2827" spans="1:2" x14ac:dyDescent="0.2">
      <c r="A2827" s="40" t="s">
        <v>1757</v>
      </c>
      <c r="B2827" s="42">
        <v>101.39</v>
      </c>
    </row>
    <row r="2828" spans="1:2" x14ac:dyDescent="0.2">
      <c r="A2828" s="40" t="s">
        <v>1758</v>
      </c>
      <c r="B2828" s="42">
        <v>92.7</v>
      </c>
    </row>
    <row r="2829" spans="1:2" x14ac:dyDescent="0.2">
      <c r="A2829" s="40" t="s">
        <v>1759</v>
      </c>
      <c r="B2829" s="42">
        <v>98.96</v>
      </c>
    </row>
    <row r="2830" spans="1:2" x14ac:dyDescent="0.2">
      <c r="A2830" s="40" t="s">
        <v>1760</v>
      </c>
      <c r="B2830" s="42">
        <v>100.26</v>
      </c>
    </row>
    <row r="2831" spans="1:2" x14ac:dyDescent="0.2">
      <c r="A2831" s="40" t="s">
        <v>1761</v>
      </c>
      <c r="B2831" s="42">
        <v>95.53</v>
      </c>
    </row>
    <row r="2832" spans="1:2" x14ac:dyDescent="0.2">
      <c r="A2832" s="40" t="s">
        <v>1762</v>
      </c>
      <c r="B2832" s="42">
        <v>96.42</v>
      </c>
    </row>
    <row r="2833" spans="1:2" x14ac:dyDescent="0.2">
      <c r="A2833" s="40" t="s">
        <v>1763</v>
      </c>
      <c r="B2833" s="42">
        <v>98.79</v>
      </c>
    </row>
    <row r="2834" spans="1:2" x14ac:dyDescent="0.2">
      <c r="A2834" s="40" t="s">
        <v>1764</v>
      </c>
      <c r="B2834" s="42">
        <v>98.9</v>
      </c>
    </row>
    <row r="2835" spans="1:2" x14ac:dyDescent="0.2">
      <c r="A2835" s="40" t="s">
        <v>1765</v>
      </c>
      <c r="B2835" s="42">
        <v>94.86</v>
      </c>
    </row>
    <row r="2836" spans="1:2" x14ac:dyDescent="0.2">
      <c r="A2836" s="41">
        <v>42744</v>
      </c>
      <c r="B2836" s="42">
        <v>93.6</v>
      </c>
    </row>
    <row r="2837" spans="1:2" x14ac:dyDescent="0.2">
      <c r="A2837" s="41">
        <v>42864</v>
      </c>
      <c r="B2837" s="42">
        <v>102.66</v>
      </c>
    </row>
    <row r="2838" spans="1:2" x14ac:dyDescent="0.2">
      <c r="A2838" s="41">
        <v>42895</v>
      </c>
      <c r="B2838" s="42">
        <v>99.61</v>
      </c>
    </row>
    <row r="2839" spans="1:2" x14ac:dyDescent="0.2">
      <c r="A2839" s="41">
        <v>42925</v>
      </c>
      <c r="B2839" s="42">
        <v>96.29</v>
      </c>
    </row>
    <row r="2840" spans="1:2" x14ac:dyDescent="0.2">
      <c r="A2840" s="41">
        <v>42956</v>
      </c>
      <c r="B2840" s="42">
        <v>100.12</v>
      </c>
    </row>
    <row r="2841" spans="1:2" x14ac:dyDescent="0.2">
      <c r="A2841" s="41">
        <v>43048</v>
      </c>
      <c r="B2841" s="42">
        <v>93.66</v>
      </c>
    </row>
    <row r="2842" spans="1:2" x14ac:dyDescent="0.2">
      <c r="A2842" s="41">
        <v>43078</v>
      </c>
      <c r="B2842" s="42">
        <v>92.39</v>
      </c>
    </row>
    <row r="2843" spans="1:2" x14ac:dyDescent="0.2">
      <c r="A2843" s="40" t="s">
        <v>1766</v>
      </c>
      <c r="B2843" s="42">
        <v>90.89</v>
      </c>
    </row>
    <row r="2844" spans="1:2" x14ac:dyDescent="0.2">
      <c r="A2844" s="40" t="s">
        <v>1767</v>
      </c>
      <c r="B2844" s="42">
        <v>92.09</v>
      </c>
    </row>
    <row r="2845" spans="1:2" x14ac:dyDescent="0.2">
      <c r="A2845" s="40" t="s">
        <v>1768</v>
      </c>
      <c r="B2845" s="42">
        <v>90.63</v>
      </c>
    </row>
    <row r="2846" spans="1:2" x14ac:dyDescent="0.2">
      <c r="A2846" s="40" t="s">
        <v>1769</v>
      </c>
      <c r="B2846" s="42">
        <v>90.46</v>
      </c>
    </row>
    <row r="2847" spans="1:2" x14ac:dyDescent="0.2">
      <c r="A2847" s="40" t="s">
        <v>1770</v>
      </c>
      <c r="B2847" s="42">
        <v>91.22</v>
      </c>
    </row>
    <row r="2848" spans="1:2" x14ac:dyDescent="0.2">
      <c r="A2848" s="40" t="s">
        <v>1771</v>
      </c>
      <c r="B2848" s="42">
        <v>90.91</v>
      </c>
    </row>
    <row r="2849" spans="1:2" x14ac:dyDescent="0.2">
      <c r="A2849" s="40" t="s">
        <v>1772</v>
      </c>
      <c r="B2849" s="42">
        <v>92.32</v>
      </c>
    </row>
    <row r="2850" spans="1:2" x14ac:dyDescent="0.2">
      <c r="A2850" s="40" t="s">
        <v>1773</v>
      </c>
      <c r="B2850" s="42">
        <v>93.29</v>
      </c>
    </row>
    <row r="2851" spans="1:2" x14ac:dyDescent="0.2">
      <c r="A2851" s="40" t="s">
        <v>1774</v>
      </c>
      <c r="B2851" s="42">
        <v>96.4</v>
      </c>
    </row>
    <row r="2852" spans="1:2" x14ac:dyDescent="0.2">
      <c r="A2852" s="40" t="s">
        <v>1775</v>
      </c>
      <c r="B2852" s="42">
        <v>94.81</v>
      </c>
    </row>
    <row r="2853" spans="1:2" x14ac:dyDescent="0.2">
      <c r="A2853" s="40" t="s">
        <v>1776</v>
      </c>
      <c r="B2853" s="42">
        <v>95.36</v>
      </c>
    </row>
    <row r="2854" spans="1:2" x14ac:dyDescent="0.2">
      <c r="A2854" s="40" t="s">
        <v>1777</v>
      </c>
      <c r="B2854" s="42">
        <v>94.1</v>
      </c>
    </row>
    <row r="2855" spans="1:2" x14ac:dyDescent="0.2">
      <c r="A2855" s="40" t="s">
        <v>1778</v>
      </c>
      <c r="B2855" s="42">
        <v>93.14</v>
      </c>
    </row>
    <row r="2856" spans="1:2" x14ac:dyDescent="0.2">
      <c r="A2856" s="41">
        <v>42776</v>
      </c>
      <c r="B2856" s="42">
        <v>92.48</v>
      </c>
    </row>
    <row r="2857" spans="1:2" x14ac:dyDescent="0.2">
      <c r="A2857" s="41">
        <v>42804</v>
      </c>
      <c r="B2857" s="42">
        <v>91.59</v>
      </c>
    </row>
    <row r="2858" spans="1:2" x14ac:dyDescent="0.2">
      <c r="A2858" s="41">
        <v>42835</v>
      </c>
      <c r="B2858" s="42">
        <v>92.12</v>
      </c>
    </row>
    <row r="2859" spans="1:2" x14ac:dyDescent="0.2">
      <c r="A2859" s="41">
        <v>42865</v>
      </c>
      <c r="B2859" s="42">
        <v>91.79</v>
      </c>
    </row>
    <row r="2860" spans="1:2" x14ac:dyDescent="0.2">
      <c r="A2860" s="41">
        <v>42896</v>
      </c>
      <c r="B2860" s="42">
        <v>97.09</v>
      </c>
    </row>
    <row r="2861" spans="1:2" x14ac:dyDescent="0.2">
      <c r="A2861" s="41">
        <v>42988</v>
      </c>
      <c r="B2861" s="42">
        <v>101.83</v>
      </c>
    </row>
    <row r="2862" spans="1:2" x14ac:dyDescent="0.2">
      <c r="A2862" s="41">
        <v>43018</v>
      </c>
      <c r="B2862" s="42">
        <v>97.33</v>
      </c>
    </row>
    <row r="2863" spans="1:2" x14ac:dyDescent="0.2">
      <c r="A2863" s="41">
        <v>43049</v>
      </c>
      <c r="B2863" s="42">
        <v>99.22</v>
      </c>
    </row>
    <row r="2864" spans="1:2" x14ac:dyDescent="0.2">
      <c r="A2864" s="41">
        <v>43079</v>
      </c>
      <c r="B2864" s="42">
        <v>97.77</v>
      </c>
    </row>
    <row r="2865" spans="1:2" x14ac:dyDescent="0.2">
      <c r="A2865" s="40" t="s">
        <v>1779</v>
      </c>
      <c r="B2865" s="42">
        <v>97.8</v>
      </c>
    </row>
    <row r="2866" spans="1:2" x14ac:dyDescent="0.2">
      <c r="A2866" s="40" t="s">
        <v>1780</v>
      </c>
      <c r="B2866" s="42">
        <v>97.65</v>
      </c>
    </row>
    <row r="2867" spans="1:2" x14ac:dyDescent="0.2">
      <c r="A2867" s="40" t="s">
        <v>1781</v>
      </c>
      <c r="B2867" s="42">
        <v>98.74</v>
      </c>
    </row>
    <row r="2868" spans="1:2" x14ac:dyDescent="0.2">
      <c r="A2868" s="40" t="s">
        <v>1782</v>
      </c>
      <c r="B2868" s="42">
        <v>94.34</v>
      </c>
    </row>
    <row r="2869" spans="1:2" x14ac:dyDescent="0.2">
      <c r="A2869" s="40" t="s">
        <v>1783</v>
      </c>
      <c r="B2869" s="42">
        <v>93.33</v>
      </c>
    </row>
    <row r="2870" spans="1:2" x14ac:dyDescent="0.2">
      <c r="A2870" s="40" t="s">
        <v>1784</v>
      </c>
      <c r="B2870" s="42">
        <v>90.53</v>
      </c>
    </row>
    <row r="2871" spans="1:2" x14ac:dyDescent="0.2">
      <c r="A2871" s="40" t="s">
        <v>1785</v>
      </c>
      <c r="B2871" s="42">
        <v>97.09</v>
      </c>
    </row>
    <row r="2872" spans="1:2" x14ac:dyDescent="0.2">
      <c r="A2872" s="40" t="s">
        <v>1786</v>
      </c>
      <c r="B2872" s="42">
        <v>98.43</v>
      </c>
    </row>
    <row r="2873" spans="1:2" x14ac:dyDescent="0.2">
      <c r="A2873" s="40" t="s">
        <v>1787</v>
      </c>
      <c r="B2873" s="42">
        <v>100.16</v>
      </c>
    </row>
    <row r="2874" spans="1:2" x14ac:dyDescent="0.2">
      <c r="A2874" s="40" t="s">
        <v>1788</v>
      </c>
      <c r="B2874" s="42">
        <v>97.73</v>
      </c>
    </row>
    <row r="2875" spans="1:2" x14ac:dyDescent="0.2">
      <c r="A2875" s="40" t="s">
        <v>1789</v>
      </c>
      <c r="B2875" s="42">
        <v>92.78</v>
      </c>
    </row>
    <row r="2876" spans="1:2" x14ac:dyDescent="0.2">
      <c r="A2876" s="40" t="s">
        <v>1790</v>
      </c>
      <c r="B2876" s="42">
        <v>95.19</v>
      </c>
    </row>
    <row r="2877" spans="1:2" x14ac:dyDescent="0.2">
      <c r="A2877" s="40" t="s">
        <v>1791</v>
      </c>
      <c r="B2877" s="42">
        <v>92.01</v>
      </c>
    </row>
    <row r="2878" spans="1:2" x14ac:dyDescent="0.2">
      <c r="A2878" s="41">
        <v>42746</v>
      </c>
      <c r="B2878" s="42">
        <v>92</v>
      </c>
    </row>
    <row r="2879" spans="1:2" x14ac:dyDescent="0.2">
      <c r="A2879" s="41">
        <v>42777</v>
      </c>
      <c r="B2879" s="42">
        <v>91.48</v>
      </c>
    </row>
    <row r="2880" spans="1:2" x14ac:dyDescent="0.2">
      <c r="A2880" s="41">
        <v>42805</v>
      </c>
      <c r="B2880" s="42">
        <v>89.68</v>
      </c>
    </row>
    <row r="2881" spans="1:2" x14ac:dyDescent="0.2">
      <c r="A2881" s="41">
        <v>42897</v>
      </c>
      <c r="B2881" s="42">
        <v>91.25</v>
      </c>
    </row>
    <row r="2882" spans="1:2" x14ac:dyDescent="0.2">
      <c r="A2882" s="41">
        <v>42927</v>
      </c>
      <c r="B2882" s="42">
        <v>93.45</v>
      </c>
    </row>
    <row r="2883" spans="1:2" x14ac:dyDescent="0.2">
      <c r="A2883" s="41">
        <v>42958</v>
      </c>
      <c r="B2883" s="42">
        <v>97.74</v>
      </c>
    </row>
    <row r="2884" spans="1:2" x14ac:dyDescent="0.2">
      <c r="A2884" s="41">
        <v>42989</v>
      </c>
      <c r="B2884" s="42">
        <v>98.82</v>
      </c>
    </row>
    <row r="2885" spans="1:2" x14ac:dyDescent="0.2">
      <c r="A2885" s="41">
        <v>43019</v>
      </c>
      <c r="B2885" s="42">
        <v>104.76</v>
      </c>
    </row>
    <row r="2886" spans="1:2" x14ac:dyDescent="0.2">
      <c r="A2886" s="40" t="s">
        <v>1792</v>
      </c>
      <c r="B2886" s="42">
        <v>106.3</v>
      </c>
    </row>
    <row r="2887" spans="1:2" x14ac:dyDescent="0.2">
      <c r="A2887" s="40" t="s">
        <v>1793</v>
      </c>
      <c r="B2887" s="42">
        <v>103.18</v>
      </c>
    </row>
    <row r="2888" spans="1:2" x14ac:dyDescent="0.2">
      <c r="A2888" s="40" t="s">
        <v>1794</v>
      </c>
      <c r="B2888" s="42">
        <v>106.27</v>
      </c>
    </row>
    <row r="2889" spans="1:2" x14ac:dyDescent="0.2">
      <c r="A2889" s="40" t="s">
        <v>1795</v>
      </c>
      <c r="B2889" s="42">
        <v>100.15</v>
      </c>
    </row>
    <row r="2890" spans="1:2" x14ac:dyDescent="0.2">
      <c r="A2890" s="40" t="s">
        <v>1796</v>
      </c>
      <c r="B2890" s="42">
        <v>97.12</v>
      </c>
    </row>
    <row r="2891" spans="1:2" x14ac:dyDescent="0.2">
      <c r="A2891" s="40" t="s">
        <v>1797</v>
      </c>
      <c r="B2891" s="42">
        <v>93.76</v>
      </c>
    </row>
    <row r="2892" spans="1:2" x14ac:dyDescent="0.2">
      <c r="A2892" s="40" t="s">
        <v>1798</v>
      </c>
      <c r="B2892" s="42">
        <v>89.27</v>
      </c>
    </row>
    <row r="2893" spans="1:2" x14ac:dyDescent="0.2">
      <c r="A2893" s="40" t="s">
        <v>1799</v>
      </c>
      <c r="B2893" s="42">
        <v>86.42</v>
      </c>
    </row>
    <row r="2894" spans="1:2" x14ac:dyDescent="0.2">
      <c r="A2894" s="40" t="s">
        <v>1800</v>
      </c>
      <c r="B2894" s="42">
        <v>86.32</v>
      </c>
    </row>
    <row r="2895" spans="1:2" x14ac:dyDescent="0.2">
      <c r="A2895" s="40" t="s">
        <v>1801</v>
      </c>
      <c r="B2895" s="42">
        <v>86.58</v>
      </c>
    </row>
    <row r="2896" spans="1:2" x14ac:dyDescent="0.2">
      <c r="A2896" s="40" t="s">
        <v>1802</v>
      </c>
      <c r="B2896" s="42">
        <v>85.73</v>
      </c>
    </row>
    <row r="2897" spans="1:2" x14ac:dyDescent="0.2">
      <c r="A2897" s="40" t="s">
        <v>1803</v>
      </c>
      <c r="B2897" s="42">
        <v>89.57</v>
      </c>
    </row>
    <row r="2898" spans="1:2" x14ac:dyDescent="0.2">
      <c r="A2898" s="40" t="s">
        <v>1804</v>
      </c>
      <c r="B2898" s="42">
        <v>89.94</v>
      </c>
    </row>
    <row r="2899" spans="1:2" x14ac:dyDescent="0.2">
      <c r="A2899" s="41">
        <v>42747</v>
      </c>
      <c r="B2899" s="42">
        <v>95.03</v>
      </c>
    </row>
    <row r="2900" spans="1:2" x14ac:dyDescent="0.2">
      <c r="A2900" s="41">
        <v>42837</v>
      </c>
      <c r="B2900" s="42">
        <v>97.57</v>
      </c>
    </row>
    <row r="2901" spans="1:2" x14ac:dyDescent="0.2">
      <c r="A2901" s="41">
        <v>42867</v>
      </c>
      <c r="B2901" s="42">
        <v>97.95</v>
      </c>
    </row>
    <row r="2902" spans="1:2" x14ac:dyDescent="0.2">
      <c r="A2902" s="41">
        <v>42898</v>
      </c>
      <c r="B2902" s="42">
        <v>98.17</v>
      </c>
    </row>
    <row r="2903" spans="1:2" x14ac:dyDescent="0.2">
      <c r="A2903" s="41">
        <v>42928</v>
      </c>
      <c r="B2903" s="42">
        <v>95.83</v>
      </c>
    </row>
    <row r="2904" spans="1:2" x14ac:dyDescent="0.2">
      <c r="A2904" s="41">
        <v>42959</v>
      </c>
      <c r="B2904" s="42">
        <v>91.89</v>
      </c>
    </row>
    <row r="2905" spans="1:2" x14ac:dyDescent="0.2">
      <c r="A2905" s="41">
        <v>43051</v>
      </c>
      <c r="B2905" s="42">
        <v>92.06</v>
      </c>
    </row>
    <row r="2906" spans="1:2" x14ac:dyDescent="0.2">
      <c r="A2906" s="41">
        <v>43081</v>
      </c>
      <c r="B2906" s="42">
        <v>93.27</v>
      </c>
    </row>
    <row r="2907" spans="1:2" x14ac:dyDescent="0.2">
      <c r="A2907" s="40" t="s">
        <v>1805</v>
      </c>
      <c r="B2907" s="42">
        <v>95.56</v>
      </c>
    </row>
    <row r="2908" spans="1:2" x14ac:dyDescent="0.2">
      <c r="A2908" s="40" t="s">
        <v>1806</v>
      </c>
      <c r="B2908" s="42">
        <v>96.07</v>
      </c>
    </row>
    <row r="2909" spans="1:2" x14ac:dyDescent="0.2">
      <c r="A2909" s="40" t="s">
        <v>1807</v>
      </c>
      <c r="B2909" s="42">
        <v>92.2</v>
      </c>
    </row>
    <row r="2910" spans="1:2" x14ac:dyDescent="0.2">
      <c r="A2910" s="40" t="s">
        <v>1808</v>
      </c>
      <c r="B2910" s="42">
        <v>90.64</v>
      </c>
    </row>
    <row r="2911" spans="1:2" x14ac:dyDescent="0.2">
      <c r="A2911" s="40" t="s">
        <v>1809</v>
      </c>
      <c r="B2911" s="42">
        <v>93.58</v>
      </c>
    </row>
    <row r="2912" spans="1:2" x14ac:dyDescent="0.2">
      <c r="A2912" s="40" t="s">
        <v>1810</v>
      </c>
      <c r="B2912" s="42">
        <v>92.86</v>
      </c>
    </row>
    <row r="2913" spans="1:2" x14ac:dyDescent="0.2">
      <c r="A2913" s="40" t="s">
        <v>1811</v>
      </c>
      <c r="B2913" s="42">
        <v>92.21</v>
      </c>
    </row>
    <row r="2914" spans="1:2" x14ac:dyDescent="0.2">
      <c r="A2914" s="40" t="s">
        <v>1812</v>
      </c>
      <c r="B2914" s="42">
        <v>94.9</v>
      </c>
    </row>
    <row r="2915" spans="1:2" x14ac:dyDescent="0.2">
      <c r="A2915" s="40" t="s">
        <v>1813</v>
      </c>
      <c r="B2915" s="42">
        <v>97.56</v>
      </c>
    </row>
    <row r="2916" spans="1:2" x14ac:dyDescent="0.2">
      <c r="A2916" s="40" t="s">
        <v>1814</v>
      </c>
      <c r="B2916" s="42">
        <v>97.08</v>
      </c>
    </row>
    <row r="2917" spans="1:2" x14ac:dyDescent="0.2">
      <c r="A2917" s="40" t="s">
        <v>1815</v>
      </c>
      <c r="B2917" s="42">
        <v>97.25</v>
      </c>
    </row>
    <row r="2918" spans="1:2" x14ac:dyDescent="0.2">
      <c r="A2918" s="40" t="s">
        <v>1816</v>
      </c>
      <c r="B2918" s="42">
        <v>100.76</v>
      </c>
    </row>
    <row r="2919" spans="1:2" x14ac:dyDescent="0.2">
      <c r="A2919" s="41">
        <v>43132</v>
      </c>
      <c r="B2919" s="42">
        <v>97.36</v>
      </c>
    </row>
    <row r="2920" spans="1:2" x14ac:dyDescent="0.2">
      <c r="A2920" s="41">
        <v>43160</v>
      </c>
      <c r="B2920" s="42">
        <v>94.4</v>
      </c>
    </row>
    <row r="2921" spans="1:2" x14ac:dyDescent="0.2">
      <c r="A2921" s="41">
        <v>43191</v>
      </c>
      <c r="B2921" s="42">
        <v>94.21</v>
      </c>
    </row>
    <row r="2922" spans="1:2" x14ac:dyDescent="0.2">
      <c r="A2922" s="41">
        <v>43221</v>
      </c>
      <c r="B2922" s="42">
        <v>93.1</v>
      </c>
    </row>
    <row r="2923" spans="1:2" x14ac:dyDescent="0.2">
      <c r="A2923" s="41">
        <v>43313</v>
      </c>
      <c r="B2923" s="42">
        <v>93.97</v>
      </c>
    </row>
    <row r="2924" spans="1:2" x14ac:dyDescent="0.2">
      <c r="A2924" s="41">
        <v>43344</v>
      </c>
      <c r="B2924" s="42">
        <v>94.74</v>
      </c>
    </row>
    <row r="2925" spans="1:2" x14ac:dyDescent="0.2">
      <c r="A2925" s="41">
        <v>43374</v>
      </c>
      <c r="B2925" s="42">
        <v>93.7</v>
      </c>
    </row>
    <row r="2926" spans="1:2" x14ac:dyDescent="0.2">
      <c r="A2926" s="41">
        <v>43405</v>
      </c>
      <c r="B2926" s="42">
        <v>92.24</v>
      </c>
    </row>
    <row r="2927" spans="1:2" x14ac:dyDescent="0.2">
      <c r="A2927" s="41">
        <v>43435</v>
      </c>
      <c r="B2927" s="42">
        <v>92.22</v>
      </c>
    </row>
    <row r="2928" spans="1:2" x14ac:dyDescent="0.2">
      <c r="A2928" s="40" t="s">
        <v>1817</v>
      </c>
      <c r="B2928" s="42">
        <v>106.49</v>
      </c>
    </row>
    <row r="2929" spans="1:2" x14ac:dyDescent="0.2">
      <c r="A2929" s="40" t="s">
        <v>1818</v>
      </c>
      <c r="B2929" s="42">
        <v>102.46</v>
      </c>
    </row>
    <row r="2930" spans="1:2" x14ac:dyDescent="0.2">
      <c r="A2930" s="40" t="s">
        <v>1819</v>
      </c>
      <c r="B2930" s="42">
        <v>103.68</v>
      </c>
    </row>
    <row r="2931" spans="1:2" x14ac:dyDescent="0.2">
      <c r="A2931" s="40" t="s">
        <v>1820</v>
      </c>
      <c r="B2931" s="42">
        <v>101.59</v>
      </c>
    </row>
    <row r="2932" spans="1:2" x14ac:dyDescent="0.2">
      <c r="A2932" s="40" t="s">
        <v>1821</v>
      </c>
      <c r="B2932" s="42">
        <v>99.68</v>
      </c>
    </row>
    <row r="2933" spans="1:2" x14ac:dyDescent="0.2">
      <c r="A2933" s="40" t="s">
        <v>1822</v>
      </c>
      <c r="B2933" s="42">
        <v>98.59</v>
      </c>
    </row>
    <row r="2934" spans="1:2" x14ac:dyDescent="0.2">
      <c r="A2934" s="40" t="s">
        <v>1823</v>
      </c>
      <c r="B2934" s="42">
        <v>99.77</v>
      </c>
    </row>
    <row r="2935" spans="1:2" x14ac:dyDescent="0.2">
      <c r="A2935" s="40" t="s">
        <v>1824</v>
      </c>
      <c r="B2935" s="42">
        <v>101.78</v>
      </c>
    </row>
    <row r="2936" spans="1:2" x14ac:dyDescent="0.2">
      <c r="A2936" s="40" t="s">
        <v>1825</v>
      </c>
      <c r="B2936" s="42">
        <v>98.65</v>
      </c>
    </row>
    <row r="2937" spans="1:2" x14ac:dyDescent="0.2">
      <c r="A2937" s="40" t="s">
        <v>1826</v>
      </c>
      <c r="B2937" s="42">
        <v>110.01</v>
      </c>
    </row>
    <row r="2938" spans="1:2" x14ac:dyDescent="0.2">
      <c r="A2938" s="40" t="s">
        <v>1827</v>
      </c>
      <c r="B2938" s="42">
        <v>113.48</v>
      </c>
    </row>
    <row r="2939" spans="1:2" x14ac:dyDescent="0.2">
      <c r="A2939" s="40" t="s">
        <v>1828</v>
      </c>
      <c r="B2939" s="42">
        <v>108.41</v>
      </c>
    </row>
    <row r="2940" spans="1:2" x14ac:dyDescent="0.2">
      <c r="A2940" s="41">
        <v>43102</v>
      </c>
      <c r="B2940" s="42">
        <v>105.77</v>
      </c>
    </row>
    <row r="2941" spans="1:2" x14ac:dyDescent="0.2">
      <c r="A2941" s="41">
        <v>43133</v>
      </c>
      <c r="B2941" s="42">
        <v>125.51</v>
      </c>
    </row>
    <row r="2942" spans="1:2" x14ac:dyDescent="0.2">
      <c r="A2942" s="41">
        <v>43222</v>
      </c>
      <c r="B2942" s="42">
        <v>177.34</v>
      </c>
    </row>
    <row r="2943" spans="1:2" x14ac:dyDescent="0.2">
      <c r="A2943" s="41">
        <v>43253</v>
      </c>
      <c r="B2943" s="42">
        <v>161.12</v>
      </c>
    </row>
    <row r="2944" spans="1:2" x14ac:dyDescent="0.2">
      <c r="A2944" s="41">
        <v>43283</v>
      </c>
      <c r="B2944" s="42">
        <v>159.03</v>
      </c>
    </row>
    <row r="2945" spans="1:2" x14ac:dyDescent="0.2">
      <c r="A2945" s="41">
        <v>43314</v>
      </c>
      <c r="B2945" s="42">
        <v>180.61</v>
      </c>
    </row>
    <row r="2946" spans="1:2" x14ac:dyDescent="0.2">
      <c r="A2946" s="41">
        <v>43345</v>
      </c>
      <c r="B2946" s="42">
        <v>167.28</v>
      </c>
    </row>
    <row r="2947" spans="1:2" x14ac:dyDescent="0.2">
      <c r="A2947" s="41">
        <v>43436</v>
      </c>
      <c r="B2947" s="42">
        <v>140.80000000000001</v>
      </c>
    </row>
    <row r="2948" spans="1:2" x14ac:dyDescent="0.2">
      <c r="A2948" s="40" t="s">
        <v>1829</v>
      </c>
      <c r="B2948" s="42">
        <v>136.58000000000001</v>
      </c>
    </row>
    <row r="2949" spans="1:2" x14ac:dyDescent="0.2">
      <c r="A2949" s="40" t="s">
        <v>1830</v>
      </c>
      <c r="B2949" s="42">
        <v>124.49</v>
      </c>
    </row>
    <row r="2950" spans="1:2" x14ac:dyDescent="0.2">
      <c r="A2950" s="40" t="s">
        <v>1831</v>
      </c>
      <c r="B2950" s="42">
        <v>122.76</v>
      </c>
    </row>
    <row r="2951" spans="1:2" x14ac:dyDescent="0.2">
      <c r="A2951" s="40" t="s">
        <v>1832</v>
      </c>
      <c r="B2951" s="42">
        <v>121.2</v>
      </c>
    </row>
    <row r="2952" spans="1:2" x14ac:dyDescent="0.2">
      <c r="A2952" s="40" t="s">
        <v>1833</v>
      </c>
      <c r="B2952" s="42">
        <v>122.58</v>
      </c>
    </row>
    <row r="2953" spans="1:2" x14ac:dyDescent="0.2">
      <c r="A2953" s="40" t="s">
        <v>1834</v>
      </c>
      <c r="B2953" s="42">
        <v>125.73</v>
      </c>
    </row>
    <row r="2954" spans="1:2" x14ac:dyDescent="0.2">
      <c r="A2954" s="40" t="s">
        <v>1835</v>
      </c>
      <c r="B2954" s="42">
        <v>116.98</v>
      </c>
    </row>
    <row r="2955" spans="1:2" x14ac:dyDescent="0.2">
      <c r="A2955" s="40" t="s">
        <v>1836</v>
      </c>
      <c r="B2955" s="42">
        <v>110.19</v>
      </c>
    </row>
    <row r="2956" spans="1:2" x14ac:dyDescent="0.2">
      <c r="A2956" s="40" t="s">
        <v>1837</v>
      </c>
      <c r="B2956" s="42">
        <v>107.68</v>
      </c>
    </row>
    <row r="2957" spans="1:2" x14ac:dyDescent="0.2">
      <c r="A2957" s="40" t="s">
        <v>1838</v>
      </c>
      <c r="B2957" s="42">
        <v>119.5</v>
      </c>
    </row>
    <row r="2958" spans="1:2" x14ac:dyDescent="0.2">
      <c r="A2958" s="40" t="s">
        <v>1839</v>
      </c>
      <c r="B2958" s="42">
        <v>121.7</v>
      </c>
    </row>
    <row r="2959" spans="1:2" x14ac:dyDescent="0.2">
      <c r="A2959" s="41">
        <v>43103</v>
      </c>
      <c r="B2959" s="42">
        <v>128.13999999999999</v>
      </c>
    </row>
    <row r="2960" spans="1:2" x14ac:dyDescent="0.2">
      <c r="A2960" s="41">
        <v>43134</v>
      </c>
      <c r="B2960" s="42">
        <v>114.78</v>
      </c>
    </row>
    <row r="2961" spans="1:2" x14ac:dyDescent="0.2">
      <c r="A2961" s="41">
        <v>43223</v>
      </c>
      <c r="B2961" s="42">
        <v>109.66</v>
      </c>
    </row>
    <row r="2962" spans="1:2" x14ac:dyDescent="0.2">
      <c r="A2962" s="41">
        <v>43254</v>
      </c>
      <c r="B2962" s="42">
        <v>104.61</v>
      </c>
    </row>
    <row r="2963" spans="1:2" x14ac:dyDescent="0.2">
      <c r="A2963" s="41">
        <v>43284</v>
      </c>
      <c r="B2963" s="42">
        <v>99.49</v>
      </c>
    </row>
    <row r="2964" spans="1:2" x14ac:dyDescent="0.2">
      <c r="A2964" s="41">
        <v>43315</v>
      </c>
      <c r="B2964" s="42">
        <v>96.92</v>
      </c>
    </row>
    <row r="2965" spans="1:2" x14ac:dyDescent="0.2">
      <c r="A2965" s="41">
        <v>43346</v>
      </c>
      <c r="B2965" s="42">
        <v>99.71</v>
      </c>
    </row>
    <row r="2966" spans="1:2" x14ac:dyDescent="0.2">
      <c r="A2966" s="41">
        <v>43437</v>
      </c>
      <c r="B2966" s="42">
        <v>104.94</v>
      </c>
    </row>
    <row r="2967" spans="1:2" x14ac:dyDescent="0.2">
      <c r="A2967" s="40" t="s">
        <v>1840</v>
      </c>
      <c r="B2967" s="42">
        <v>107.04</v>
      </c>
    </row>
    <row r="2968" spans="1:2" x14ac:dyDescent="0.2">
      <c r="A2968" s="40" t="s">
        <v>1841</v>
      </c>
      <c r="B2968" s="42">
        <v>110.29</v>
      </c>
    </row>
    <row r="2969" spans="1:2" x14ac:dyDescent="0.2">
      <c r="A2969" s="40" t="s">
        <v>1842</v>
      </c>
      <c r="B2969" s="42">
        <v>109.28</v>
      </c>
    </row>
    <row r="2970" spans="1:2" x14ac:dyDescent="0.2">
      <c r="A2970" s="40" t="s">
        <v>1843</v>
      </c>
      <c r="B2970" s="42">
        <v>106.49</v>
      </c>
    </row>
    <row r="2971" spans="1:2" x14ac:dyDescent="0.2">
      <c r="A2971" s="40" t="s">
        <v>1844</v>
      </c>
      <c r="B2971" s="42">
        <v>112.92</v>
      </c>
    </row>
    <row r="2972" spans="1:2" x14ac:dyDescent="0.2">
      <c r="A2972" s="40" t="s">
        <v>1845</v>
      </c>
      <c r="B2972" s="42">
        <v>107.13</v>
      </c>
    </row>
    <row r="2973" spans="1:2" x14ac:dyDescent="0.2">
      <c r="A2973" s="40" t="s">
        <v>1846</v>
      </c>
      <c r="B2973" s="42">
        <v>106.6</v>
      </c>
    </row>
    <row r="2974" spans="1:2" x14ac:dyDescent="0.2">
      <c r="A2974" s="40" t="s">
        <v>1847</v>
      </c>
      <c r="B2974" s="42">
        <v>125.12</v>
      </c>
    </row>
    <row r="2975" spans="1:2" x14ac:dyDescent="0.2">
      <c r="A2975" s="40" t="s">
        <v>1848</v>
      </c>
      <c r="B2975" s="42">
        <v>129.82</v>
      </c>
    </row>
    <row r="2976" spans="1:2" x14ac:dyDescent="0.2">
      <c r="A2976" s="40" t="s">
        <v>1849</v>
      </c>
      <c r="B2976" s="42">
        <v>113.08</v>
      </c>
    </row>
    <row r="2977" spans="1:2" x14ac:dyDescent="0.2">
      <c r="A2977" s="40" t="s">
        <v>1850</v>
      </c>
      <c r="B2977" s="42">
        <v>118.61</v>
      </c>
    </row>
    <row r="2978" spans="1:2" x14ac:dyDescent="0.2">
      <c r="A2978" s="40" t="s">
        <v>1851</v>
      </c>
      <c r="B2978" s="42">
        <v>114.02</v>
      </c>
    </row>
    <row r="2979" spans="1:2" x14ac:dyDescent="0.2">
      <c r="A2979" s="40" t="s">
        <v>1852</v>
      </c>
      <c r="B2979" s="42">
        <v>103.32</v>
      </c>
    </row>
    <row r="2980" spans="1:2" x14ac:dyDescent="0.2">
      <c r="A2980" s="41">
        <v>43135</v>
      </c>
      <c r="B2980" s="42">
        <v>111.67</v>
      </c>
    </row>
    <row r="2981" spans="1:2" x14ac:dyDescent="0.2">
      <c r="A2981" s="41">
        <v>43163</v>
      </c>
      <c r="B2981" s="42">
        <v>102.06</v>
      </c>
    </row>
    <row r="2982" spans="1:2" x14ac:dyDescent="0.2">
      <c r="A2982" s="41">
        <v>43194</v>
      </c>
      <c r="B2982" s="42">
        <v>95.44</v>
      </c>
    </row>
    <row r="2983" spans="1:2" x14ac:dyDescent="0.2">
      <c r="A2983" s="41">
        <v>43224</v>
      </c>
      <c r="B2983" s="42">
        <v>92.21</v>
      </c>
    </row>
    <row r="2984" spans="1:2" x14ac:dyDescent="0.2">
      <c r="A2984" s="41">
        <v>43255</v>
      </c>
      <c r="B2984" s="42">
        <v>98.6</v>
      </c>
    </row>
    <row r="2985" spans="1:2" x14ac:dyDescent="0.2">
      <c r="A2985" s="41">
        <v>43347</v>
      </c>
      <c r="B2985" s="42">
        <v>100.24</v>
      </c>
    </row>
    <row r="2986" spans="1:2" x14ac:dyDescent="0.2">
      <c r="A2986" s="41">
        <v>43377</v>
      </c>
      <c r="B2986" s="42">
        <v>98.21</v>
      </c>
    </row>
    <row r="2987" spans="1:2" x14ac:dyDescent="0.2">
      <c r="A2987" s="41">
        <v>43408</v>
      </c>
      <c r="B2987" s="42">
        <v>100.02</v>
      </c>
    </row>
    <row r="2988" spans="1:2" x14ac:dyDescent="0.2">
      <c r="A2988" s="41">
        <v>43438</v>
      </c>
      <c r="B2988" s="42">
        <v>98.08</v>
      </c>
    </row>
    <row r="2989" spans="1:2" x14ac:dyDescent="0.2">
      <c r="A2989" s="40" t="s">
        <v>1853</v>
      </c>
      <c r="B2989" s="42">
        <v>93.94</v>
      </c>
    </row>
    <row r="2990" spans="1:2" x14ac:dyDescent="0.2">
      <c r="A2990" s="40" t="s">
        <v>1854</v>
      </c>
      <c r="B2990" s="42">
        <v>93.22</v>
      </c>
    </row>
    <row r="2991" spans="1:2" x14ac:dyDescent="0.2">
      <c r="A2991" s="40" t="s">
        <v>1855</v>
      </c>
      <c r="B2991" s="42">
        <v>89.59</v>
      </c>
    </row>
    <row r="2992" spans="1:2" x14ac:dyDescent="0.2">
      <c r="A2992" s="40" t="s">
        <v>1856</v>
      </c>
      <c r="B2992" s="42">
        <v>92.41</v>
      </c>
    </row>
    <row r="2993" spans="1:2" x14ac:dyDescent="0.2">
      <c r="A2993" s="40" t="s">
        <v>1857</v>
      </c>
      <c r="B2993" s="42">
        <v>95.38</v>
      </c>
    </row>
    <row r="2994" spans="1:2" x14ac:dyDescent="0.2">
      <c r="A2994" s="40" t="s">
        <v>1858</v>
      </c>
      <c r="B2994" s="42">
        <v>99.21</v>
      </c>
    </row>
    <row r="2995" spans="1:2" x14ac:dyDescent="0.2">
      <c r="A2995" s="40" t="s">
        <v>1859</v>
      </c>
      <c r="B2995" s="42">
        <v>96.87</v>
      </c>
    </row>
    <row r="2996" spans="1:2" x14ac:dyDescent="0.2">
      <c r="A2996" s="40" t="s">
        <v>1860</v>
      </c>
      <c r="B2996" s="42">
        <v>100.81</v>
      </c>
    </row>
    <row r="2997" spans="1:2" x14ac:dyDescent="0.2">
      <c r="A2997" s="40" t="s">
        <v>1861</v>
      </c>
      <c r="B2997" s="42">
        <v>97.8</v>
      </c>
    </row>
    <row r="2998" spans="1:2" x14ac:dyDescent="0.2">
      <c r="A2998" s="40" t="s">
        <v>1862</v>
      </c>
      <c r="B2998" s="42">
        <v>90.71</v>
      </c>
    </row>
    <row r="2999" spans="1:2" x14ac:dyDescent="0.2">
      <c r="A2999" s="40" t="s">
        <v>1863</v>
      </c>
      <c r="B2999" s="42">
        <v>92.15</v>
      </c>
    </row>
    <row r="3000" spans="1:2" x14ac:dyDescent="0.2">
      <c r="A3000" s="40" t="s">
        <v>1864</v>
      </c>
      <c r="B3000" s="42">
        <v>94.3</v>
      </c>
    </row>
    <row r="3001" spans="1:2" x14ac:dyDescent="0.2">
      <c r="A3001" s="41">
        <v>43105</v>
      </c>
      <c r="B3001" s="42">
        <v>89.97</v>
      </c>
    </row>
    <row r="3002" spans="1:2" x14ac:dyDescent="0.2">
      <c r="A3002" s="41">
        <v>43136</v>
      </c>
      <c r="B3002" s="42">
        <v>93.79</v>
      </c>
    </row>
    <row r="3003" spans="1:2" x14ac:dyDescent="0.2">
      <c r="A3003" s="41">
        <v>43164</v>
      </c>
      <c r="B3003" s="42">
        <v>91.07</v>
      </c>
    </row>
    <row r="3004" spans="1:2" x14ac:dyDescent="0.2">
      <c r="A3004" s="41">
        <v>43195</v>
      </c>
      <c r="B3004" s="42">
        <v>88.12</v>
      </c>
    </row>
    <row r="3005" spans="1:2" x14ac:dyDescent="0.2">
      <c r="A3005" s="41">
        <v>43286</v>
      </c>
      <c r="B3005" s="42">
        <v>90.71</v>
      </c>
    </row>
    <row r="3006" spans="1:2" x14ac:dyDescent="0.2">
      <c r="A3006" s="41">
        <v>43317</v>
      </c>
      <c r="B3006" s="42">
        <v>89.5</v>
      </c>
    </row>
    <row r="3007" spans="1:2" x14ac:dyDescent="0.2">
      <c r="A3007" s="41">
        <v>43348</v>
      </c>
      <c r="B3007" s="42">
        <v>93.89</v>
      </c>
    </row>
    <row r="3008" spans="1:2" x14ac:dyDescent="0.2">
      <c r="A3008" s="41">
        <v>43378</v>
      </c>
      <c r="B3008" s="42">
        <v>93.02</v>
      </c>
    </row>
    <row r="3009" spans="1:2" x14ac:dyDescent="0.2">
      <c r="A3009" s="41">
        <v>43409</v>
      </c>
      <c r="B3009" s="42">
        <v>90.03</v>
      </c>
    </row>
    <row r="3010" spans="1:2" x14ac:dyDescent="0.2">
      <c r="A3010" s="40" t="s">
        <v>1865</v>
      </c>
      <c r="B3010" s="42">
        <v>92.62</v>
      </c>
    </row>
    <row r="3011" spans="1:2" x14ac:dyDescent="0.2">
      <c r="A3011" s="40" t="s">
        <v>1866</v>
      </c>
      <c r="B3011" s="42">
        <v>99.18</v>
      </c>
    </row>
    <row r="3012" spans="1:2" x14ac:dyDescent="0.2">
      <c r="A3012" s="40" t="s">
        <v>1867</v>
      </c>
      <c r="B3012" s="42">
        <v>94.79</v>
      </c>
    </row>
    <row r="3013" spans="1:2" x14ac:dyDescent="0.2">
      <c r="A3013" s="40" t="s">
        <v>1868</v>
      </c>
      <c r="B3013" s="42">
        <v>93.48</v>
      </c>
    </row>
    <row r="3014" spans="1:2" x14ac:dyDescent="0.2">
      <c r="A3014" s="40" t="s">
        <v>1869</v>
      </c>
      <c r="B3014" s="42">
        <v>94.76</v>
      </c>
    </row>
    <row r="3015" spans="1:2" x14ac:dyDescent="0.2">
      <c r="A3015" s="40" t="s">
        <v>1870</v>
      </c>
      <c r="B3015" s="42">
        <v>91.04</v>
      </c>
    </row>
    <row r="3016" spans="1:2" x14ac:dyDescent="0.2">
      <c r="A3016" s="40" t="s">
        <v>1871</v>
      </c>
      <c r="B3016" s="42">
        <v>90.47</v>
      </c>
    </row>
    <row r="3017" spans="1:2" x14ac:dyDescent="0.2">
      <c r="A3017" s="40" t="s">
        <v>1872</v>
      </c>
      <c r="B3017" s="42">
        <v>89.8</v>
      </c>
    </row>
    <row r="3018" spans="1:2" x14ac:dyDescent="0.2">
      <c r="A3018" s="40" t="s">
        <v>1873</v>
      </c>
      <c r="B3018" s="42">
        <v>90.64</v>
      </c>
    </row>
    <row r="3019" spans="1:2" x14ac:dyDescent="0.2">
      <c r="A3019" s="40" t="s">
        <v>1874</v>
      </c>
      <c r="B3019" s="42">
        <v>93.78</v>
      </c>
    </row>
    <row r="3020" spans="1:2" x14ac:dyDescent="0.2">
      <c r="A3020" s="40" t="s">
        <v>1875</v>
      </c>
      <c r="B3020" s="42">
        <v>108.67</v>
      </c>
    </row>
    <row r="3021" spans="1:2" x14ac:dyDescent="0.2">
      <c r="A3021" s="40" t="s">
        <v>1876</v>
      </c>
      <c r="B3021" s="42">
        <v>99.08</v>
      </c>
    </row>
    <row r="3022" spans="1:2" x14ac:dyDescent="0.2">
      <c r="A3022" s="40" t="s">
        <v>1877</v>
      </c>
      <c r="B3022" s="42">
        <v>100.63</v>
      </c>
    </row>
    <row r="3023" spans="1:2" x14ac:dyDescent="0.2">
      <c r="A3023" s="41">
        <v>43106</v>
      </c>
      <c r="B3023" s="42">
        <v>93.3</v>
      </c>
    </row>
    <row r="3024" spans="1:2" x14ac:dyDescent="0.2">
      <c r="A3024" s="41">
        <v>43196</v>
      </c>
      <c r="B3024" s="42">
        <v>90.83</v>
      </c>
    </row>
    <row r="3025" spans="1:2" x14ac:dyDescent="0.2">
      <c r="A3025" s="41">
        <v>43226</v>
      </c>
      <c r="B3025" s="42">
        <v>89.84</v>
      </c>
    </row>
    <row r="3026" spans="1:2" x14ac:dyDescent="0.2">
      <c r="A3026" s="41">
        <v>43257</v>
      </c>
      <c r="B3026" s="42">
        <v>88.12</v>
      </c>
    </row>
    <row r="3027" spans="1:2" x14ac:dyDescent="0.2">
      <c r="A3027" s="41">
        <v>43287</v>
      </c>
      <c r="B3027" s="42">
        <v>91.28</v>
      </c>
    </row>
    <row r="3028" spans="1:2" x14ac:dyDescent="0.2">
      <c r="A3028" s="41">
        <v>43318</v>
      </c>
      <c r="B3028" s="42">
        <v>93.49</v>
      </c>
    </row>
    <row r="3029" spans="1:2" x14ac:dyDescent="0.2">
      <c r="A3029" s="41">
        <v>43410</v>
      </c>
      <c r="B3029" s="42">
        <v>94.54</v>
      </c>
    </row>
    <row r="3030" spans="1:2" x14ac:dyDescent="0.2">
      <c r="A3030" s="41">
        <v>43440</v>
      </c>
      <c r="B3030" s="42">
        <v>95.71</v>
      </c>
    </row>
    <row r="3031" spans="1:2" x14ac:dyDescent="0.2">
      <c r="A3031" s="40" t="s">
        <v>1878</v>
      </c>
      <c r="B3031" s="42">
        <v>100.01</v>
      </c>
    </row>
    <row r="3032" spans="1:2" x14ac:dyDescent="0.2">
      <c r="A3032" s="40" t="s">
        <v>1879</v>
      </c>
      <c r="B3032" s="42">
        <v>98.21</v>
      </c>
    </row>
    <row r="3033" spans="1:2" x14ac:dyDescent="0.2">
      <c r="A3033" s="40" t="s">
        <v>1880</v>
      </c>
      <c r="B3033" s="42">
        <v>101.66</v>
      </c>
    </row>
    <row r="3034" spans="1:2" x14ac:dyDescent="0.2">
      <c r="A3034" s="40" t="s">
        <v>1881</v>
      </c>
      <c r="B3034" s="42">
        <v>99.87</v>
      </c>
    </row>
    <row r="3035" spans="1:2" x14ac:dyDescent="0.2">
      <c r="A3035" s="40" t="s">
        <v>1882</v>
      </c>
      <c r="B3035" s="42">
        <v>104.13</v>
      </c>
    </row>
    <row r="3036" spans="1:2" x14ac:dyDescent="0.2">
      <c r="A3036" s="40" t="s">
        <v>1883</v>
      </c>
      <c r="B3036" s="42">
        <v>98.51</v>
      </c>
    </row>
    <row r="3037" spans="1:2" x14ac:dyDescent="0.2">
      <c r="A3037" s="40" t="s">
        <v>1884</v>
      </c>
      <c r="B3037" s="42">
        <v>107.45</v>
      </c>
    </row>
    <row r="3038" spans="1:2" x14ac:dyDescent="0.2">
      <c r="A3038" s="40" t="s">
        <v>1885</v>
      </c>
      <c r="B3038" s="42">
        <v>102.49</v>
      </c>
    </row>
    <row r="3039" spans="1:2" x14ac:dyDescent="0.2">
      <c r="A3039" s="40" t="s">
        <v>1886</v>
      </c>
      <c r="B3039" s="42">
        <v>114.32</v>
      </c>
    </row>
    <row r="3040" spans="1:2" x14ac:dyDescent="0.2">
      <c r="A3040" s="40" t="s">
        <v>1887</v>
      </c>
      <c r="B3040" s="42">
        <v>107.52</v>
      </c>
    </row>
    <row r="3041" spans="1:2" x14ac:dyDescent="0.2">
      <c r="A3041" s="40" t="s">
        <v>1888</v>
      </c>
      <c r="B3041" s="42">
        <v>112.75</v>
      </c>
    </row>
    <row r="3042" spans="1:2" x14ac:dyDescent="0.2">
      <c r="A3042" s="40" t="s">
        <v>1889</v>
      </c>
      <c r="B3042" s="42">
        <v>108.88</v>
      </c>
    </row>
    <row r="3043" spans="1:2" x14ac:dyDescent="0.2">
      <c r="A3043" s="40" t="s">
        <v>1890</v>
      </c>
      <c r="B3043" s="42">
        <v>105.97</v>
      </c>
    </row>
    <row r="3044" spans="1:2" x14ac:dyDescent="0.2">
      <c r="A3044" s="41">
        <v>43138</v>
      </c>
      <c r="B3044" s="42">
        <v>104.8</v>
      </c>
    </row>
    <row r="3045" spans="1:2" x14ac:dyDescent="0.2">
      <c r="A3045" s="41">
        <v>43166</v>
      </c>
      <c r="B3045" s="42">
        <v>108.5</v>
      </c>
    </row>
    <row r="3046" spans="1:2" x14ac:dyDescent="0.2">
      <c r="A3046" s="41">
        <v>43227</v>
      </c>
      <c r="B3046" s="42">
        <v>103.22</v>
      </c>
    </row>
    <row r="3047" spans="1:2" x14ac:dyDescent="0.2">
      <c r="A3047" s="41">
        <v>43258</v>
      </c>
      <c r="B3047" s="42">
        <v>95.74</v>
      </c>
    </row>
    <row r="3048" spans="1:2" x14ac:dyDescent="0.2">
      <c r="A3048" s="41">
        <v>43350</v>
      </c>
      <c r="B3048" s="42">
        <v>94.16</v>
      </c>
    </row>
    <row r="3049" spans="1:2" x14ac:dyDescent="0.2">
      <c r="A3049" s="41">
        <v>43380</v>
      </c>
      <c r="B3049" s="42">
        <v>91.96</v>
      </c>
    </row>
    <row r="3050" spans="1:2" x14ac:dyDescent="0.2">
      <c r="A3050" s="41">
        <v>43411</v>
      </c>
      <c r="B3050" s="42">
        <v>104.5</v>
      </c>
    </row>
    <row r="3051" spans="1:2" x14ac:dyDescent="0.2">
      <c r="A3051" s="41">
        <v>43441</v>
      </c>
      <c r="B3051" s="42">
        <v>100.82</v>
      </c>
    </row>
    <row r="3052" spans="1:2" x14ac:dyDescent="0.2">
      <c r="A3052" s="40" t="s">
        <v>1891</v>
      </c>
      <c r="B3052" s="42">
        <v>99.81</v>
      </c>
    </row>
    <row r="3053" spans="1:2" x14ac:dyDescent="0.2">
      <c r="A3053" s="40" t="s">
        <v>1892</v>
      </c>
      <c r="B3053" s="42">
        <v>100.95</v>
      </c>
    </row>
    <row r="3054" spans="1:2" x14ac:dyDescent="0.2">
      <c r="A3054" s="40" t="s">
        <v>1893</v>
      </c>
      <c r="B3054" s="42">
        <v>98.56</v>
      </c>
    </row>
    <row r="3055" spans="1:2" x14ac:dyDescent="0.2">
      <c r="A3055" s="40" t="s">
        <v>1894</v>
      </c>
      <c r="B3055" s="42">
        <v>98.08</v>
      </c>
    </row>
    <row r="3056" spans="1:2" x14ac:dyDescent="0.2">
      <c r="A3056" s="40" t="s">
        <v>1895</v>
      </c>
      <c r="B3056" s="42">
        <v>100.58</v>
      </c>
    </row>
    <row r="3057" spans="1:2" x14ac:dyDescent="0.2">
      <c r="A3057" s="40" t="s">
        <v>1896</v>
      </c>
      <c r="B3057" s="42">
        <v>102.76</v>
      </c>
    </row>
    <row r="3058" spans="1:2" x14ac:dyDescent="0.2">
      <c r="A3058" s="40" t="s">
        <v>1897</v>
      </c>
      <c r="B3058" s="42">
        <v>102.04</v>
      </c>
    </row>
    <row r="3059" spans="1:2" x14ac:dyDescent="0.2">
      <c r="A3059" s="40" t="s">
        <v>1898</v>
      </c>
      <c r="B3059" s="42">
        <v>98.68</v>
      </c>
    </row>
    <row r="3060" spans="1:2" x14ac:dyDescent="0.2">
      <c r="A3060" s="40" t="s">
        <v>1899</v>
      </c>
      <c r="B3060" s="42">
        <v>94.2</v>
      </c>
    </row>
    <row r="3061" spans="1:2" x14ac:dyDescent="0.2">
      <c r="A3061" s="40" t="s">
        <v>1900</v>
      </c>
      <c r="B3061" s="42">
        <v>91.66</v>
      </c>
    </row>
    <row r="3062" spans="1:2" x14ac:dyDescent="0.2">
      <c r="A3062" s="40" t="s">
        <v>1901</v>
      </c>
      <c r="B3062" s="42">
        <v>97.15</v>
      </c>
    </row>
    <row r="3063" spans="1:2" x14ac:dyDescent="0.2">
      <c r="A3063" s="40" t="s">
        <v>1902</v>
      </c>
      <c r="B3063" s="42">
        <v>101.41</v>
      </c>
    </row>
    <row r="3064" spans="1:2" x14ac:dyDescent="0.2">
      <c r="A3064" s="40" t="s">
        <v>1903</v>
      </c>
      <c r="B3064" s="42">
        <v>94.13</v>
      </c>
    </row>
    <row r="3065" spans="1:2" x14ac:dyDescent="0.2">
      <c r="A3065" s="41">
        <v>43108</v>
      </c>
      <c r="B3065" s="42">
        <v>95.28</v>
      </c>
    </row>
    <row r="3066" spans="1:2" x14ac:dyDescent="0.2">
      <c r="A3066" s="41">
        <v>43139</v>
      </c>
      <c r="B3066" s="42">
        <v>91.66</v>
      </c>
    </row>
    <row r="3067" spans="1:2" x14ac:dyDescent="0.2">
      <c r="A3067" s="41">
        <v>43167</v>
      </c>
      <c r="B3067" s="42">
        <v>86.6</v>
      </c>
    </row>
    <row r="3068" spans="1:2" x14ac:dyDescent="0.2">
      <c r="A3068" s="41">
        <v>43259</v>
      </c>
      <c r="B3068" s="42">
        <v>84.66</v>
      </c>
    </row>
    <row r="3069" spans="1:2" x14ac:dyDescent="0.2">
      <c r="A3069" s="41">
        <v>43289</v>
      </c>
      <c r="B3069" s="42">
        <v>83.21</v>
      </c>
    </row>
    <row r="3070" spans="1:2" x14ac:dyDescent="0.2">
      <c r="A3070" s="41">
        <v>43320</v>
      </c>
      <c r="B3070" s="42">
        <v>84.42</v>
      </c>
    </row>
    <row r="3071" spans="1:2" x14ac:dyDescent="0.2">
      <c r="A3071" s="41">
        <v>43351</v>
      </c>
      <c r="B3071" s="42">
        <v>88.69</v>
      </c>
    </row>
    <row r="3072" spans="1:2" x14ac:dyDescent="0.2">
      <c r="A3072" s="41">
        <v>43381</v>
      </c>
      <c r="B3072" s="42">
        <v>99.07</v>
      </c>
    </row>
    <row r="3073" spans="1:2" x14ac:dyDescent="0.2">
      <c r="A3073" s="40" t="s">
        <v>1904</v>
      </c>
      <c r="B3073" s="42">
        <v>107.78</v>
      </c>
    </row>
    <row r="3074" spans="1:2" x14ac:dyDescent="0.2">
      <c r="A3074" s="40" t="s">
        <v>1905</v>
      </c>
      <c r="B3074" s="42">
        <v>100.34</v>
      </c>
    </row>
    <row r="3075" spans="1:2" x14ac:dyDescent="0.2">
      <c r="A3075" s="40" t="s">
        <v>1906</v>
      </c>
      <c r="B3075" s="42">
        <v>111.13</v>
      </c>
    </row>
    <row r="3076" spans="1:2" x14ac:dyDescent="0.2">
      <c r="A3076" s="40" t="s">
        <v>1907</v>
      </c>
      <c r="B3076" s="42">
        <v>103.49</v>
      </c>
    </row>
    <row r="3077" spans="1:2" x14ac:dyDescent="0.2">
      <c r="A3077" s="40" t="s">
        <v>1908</v>
      </c>
      <c r="B3077" s="42">
        <v>101.81</v>
      </c>
    </row>
    <row r="3078" spans="1:2" x14ac:dyDescent="0.2">
      <c r="A3078" s="40" t="s">
        <v>1909</v>
      </c>
      <c r="B3078" s="42">
        <v>100.77</v>
      </c>
    </row>
    <row r="3079" spans="1:2" x14ac:dyDescent="0.2">
      <c r="A3079" s="40" t="s">
        <v>1910</v>
      </c>
      <c r="B3079" s="42">
        <v>101.56</v>
      </c>
    </row>
    <row r="3080" spans="1:2" x14ac:dyDescent="0.2">
      <c r="A3080" s="40" t="s">
        <v>1911</v>
      </c>
      <c r="B3080" s="42">
        <v>95.72</v>
      </c>
    </row>
    <row r="3081" spans="1:2" x14ac:dyDescent="0.2">
      <c r="A3081" s="40" t="s">
        <v>1912</v>
      </c>
      <c r="B3081" s="42">
        <v>95.92</v>
      </c>
    </row>
    <row r="3082" spans="1:2" x14ac:dyDescent="0.2">
      <c r="A3082" s="40" t="s">
        <v>1913</v>
      </c>
      <c r="B3082" s="42">
        <v>93.95</v>
      </c>
    </row>
    <row r="3083" spans="1:2" x14ac:dyDescent="0.2">
      <c r="A3083" s="40" t="s">
        <v>1914</v>
      </c>
      <c r="B3083" s="42">
        <v>93.39</v>
      </c>
    </row>
    <row r="3084" spans="1:2" x14ac:dyDescent="0.2">
      <c r="A3084" s="40" t="s">
        <v>1915</v>
      </c>
      <c r="B3084" s="42">
        <v>92.31</v>
      </c>
    </row>
    <row r="3085" spans="1:2" x14ac:dyDescent="0.2">
      <c r="A3085" s="40" t="s">
        <v>1916</v>
      </c>
      <c r="B3085" s="42">
        <v>91.1</v>
      </c>
    </row>
    <row r="3086" spans="1:2" x14ac:dyDescent="0.2">
      <c r="A3086" s="40" t="s">
        <v>1917</v>
      </c>
      <c r="B3086" s="42">
        <v>95.11</v>
      </c>
    </row>
    <row r="3087" spans="1:2" x14ac:dyDescent="0.2">
      <c r="A3087" s="40" t="s">
        <v>1918</v>
      </c>
      <c r="B3087" s="42">
        <v>92.73</v>
      </c>
    </row>
    <row r="3088" spans="1:2" x14ac:dyDescent="0.2">
      <c r="A3088" s="41">
        <v>43199</v>
      </c>
      <c r="B3088" s="42">
        <v>95.23</v>
      </c>
    </row>
    <row r="3089" spans="1:2" x14ac:dyDescent="0.2">
      <c r="A3089" s="41">
        <v>43229</v>
      </c>
      <c r="B3089" s="42">
        <v>97.94</v>
      </c>
    </row>
    <row r="3090" spans="1:2" x14ac:dyDescent="0.2">
      <c r="A3090" s="41">
        <v>43260</v>
      </c>
      <c r="B3090" s="42">
        <v>101.36</v>
      </c>
    </row>
    <row r="3091" spans="1:2" x14ac:dyDescent="0.2">
      <c r="A3091" s="41">
        <v>43290</v>
      </c>
      <c r="B3091" s="42">
        <v>102.38</v>
      </c>
    </row>
    <row r="3092" spans="1:2" x14ac:dyDescent="0.2">
      <c r="A3092" s="41">
        <v>43382</v>
      </c>
      <c r="B3092" s="42">
        <v>100.38</v>
      </c>
    </row>
    <row r="3093" spans="1:2" x14ac:dyDescent="0.2">
      <c r="A3093" s="41">
        <v>43413</v>
      </c>
      <c r="B3093" s="42">
        <v>96.44</v>
      </c>
    </row>
    <row r="3094" spans="1:2" x14ac:dyDescent="0.2">
      <c r="A3094" s="41">
        <v>43443</v>
      </c>
      <c r="B3094" s="42">
        <v>97.24</v>
      </c>
    </row>
    <row r="3095" spans="1:2" x14ac:dyDescent="0.2">
      <c r="A3095" s="40" t="s">
        <v>1919</v>
      </c>
      <c r="B3095" s="42">
        <v>91.06</v>
      </c>
    </row>
    <row r="3096" spans="1:2" x14ac:dyDescent="0.2">
      <c r="A3096" s="40" t="s">
        <v>1920</v>
      </c>
      <c r="B3096" s="42">
        <v>88.07</v>
      </c>
    </row>
    <row r="3097" spans="1:2" x14ac:dyDescent="0.2">
      <c r="A3097" s="40" t="s">
        <v>1921</v>
      </c>
      <c r="B3097" s="42">
        <v>96.34</v>
      </c>
    </row>
    <row r="3098" spans="1:2" x14ac:dyDescent="0.2">
      <c r="A3098" s="40" t="s">
        <v>1922</v>
      </c>
      <c r="B3098" s="42">
        <v>92.49</v>
      </c>
    </row>
    <row r="3099" spans="1:2" x14ac:dyDescent="0.2">
      <c r="A3099" s="40" t="s">
        <v>1923</v>
      </c>
      <c r="B3099" s="42">
        <v>88.18</v>
      </c>
    </row>
    <row r="3100" spans="1:2" x14ac:dyDescent="0.2">
      <c r="A3100" s="40" t="s">
        <v>1924</v>
      </c>
      <c r="B3100" s="42">
        <v>87.31</v>
      </c>
    </row>
    <row r="3101" spans="1:2" x14ac:dyDescent="0.2">
      <c r="A3101" s="40" t="s">
        <v>1925</v>
      </c>
      <c r="B3101" s="42">
        <v>90.2</v>
      </c>
    </row>
    <row r="3102" spans="1:2" x14ac:dyDescent="0.2">
      <c r="A3102" s="40" t="s">
        <v>1926</v>
      </c>
      <c r="B3102" s="42">
        <v>91.51</v>
      </c>
    </row>
    <row r="3103" spans="1:2" x14ac:dyDescent="0.2">
      <c r="A3103" s="40" t="s">
        <v>1927</v>
      </c>
      <c r="B3103" s="42">
        <v>91.07</v>
      </c>
    </row>
    <row r="3104" spans="1:2" x14ac:dyDescent="0.2">
      <c r="A3104" s="40" t="s">
        <v>1928</v>
      </c>
      <c r="B3104" s="42">
        <v>91.56</v>
      </c>
    </row>
    <row r="3105" spans="1:2" x14ac:dyDescent="0.2">
      <c r="A3105" s="40" t="s">
        <v>1929</v>
      </c>
      <c r="B3105" s="42">
        <v>87.66</v>
      </c>
    </row>
    <row r="3106" spans="1:2" x14ac:dyDescent="0.2">
      <c r="A3106" s="40" t="s">
        <v>1930</v>
      </c>
      <c r="B3106" s="42">
        <v>87.31</v>
      </c>
    </row>
    <row r="3107" spans="1:2" x14ac:dyDescent="0.2">
      <c r="A3107" s="41">
        <v>43110</v>
      </c>
      <c r="B3107" s="42">
        <v>86.97</v>
      </c>
    </row>
    <row r="3108" spans="1:2" x14ac:dyDescent="0.2">
      <c r="A3108" s="41">
        <v>43141</v>
      </c>
      <c r="B3108" s="42">
        <v>88.12</v>
      </c>
    </row>
    <row r="3109" spans="1:2" x14ac:dyDescent="0.2">
      <c r="A3109" s="41">
        <v>43169</v>
      </c>
      <c r="B3109" s="42">
        <v>85.8</v>
      </c>
    </row>
    <row r="3110" spans="1:2" x14ac:dyDescent="0.2">
      <c r="A3110" s="41">
        <v>43200</v>
      </c>
      <c r="B3110" s="42">
        <v>99.44</v>
      </c>
    </row>
    <row r="3111" spans="1:2" x14ac:dyDescent="0.2">
      <c r="A3111" s="41">
        <v>43230</v>
      </c>
      <c r="B3111" s="42">
        <v>102.63</v>
      </c>
    </row>
    <row r="3112" spans="1:2" x14ac:dyDescent="0.2">
      <c r="A3112" s="41">
        <v>43322</v>
      </c>
      <c r="B3112" s="42">
        <v>102.74</v>
      </c>
    </row>
    <row r="3113" spans="1:2" x14ac:dyDescent="0.2">
      <c r="A3113" s="41">
        <v>43353</v>
      </c>
      <c r="B3113" s="42">
        <v>103.92</v>
      </c>
    </row>
    <row r="3114" spans="1:2" x14ac:dyDescent="0.2">
      <c r="A3114" s="41">
        <v>43383</v>
      </c>
      <c r="B3114" s="42">
        <v>135.61000000000001</v>
      </c>
    </row>
    <row r="3115" spans="1:2" x14ac:dyDescent="0.2">
      <c r="A3115" s="41">
        <v>43414</v>
      </c>
      <c r="B3115" s="42">
        <v>129.30000000000001</v>
      </c>
    </row>
    <row r="3116" spans="1:2" x14ac:dyDescent="0.2">
      <c r="A3116" s="41">
        <v>43444</v>
      </c>
      <c r="B3116" s="42">
        <v>124.81</v>
      </c>
    </row>
    <row r="3117" spans="1:2" x14ac:dyDescent="0.2">
      <c r="A3117" s="40" t="s">
        <v>1931</v>
      </c>
      <c r="B3117" s="42">
        <v>118.78</v>
      </c>
    </row>
    <row r="3118" spans="1:2" x14ac:dyDescent="0.2">
      <c r="A3118" s="40" t="s">
        <v>1932</v>
      </c>
      <c r="B3118" s="42">
        <v>111.78</v>
      </c>
    </row>
    <row r="3119" spans="1:2" x14ac:dyDescent="0.2">
      <c r="A3119" s="40" t="s">
        <v>1933</v>
      </c>
      <c r="B3119" s="42">
        <v>109.28</v>
      </c>
    </row>
    <row r="3120" spans="1:2" x14ac:dyDescent="0.2">
      <c r="A3120" s="40" t="s">
        <v>1934</v>
      </c>
      <c r="B3120" s="42">
        <v>116.82</v>
      </c>
    </row>
    <row r="3121" spans="1:2" x14ac:dyDescent="0.2">
      <c r="A3121" s="40" t="s">
        <v>1935</v>
      </c>
      <c r="B3121" s="42">
        <v>114.95</v>
      </c>
    </row>
    <row r="3122" spans="1:2" x14ac:dyDescent="0.2">
      <c r="A3122" s="40" t="s">
        <v>1936</v>
      </c>
      <c r="B3122" s="42">
        <v>112.15</v>
      </c>
    </row>
    <row r="3123" spans="1:2" x14ac:dyDescent="0.2">
      <c r="A3123" s="40" t="s">
        <v>1937</v>
      </c>
      <c r="B3123" s="42">
        <v>108.71</v>
      </c>
    </row>
    <row r="3124" spans="1:2" x14ac:dyDescent="0.2">
      <c r="A3124" s="40" t="s">
        <v>1938</v>
      </c>
      <c r="B3124" s="42">
        <v>118.58</v>
      </c>
    </row>
    <row r="3125" spans="1:2" x14ac:dyDescent="0.2">
      <c r="A3125" s="40" t="s">
        <v>1939</v>
      </c>
      <c r="B3125" s="42">
        <v>113.91</v>
      </c>
    </row>
    <row r="3126" spans="1:2" x14ac:dyDescent="0.2">
      <c r="A3126" s="40" t="s">
        <v>1940</v>
      </c>
      <c r="B3126" s="42">
        <v>110.49</v>
      </c>
    </row>
    <row r="3127" spans="1:2" x14ac:dyDescent="0.2">
      <c r="A3127" s="40" t="s">
        <v>1941</v>
      </c>
      <c r="B3127" s="42">
        <v>110.39</v>
      </c>
    </row>
    <row r="3128" spans="1:2" x14ac:dyDescent="0.2">
      <c r="A3128" s="40" t="s">
        <v>1942</v>
      </c>
      <c r="B3128" s="42">
        <v>106.08</v>
      </c>
    </row>
    <row r="3129" spans="1:2" x14ac:dyDescent="0.2">
      <c r="A3129" s="40" t="s">
        <v>1943</v>
      </c>
      <c r="B3129" s="42">
        <v>102.9</v>
      </c>
    </row>
    <row r="3130" spans="1:2" x14ac:dyDescent="0.2">
      <c r="A3130" s="41">
        <v>43111</v>
      </c>
      <c r="B3130" s="42">
        <v>99.57</v>
      </c>
    </row>
    <row r="3131" spans="1:2" x14ac:dyDescent="0.2">
      <c r="A3131" s="41">
        <v>43142</v>
      </c>
      <c r="B3131" s="42">
        <v>102.38</v>
      </c>
    </row>
    <row r="3132" spans="1:2" x14ac:dyDescent="0.2">
      <c r="A3132" s="41">
        <v>43231</v>
      </c>
      <c r="B3132" s="42">
        <v>101.83</v>
      </c>
    </row>
    <row r="3133" spans="1:2" x14ac:dyDescent="0.2">
      <c r="A3133" s="41">
        <v>43262</v>
      </c>
      <c r="B3133" s="42">
        <v>102.48</v>
      </c>
    </row>
    <row r="3134" spans="1:2" x14ac:dyDescent="0.2">
      <c r="A3134" s="41">
        <v>43292</v>
      </c>
      <c r="B3134" s="42">
        <v>95.75</v>
      </c>
    </row>
    <row r="3135" spans="1:2" x14ac:dyDescent="0.2">
      <c r="A3135" s="41">
        <v>43323</v>
      </c>
      <c r="B3135" s="42">
        <v>95.4</v>
      </c>
    </row>
    <row r="3136" spans="1:2" x14ac:dyDescent="0.2">
      <c r="A3136" s="41">
        <v>43354</v>
      </c>
      <c r="B3136" s="42">
        <v>100.55</v>
      </c>
    </row>
    <row r="3137" spans="1:2" x14ac:dyDescent="0.2">
      <c r="A3137" s="41">
        <v>43445</v>
      </c>
      <c r="B3137" s="42">
        <v>107.77</v>
      </c>
    </row>
    <row r="3138" spans="1:2" x14ac:dyDescent="0.2">
      <c r="A3138" s="40" t="s">
        <v>1944</v>
      </c>
      <c r="B3138" s="42">
        <v>105.32</v>
      </c>
    </row>
    <row r="3139" spans="1:2" x14ac:dyDescent="0.2">
      <c r="A3139" s="40" t="s">
        <v>1945</v>
      </c>
      <c r="B3139" s="42">
        <v>111.42</v>
      </c>
    </row>
    <row r="3140" spans="1:2" x14ac:dyDescent="0.2">
      <c r="A3140" s="40" t="s">
        <v>1946</v>
      </c>
      <c r="B3140" s="42">
        <v>107.38</v>
      </c>
    </row>
    <row r="3141" spans="1:2" x14ac:dyDescent="0.2">
      <c r="A3141" s="40" t="s">
        <v>1947</v>
      </c>
      <c r="B3141" s="42">
        <v>101.93</v>
      </c>
    </row>
    <row r="3142" spans="1:2" x14ac:dyDescent="0.2">
      <c r="A3142" s="40" t="s">
        <v>1948</v>
      </c>
      <c r="B3142" s="42">
        <v>107.13</v>
      </c>
    </row>
    <row r="3143" spans="1:2" x14ac:dyDescent="0.2">
      <c r="A3143" s="40" t="s">
        <v>1949</v>
      </c>
      <c r="B3143" s="42">
        <v>107.61</v>
      </c>
    </row>
    <row r="3144" spans="1:2" x14ac:dyDescent="0.2">
      <c r="A3144" s="40" t="s">
        <v>1950</v>
      </c>
      <c r="B3144" s="42">
        <v>100.27</v>
      </c>
    </row>
    <row r="3145" spans="1:2" x14ac:dyDescent="0.2">
      <c r="A3145" s="40" t="s">
        <v>1951</v>
      </c>
      <c r="B3145" s="42">
        <v>99.29</v>
      </c>
    </row>
    <row r="3146" spans="1:2" x14ac:dyDescent="0.2">
      <c r="A3146" s="40" t="s">
        <v>1952</v>
      </c>
      <c r="B3146" s="42">
        <v>92.17</v>
      </c>
    </row>
    <row r="3147" spans="1:2" x14ac:dyDescent="0.2">
      <c r="A3147" s="40" t="s">
        <v>1953</v>
      </c>
      <c r="B3147" s="42">
        <v>91.54</v>
      </c>
    </row>
    <row r="3148" spans="1:2" x14ac:dyDescent="0.2">
      <c r="A3148" s="40" t="s">
        <v>1954</v>
      </c>
      <c r="B3148" s="42">
        <v>93.55</v>
      </c>
    </row>
    <row r="3149" spans="1:2" x14ac:dyDescent="0.2">
      <c r="A3149" s="40" t="s">
        <v>1955</v>
      </c>
      <c r="B3149" s="42">
        <v>93.36</v>
      </c>
    </row>
    <row r="3150" spans="1:2" x14ac:dyDescent="0.2">
      <c r="A3150" s="40" t="s">
        <v>1956</v>
      </c>
      <c r="B3150" s="42">
        <v>93.59</v>
      </c>
    </row>
    <row r="3151" spans="1:2" x14ac:dyDescent="0.2">
      <c r="A3151" s="41">
        <v>43171</v>
      </c>
      <c r="B3151" s="42">
        <v>85.87</v>
      </c>
    </row>
    <row r="3152" spans="1:2" x14ac:dyDescent="0.2">
      <c r="A3152" s="41">
        <v>43202</v>
      </c>
      <c r="B3152" s="42">
        <v>96.57</v>
      </c>
    </row>
    <row r="3153" spans="1:2" x14ac:dyDescent="0.2">
      <c r="A3153" s="41">
        <v>43263</v>
      </c>
      <c r="B3153" s="42">
        <v>93.85</v>
      </c>
    </row>
    <row r="3154" spans="1:2" x14ac:dyDescent="0.2">
      <c r="A3154" s="41">
        <v>43293</v>
      </c>
      <c r="B3154" s="42">
        <v>96.49</v>
      </c>
    </row>
    <row r="3155" spans="1:2" x14ac:dyDescent="0.2">
      <c r="A3155" s="41">
        <v>43385</v>
      </c>
      <c r="B3155" s="42">
        <v>91.78</v>
      </c>
    </row>
    <row r="3156" spans="1:2" x14ac:dyDescent="0.2">
      <c r="A3156" s="41">
        <v>43416</v>
      </c>
      <c r="B3156" s="42">
        <v>89.77</v>
      </c>
    </row>
    <row r="3157" spans="1:2" x14ac:dyDescent="0.2">
      <c r="A3157" s="41">
        <v>43446</v>
      </c>
      <c r="B3157" s="42">
        <v>91.41</v>
      </c>
    </row>
    <row r="3158" spans="1:2" x14ac:dyDescent="0.2">
      <c r="A3158" s="40" t="s">
        <v>1957</v>
      </c>
      <c r="B3158" s="42">
        <v>93</v>
      </c>
    </row>
    <row r="3159" spans="1:2" x14ac:dyDescent="0.2">
      <c r="A3159" s="40" t="s">
        <v>1958</v>
      </c>
      <c r="B3159" s="42">
        <v>96.45</v>
      </c>
    </row>
    <row r="3160" spans="1:2" x14ac:dyDescent="0.2">
      <c r="A3160" s="40" t="s">
        <v>1959</v>
      </c>
      <c r="B3160" s="42">
        <v>101.55</v>
      </c>
    </row>
    <row r="3161" spans="1:2" x14ac:dyDescent="0.2">
      <c r="A3161" s="40" t="s">
        <v>1960</v>
      </c>
      <c r="B3161" s="42">
        <v>103.64</v>
      </c>
    </row>
    <row r="3162" spans="1:2" x14ac:dyDescent="0.2">
      <c r="A3162" s="40" t="s">
        <v>1961</v>
      </c>
      <c r="B3162" s="42">
        <v>105.05</v>
      </c>
    </row>
    <row r="3163" spans="1:2" x14ac:dyDescent="0.2">
      <c r="A3163" s="40" t="s">
        <v>1962</v>
      </c>
      <c r="B3163" s="42">
        <v>109.65</v>
      </c>
    </row>
    <row r="3164" spans="1:2" x14ac:dyDescent="0.2">
      <c r="A3164" s="40" t="s">
        <v>1963</v>
      </c>
      <c r="B3164" s="42">
        <v>106.61</v>
      </c>
    </row>
    <row r="3165" spans="1:2" x14ac:dyDescent="0.2">
      <c r="A3165" s="40" t="s">
        <v>1964</v>
      </c>
      <c r="B3165" s="42">
        <v>111.88</v>
      </c>
    </row>
    <row r="3166" spans="1:2" x14ac:dyDescent="0.2">
      <c r="A3166" s="40" t="s">
        <v>1965</v>
      </c>
      <c r="B3166" s="42">
        <v>97.32</v>
      </c>
    </row>
    <row r="3167" spans="1:2" x14ac:dyDescent="0.2">
      <c r="A3167" s="40" t="s">
        <v>1966</v>
      </c>
      <c r="B3167" s="42">
        <v>95.89</v>
      </c>
    </row>
    <row r="3168" spans="1:2" x14ac:dyDescent="0.2">
      <c r="A3168" s="40" t="s">
        <v>1967</v>
      </c>
      <c r="B3168" s="42">
        <v>91.24</v>
      </c>
    </row>
    <row r="3169" spans="1:2" x14ac:dyDescent="0.2">
      <c r="A3169" s="40" t="s">
        <v>1968</v>
      </c>
      <c r="B3169" s="42">
        <v>87.11</v>
      </c>
    </row>
    <row r="3170" spans="1:2" x14ac:dyDescent="0.2">
      <c r="A3170" s="41">
        <v>43497</v>
      </c>
      <c r="B3170" s="42">
        <v>81.66</v>
      </c>
    </row>
    <row r="3171" spans="1:2" x14ac:dyDescent="0.2">
      <c r="A3171" s="41">
        <v>43525</v>
      </c>
      <c r="B3171" s="42">
        <v>83.8</v>
      </c>
    </row>
    <row r="3172" spans="1:2" x14ac:dyDescent="0.2">
      <c r="A3172" s="41">
        <v>43556</v>
      </c>
      <c r="B3172" s="42">
        <v>84.44</v>
      </c>
    </row>
    <row r="3173" spans="1:2" x14ac:dyDescent="0.2">
      <c r="A3173" s="41">
        <v>43647</v>
      </c>
      <c r="B3173" s="42">
        <v>82.74</v>
      </c>
    </row>
    <row r="3174" spans="1:2" x14ac:dyDescent="0.2">
      <c r="A3174" s="41">
        <v>43678</v>
      </c>
      <c r="B3174" s="42">
        <v>82.41</v>
      </c>
    </row>
    <row r="3175" spans="1:2" x14ac:dyDescent="0.2">
      <c r="A3175" s="41">
        <v>43709</v>
      </c>
      <c r="B3175" s="42">
        <v>86.62</v>
      </c>
    </row>
    <row r="3176" spans="1:2" x14ac:dyDescent="0.2">
      <c r="A3176" s="41">
        <v>43739</v>
      </c>
      <c r="B3176" s="42">
        <v>86.35</v>
      </c>
    </row>
    <row r="3177" spans="1:2" x14ac:dyDescent="0.2">
      <c r="A3177" s="41">
        <v>43770</v>
      </c>
      <c r="B3177" s="42">
        <v>83.85</v>
      </c>
    </row>
    <row r="3178" spans="1:2" x14ac:dyDescent="0.2">
      <c r="A3178" s="40" t="s">
        <v>1969</v>
      </c>
      <c r="B3178" s="42">
        <v>83.01</v>
      </c>
    </row>
    <row r="3179" spans="1:2" x14ac:dyDescent="0.2">
      <c r="A3179" s="40" t="s">
        <v>1970</v>
      </c>
      <c r="B3179" s="42">
        <v>81.39</v>
      </c>
    </row>
    <row r="3180" spans="1:2" x14ac:dyDescent="0.2">
      <c r="A3180" s="40" t="s">
        <v>1971</v>
      </c>
      <c r="B3180" s="42">
        <v>83.34</v>
      </c>
    </row>
    <row r="3181" spans="1:2" x14ac:dyDescent="0.2">
      <c r="A3181" s="40" t="s">
        <v>1972</v>
      </c>
      <c r="B3181" s="42">
        <v>82.79</v>
      </c>
    </row>
    <row r="3182" spans="1:2" x14ac:dyDescent="0.2">
      <c r="A3182" s="40" t="s">
        <v>1973</v>
      </c>
      <c r="B3182" s="42">
        <v>82.49</v>
      </c>
    </row>
    <row r="3183" spans="1:2" x14ac:dyDescent="0.2">
      <c r="A3183" s="40" t="s">
        <v>1974</v>
      </c>
      <c r="B3183" s="42">
        <v>93.81</v>
      </c>
    </row>
    <row r="3184" spans="1:2" x14ac:dyDescent="0.2">
      <c r="A3184" s="40" t="s">
        <v>1975</v>
      </c>
      <c r="B3184" s="42">
        <v>88.45</v>
      </c>
    </row>
    <row r="3185" spans="1:2" x14ac:dyDescent="0.2">
      <c r="A3185" s="40" t="s">
        <v>1976</v>
      </c>
      <c r="B3185" s="42">
        <v>84.89</v>
      </c>
    </row>
    <row r="3186" spans="1:2" x14ac:dyDescent="0.2">
      <c r="A3186" s="40" t="s">
        <v>1977</v>
      </c>
      <c r="B3186" s="42">
        <v>83.38</v>
      </c>
    </row>
    <row r="3187" spans="1:2" x14ac:dyDescent="0.2">
      <c r="A3187" s="40" t="s">
        <v>1978</v>
      </c>
      <c r="B3187" s="42">
        <v>86.44</v>
      </c>
    </row>
    <row r="3188" spans="1:2" x14ac:dyDescent="0.2">
      <c r="A3188" s="40" t="s">
        <v>1979</v>
      </c>
      <c r="B3188" s="42">
        <v>86.84</v>
      </c>
    </row>
    <row r="3189" spans="1:2" x14ac:dyDescent="0.2">
      <c r="A3189" s="40" t="s">
        <v>1980</v>
      </c>
      <c r="B3189" s="42">
        <v>82.39</v>
      </c>
    </row>
    <row r="3190" spans="1:2" x14ac:dyDescent="0.2">
      <c r="A3190" s="40" t="s">
        <v>1981</v>
      </c>
      <c r="B3190" s="42">
        <v>79.239999999999995</v>
      </c>
    </row>
    <row r="3191" spans="1:2" x14ac:dyDescent="0.2">
      <c r="A3191" s="41">
        <v>43467</v>
      </c>
      <c r="B3191" s="42">
        <v>80</v>
      </c>
    </row>
    <row r="3192" spans="1:2" x14ac:dyDescent="0.2">
      <c r="A3192" s="41">
        <v>43557</v>
      </c>
      <c r="B3192" s="42">
        <v>77.36</v>
      </c>
    </row>
    <row r="3193" spans="1:2" x14ac:dyDescent="0.2">
      <c r="A3193" s="41">
        <v>43587</v>
      </c>
      <c r="B3193" s="42">
        <v>80.62</v>
      </c>
    </row>
    <row r="3194" spans="1:2" x14ac:dyDescent="0.2">
      <c r="A3194" s="41">
        <v>43618</v>
      </c>
      <c r="B3194" s="42">
        <v>84.99</v>
      </c>
    </row>
    <row r="3195" spans="1:2" x14ac:dyDescent="0.2">
      <c r="A3195" s="41">
        <v>43648</v>
      </c>
      <c r="B3195" s="42">
        <v>85.01</v>
      </c>
    </row>
    <row r="3196" spans="1:2" x14ac:dyDescent="0.2">
      <c r="A3196" s="41">
        <v>43679</v>
      </c>
      <c r="B3196" s="42">
        <v>82.7</v>
      </c>
    </row>
    <row r="3197" spans="1:2" x14ac:dyDescent="0.2">
      <c r="A3197" s="41">
        <v>43771</v>
      </c>
      <c r="B3197" s="42">
        <v>82.77</v>
      </c>
    </row>
    <row r="3198" spans="1:2" x14ac:dyDescent="0.2">
      <c r="A3198" s="41">
        <v>43801</v>
      </c>
      <c r="B3198" s="42">
        <v>81.63</v>
      </c>
    </row>
    <row r="3199" spans="1:2" x14ac:dyDescent="0.2">
      <c r="A3199" s="40" t="s">
        <v>1982</v>
      </c>
      <c r="B3199" s="42">
        <v>80.27</v>
      </c>
    </row>
    <row r="3200" spans="1:2" x14ac:dyDescent="0.2">
      <c r="A3200" s="40" t="s">
        <v>1983</v>
      </c>
      <c r="B3200" s="42">
        <v>81.64</v>
      </c>
    </row>
    <row r="3201" spans="1:2" x14ac:dyDescent="0.2">
      <c r="A3201" s="40" t="s">
        <v>1984</v>
      </c>
      <c r="B3201" s="42">
        <v>80.45</v>
      </c>
    </row>
    <row r="3202" spans="1:2" x14ac:dyDescent="0.2">
      <c r="A3202" s="40" t="s">
        <v>1985</v>
      </c>
      <c r="B3202" s="42">
        <v>78.64</v>
      </c>
    </row>
    <row r="3203" spans="1:2" x14ac:dyDescent="0.2">
      <c r="A3203" s="40" t="s">
        <v>1986</v>
      </c>
      <c r="B3203" s="42">
        <v>75.59</v>
      </c>
    </row>
    <row r="3204" spans="1:2" x14ac:dyDescent="0.2">
      <c r="A3204" s="40" t="s">
        <v>1987</v>
      </c>
      <c r="B3204" s="42">
        <v>76.64</v>
      </c>
    </row>
    <row r="3205" spans="1:2" x14ac:dyDescent="0.2">
      <c r="A3205" s="40" t="s">
        <v>1988</v>
      </c>
      <c r="B3205" s="42">
        <v>74.98</v>
      </c>
    </row>
    <row r="3206" spans="1:2" x14ac:dyDescent="0.2">
      <c r="A3206" s="40" t="s">
        <v>1989</v>
      </c>
      <c r="B3206" s="42">
        <v>79.349999999999994</v>
      </c>
    </row>
    <row r="3207" spans="1:2" x14ac:dyDescent="0.2">
      <c r="A3207" s="40" t="s">
        <v>1990</v>
      </c>
      <c r="B3207" s="42">
        <v>80.53</v>
      </c>
    </row>
    <row r="3208" spans="1:2" x14ac:dyDescent="0.2">
      <c r="A3208" s="40" t="s">
        <v>1991</v>
      </c>
      <c r="B3208" s="42">
        <v>80.37</v>
      </c>
    </row>
    <row r="3209" spans="1:2" x14ac:dyDescent="0.2">
      <c r="A3209" s="40" t="s">
        <v>1992</v>
      </c>
      <c r="B3209" s="42">
        <v>80</v>
      </c>
    </row>
    <row r="3210" spans="1:2" x14ac:dyDescent="0.2">
      <c r="A3210" s="41">
        <v>43468</v>
      </c>
      <c r="B3210" s="42">
        <v>79.27</v>
      </c>
    </row>
    <row r="3211" spans="1:2" x14ac:dyDescent="0.2">
      <c r="A3211" s="41">
        <v>43558</v>
      </c>
      <c r="B3211" s="42">
        <v>82.34</v>
      </c>
    </row>
    <row r="3212" spans="1:2" x14ac:dyDescent="0.2">
      <c r="A3212" s="41">
        <v>43588</v>
      </c>
      <c r="B3212" s="42">
        <v>82.46</v>
      </c>
    </row>
    <row r="3213" spans="1:2" x14ac:dyDescent="0.2">
      <c r="A3213" s="41">
        <v>43619</v>
      </c>
      <c r="B3213" s="42">
        <v>86.1</v>
      </c>
    </row>
    <row r="3214" spans="1:2" x14ac:dyDescent="0.2">
      <c r="A3214" s="41">
        <v>43649</v>
      </c>
      <c r="B3214" s="42">
        <v>88.7</v>
      </c>
    </row>
    <row r="3215" spans="1:2" x14ac:dyDescent="0.2">
      <c r="A3215" s="41">
        <v>43680</v>
      </c>
      <c r="B3215" s="42">
        <v>87.24</v>
      </c>
    </row>
    <row r="3216" spans="1:2" x14ac:dyDescent="0.2">
      <c r="A3216" s="41">
        <v>43772</v>
      </c>
      <c r="B3216" s="42">
        <v>81.23</v>
      </c>
    </row>
    <row r="3217" spans="1:2" x14ac:dyDescent="0.2">
      <c r="A3217" s="41">
        <v>43802</v>
      </c>
      <c r="B3217" s="42">
        <v>83.06</v>
      </c>
    </row>
    <row r="3218" spans="1:2" x14ac:dyDescent="0.2">
      <c r="A3218" s="40" t="s">
        <v>1993</v>
      </c>
      <c r="B3218" s="42">
        <v>82.76</v>
      </c>
    </row>
    <row r="3219" spans="1:2" x14ac:dyDescent="0.2">
      <c r="A3219" s="40" t="s">
        <v>1994</v>
      </c>
      <c r="B3219" s="42">
        <v>82.56</v>
      </c>
    </row>
    <row r="3220" spans="1:2" x14ac:dyDescent="0.2">
      <c r="A3220" s="40" t="s">
        <v>1995</v>
      </c>
      <c r="B3220" s="42">
        <v>82.94</v>
      </c>
    </row>
    <row r="3221" spans="1:2" x14ac:dyDescent="0.2">
      <c r="A3221" s="40" t="s">
        <v>1996</v>
      </c>
      <c r="B3221" s="42">
        <v>85.52</v>
      </c>
    </row>
    <row r="3222" spans="1:2" x14ac:dyDescent="0.2">
      <c r="A3222" s="40" t="s">
        <v>1997</v>
      </c>
      <c r="B3222" s="42">
        <v>87.36</v>
      </c>
    </row>
    <row r="3223" spans="1:2" x14ac:dyDescent="0.2">
      <c r="A3223" s="40" t="s">
        <v>1998</v>
      </c>
      <c r="B3223" s="42">
        <v>86.63</v>
      </c>
    </row>
    <row r="3224" spans="1:2" x14ac:dyDescent="0.2">
      <c r="A3224" s="40" t="s">
        <v>1999</v>
      </c>
      <c r="B3224" s="42">
        <v>83.89</v>
      </c>
    </row>
    <row r="3225" spans="1:2" x14ac:dyDescent="0.2">
      <c r="A3225" s="40" t="s">
        <v>2000</v>
      </c>
      <c r="B3225" s="42">
        <v>98.5</v>
      </c>
    </row>
    <row r="3226" spans="1:2" x14ac:dyDescent="0.2">
      <c r="A3226" s="40" t="s">
        <v>2001</v>
      </c>
      <c r="B3226" s="42">
        <v>97.2</v>
      </c>
    </row>
    <row r="3227" spans="1:2" x14ac:dyDescent="0.2">
      <c r="A3227" s="40" t="s">
        <v>2002</v>
      </c>
      <c r="B3227" s="42">
        <v>89.85</v>
      </c>
    </row>
    <row r="3228" spans="1:2" x14ac:dyDescent="0.2">
      <c r="A3228" s="40" t="s">
        <v>2003</v>
      </c>
      <c r="B3228" s="42">
        <v>91.34</v>
      </c>
    </row>
    <row r="3229" spans="1:2" x14ac:dyDescent="0.2">
      <c r="A3229" s="40" t="s">
        <v>2004</v>
      </c>
      <c r="B3229" s="42">
        <v>87.95</v>
      </c>
    </row>
    <row r="3230" spans="1:2" x14ac:dyDescent="0.2">
      <c r="A3230" s="40" t="s">
        <v>2005</v>
      </c>
      <c r="B3230" s="42">
        <v>85.82</v>
      </c>
    </row>
    <row r="3231" spans="1:2" x14ac:dyDescent="0.2">
      <c r="A3231" s="41">
        <v>43469</v>
      </c>
      <c r="B3231" s="42">
        <v>84.93</v>
      </c>
    </row>
    <row r="3232" spans="1:2" x14ac:dyDescent="0.2">
      <c r="A3232" s="41">
        <v>43500</v>
      </c>
      <c r="B3232" s="42">
        <v>83.28</v>
      </c>
    </row>
    <row r="3233" spans="1:2" x14ac:dyDescent="0.2">
      <c r="A3233" s="41">
        <v>43528</v>
      </c>
      <c r="B3233" s="42">
        <v>84.23</v>
      </c>
    </row>
    <row r="3234" spans="1:2" x14ac:dyDescent="0.2">
      <c r="A3234" s="41">
        <v>43559</v>
      </c>
      <c r="B3234" s="42">
        <v>82.15</v>
      </c>
    </row>
    <row r="3235" spans="1:2" x14ac:dyDescent="0.2">
      <c r="A3235" s="41">
        <v>43589</v>
      </c>
      <c r="B3235" s="42">
        <v>79.099999999999994</v>
      </c>
    </row>
    <row r="3236" spans="1:2" x14ac:dyDescent="0.2">
      <c r="A3236" s="41">
        <v>43681</v>
      </c>
      <c r="B3236" s="42">
        <v>81.86</v>
      </c>
    </row>
    <row r="3237" spans="1:2" x14ac:dyDescent="0.2">
      <c r="A3237" s="41">
        <v>43712</v>
      </c>
      <c r="B3237" s="42">
        <v>88.14</v>
      </c>
    </row>
    <row r="3238" spans="1:2" x14ac:dyDescent="0.2">
      <c r="A3238" s="41">
        <v>43742</v>
      </c>
      <c r="B3238" s="42">
        <v>89.49</v>
      </c>
    </row>
    <row r="3239" spans="1:2" x14ac:dyDescent="0.2">
      <c r="A3239" s="41">
        <v>43773</v>
      </c>
      <c r="B3239" s="42">
        <v>88.06</v>
      </c>
    </row>
    <row r="3240" spans="1:2" x14ac:dyDescent="0.2">
      <c r="A3240" s="41">
        <v>43803</v>
      </c>
      <c r="B3240" s="42">
        <v>84.98</v>
      </c>
    </row>
    <row r="3241" spans="1:2" x14ac:dyDescent="0.2">
      <c r="A3241" s="40" t="s">
        <v>2006</v>
      </c>
      <c r="B3241" s="42">
        <v>84.17</v>
      </c>
    </row>
    <row r="3242" spans="1:2" x14ac:dyDescent="0.2">
      <c r="A3242" s="40" t="s">
        <v>2007</v>
      </c>
      <c r="B3242" s="42">
        <v>83.58</v>
      </c>
    </row>
    <row r="3243" spans="1:2" x14ac:dyDescent="0.2">
      <c r="A3243" s="40" t="s">
        <v>2008</v>
      </c>
      <c r="B3243" s="42">
        <v>85.55</v>
      </c>
    </row>
    <row r="3244" spans="1:2" x14ac:dyDescent="0.2">
      <c r="A3244" s="40" t="s">
        <v>2009</v>
      </c>
      <c r="B3244" s="42">
        <v>84.41</v>
      </c>
    </row>
    <row r="3245" spans="1:2" x14ac:dyDescent="0.2">
      <c r="A3245" s="40" t="s">
        <v>2010</v>
      </c>
      <c r="B3245" s="42">
        <v>83.27</v>
      </c>
    </row>
    <row r="3246" spans="1:2" x14ac:dyDescent="0.2">
      <c r="A3246" s="40" t="s">
        <v>2011</v>
      </c>
      <c r="B3246" s="42">
        <v>81.430000000000007</v>
      </c>
    </row>
    <row r="3247" spans="1:2" x14ac:dyDescent="0.2">
      <c r="A3247" s="40" t="s">
        <v>2012</v>
      </c>
      <c r="B3247" s="42">
        <v>85.17</v>
      </c>
    </row>
    <row r="3248" spans="1:2" x14ac:dyDescent="0.2">
      <c r="A3248" s="40" t="s">
        <v>2013</v>
      </c>
      <c r="B3248" s="42">
        <v>86.94</v>
      </c>
    </row>
    <row r="3249" spans="1:2" x14ac:dyDescent="0.2">
      <c r="A3249" s="40" t="s">
        <v>2014</v>
      </c>
      <c r="B3249" s="42">
        <v>84.12</v>
      </c>
    </row>
    <row r="3250" spans="1:2" x14ac:dyDescent="0.2">
      <c r="A3250" s="40" t="s">
        <v>2015</v>
      </c>
      <c r="B3250" s="42">
        <v>86.08</v>
      </c>
    </row>
    <row r="3251" spans="1:2" x14ac:dyDescent="0.2">
      <c r="A3251" s="40" t="s">
        <v>2016</v>
      </c>
      <c r="B3251" s="42">
        <v>88.56</v>
      </c>
    </row>
    <row r="3252" spans="1:2" x14ac:dyDescent="0.2">
      <c r="A3252" s="41">
        <v>43470</v>
      </c>
      <c r="B3252" s="42">
        <v>95.75</v>
      </c>
    </row>
    <row r="3253" spans="1:2" x14ac:dyDescent="0.2">
      <c r="A3253" s="41">
        <v>43501</v>
      </c>
      <c r="B3253" s="42">
        <v>93.02</v>
      </c>
    </row>
    <row r="3254" spans="1:2" x14ac:dyDescent="0.2">
      <c r="A3254" s="41">
        <v>43529</v>
      </c>
      <c r="B3254" s="42">
        <v>86.23</v>
      </c>
    </row>
    <row r="3255" spans="1:2" x14ac:dyDescent="0.2">
      <c r="A3255" s="41">
        <v>43621</v>
      </c>
      <c r="B3255" s="42">
        <v>94.85</v>
      </c>
    </row>
    <row r="3256" spans="1:2" x14ac:dyDescent="0.2">
      <c r="A3256" s="41">
        <v>43651</v>
      </c>
      <c r="B3256" s="42">
        <v>111.54</v>
      </c>
    </row>
    <row r="3257" spans="1:2" x14ac:dyDescent="0.2">
      <c r="A3257" s="41">
        <v>43682</v>
      </c>
      <c r="B3257" s="42">
        <v>106.48</v>
      </c>
    </row>
    <row r="3258" spans="1:2" x14ac:dyDescent="0.2">
      <c r="A3258" s="41">
        <v>43713</v>
      </c>
      <c r="B3258" s="42">
        <v>102.92</v>
      </c>
    </row>
    <row r="3259" spans="1:2" x14ac:dyDescent="0.2">
      <c r="A3259" s="41">
        <v>43743</v>
      </c>
      <c r="B3259" s="42">
        <v>96.01</v>
      </c>
    </row>
    <row r="3260" spans="1:2" x14ac:dyDescent="0.2">
      <c r="A3260" s="40" t="s">
        <v>2017</v>
      </c>
      <c r="B3260" s="42">
        <v>105.6</v>
      </c>
    </row>
    <row r="3261" spans="1:2" x14ac:dyDescent="0.2">
      <c r="A3261" s="40" t="s">
        <v>2018</v>
      </c>
      <c r="B3261" s="42">
        <v>97.26</v>
      </c>
    </row>
    <row r="3262" spans="1:2" x14ac:dyDescent="0.2">
      <c r="A3262" s="40" t="s">
        <v>2019</v>
      </c>
      <c r="B3262" s="42">
        <v>94.53</v>
      </c>
    </row>
    <row r="3263" spans="1:2" x14ac:dyDescent="0.2">
      <c r="A3263" s="40" t="s">
        <v>2020</v>
      </c>
      <c r="B3263" s="42">
        <v>94.23</v>
      </c>
    </row>
    <row r="3264" spans="1:2" x14ac:dyDescent="0.2">
      <c r="A3264" s="40" t="s">
        <v>2021</v>
      </c>
      <c r="B3264" s="42">
        <v>99.12</v>
      </c>
    </row>
    <row r="3265" spans="1:2" x14ac:dyDescent="0.2">
      <c r="A3265" s="40" t="s">
        <v>2022</v>
      </c>
      <c r="B3265" s="42">
        <v>96.83</v>
      </c>
    </row>
    <row r="3266" spans="1:2" x14ac:dyDescent="0.2">
      <c r="A3266" s="40" t="s">
        <v>2023</v>
      </c>
      <c r="B3266" s="42">
        <v>92.38</v>
      </c>
    </row>
    <row r="3267" spans="1:2" x14ac:dyDescent="0.2">
      <c r="A3267" s="40" t="s">
        <v>2024</v>
      </c>
      <c r="B3267" s="42">
        <v>89.3</v>
      </c>
    </row>
    <row r="3268" spans="1:2" x14ac:dyDescent="0.2">
      <c r="A3268" s="40" t="s">
        <v>2025</v>
      </c>
      <c r="B3268" s="42">
        <v>94.98</v>
      </c>
    </row>
    <row r="3269" spans="1:2" x14ac:dyDescent="0.2">
      <c r="A3269" s="40" t="s">
        <v>2026</v>
      </c>
      <c r="B3269" s="42">
        <v>90.19</v>
      </c>
    </row>
    <row r="3270" spans="1:2" x14ac:dyDescent="0.2">
      <c r="A3270" s="40" t="s">
        <v>2027</v>
      </c>
      <c r="B3270" s="42">
        <v>95.08</v>
      </c>
    </row>
    <row r="3271" spans="1:2" x14ac:dyDescent="0.2">
      <c r="A3271" s="40" t="s">
        <v>2028</v>
      </c>
      <c r="B3271" s="42">
        <v>93.83</v>
      </c>
    </row>
    <row r="3272" spans="1:2" x14ac:dyDescent="0.2">
      <c r="A3272" s="40" t="s">
        <v>2029</v>
      </c>
      <c r="B3272" s="42">
        <v>92.78</v>
      </c>
    </row>
    <row r="3273" spans="1:2" x14ac:dyDescent="0.2">
      <c r="A3273" s="40" t="s">
        <v>2030</v>
      </c>
      <c r="B3273" s="42">
        <v>96.72</v>
      </c>
    </row>
    <row r="3274" spans="1:2" x14ac:dyDescent="0.2">
      <c r="A3274" s="41">
        <v>43530</v>
      </c>
      <c r="B3274" s="42">
        <v>96.03</v>
      </c>
    </row>
    <row r="3275" spans="1:2" x14ac:dyDescent="0.2">
      <c r="A3275" s="41">
        <v>43561</v>
      </c>
      <c r="B3275" s="42">
        <v>88.93</v>
      </c>
    </row>
    <row r="3276" spans="1:2" x14ac:dyDescent="0.2">
      <c r="A3276" s="41">
        <v>43591</v>
      </c>
      <c r="B3276" s="42">
        <v>86.72</v>
      </c>
    </row>
    <row r="3277" spans="1:2" x14ac:dyDescent="0.2">
      <c r="A3277" s="41">
        <v>43622</v>
      </c>
      <c r="B3277" s="42">
        <v>84.84</v>
      </c>
    </row>
    <row r="3278" spans="1:2" x14ac:dyDescent="0.2">
      <c r="A3278" s="41">
        <v>43652</v>
      </c>
      <c r="B3278" s="42">
        <v>86</v>
      </c>
    </row>
    <row r="3279" spans="1:2" x14ac:dyDescent="0.2">
      <c r="A3279" s="41">
        <v>43744</v>
      </c>
      <c r="B3279" s="42">
        <v>83.86</v>
      </c>
    </row>
    <row r="3280" spans="1:2" x14ac:dyDescent="0.2">
      <c r="A3280" s="41">
        <v>43775</v>
      </c>
      <c r="B3280" s="42">
        <v>84.95</v>
      </c>
    </row>
    <row r="3281" spans="1:2" x14ac:dyDescent="0.2">
      <c r="A3281" s="41">
        <v>43805</v>
      </c>
      <c r="B3281" s="42">
        <v>86.2</v>
      </c>
    </row>
    <row r="3282" spans="1:2" x14ac:dyDescent="0.2">
      <c r="A3282" s="40" t="s">
        <v>2031</v>
      </c>
      <c r="B3282" s="42">
        <v>84.73</v>
      </c>
    </row>
    <row r="3283" spans="1:2" x14ac:dyDescent="0.2">
      <c r="A3283" s="40" t="s">
        <v>2032</v>
      </c>
      <c r="B3283" s="42">
        <v>82.57</v>
      </c>
    </row>
    <row r="3284" spans="1:2" x14ac:dyDescent="0.2">
      <c r="A3284" s="40" t="s">
        <v>2033</v>
      </c>
      <c r="B3284" s="42">
        <v>83.48</v>
      </c>
    </row>
    <row r="3285" spans="1:2" x14ac:dyDescent="0.2">
      <c r="A3285" s="40" t="s">
        <v>2034</v>
      </c>
      <c r="B3285" s="42">
        <v>87.37</v>
      </c>
    </row>
    <row r="3286" spans="1:2" x14ac:dyDescent="0.2">
      <c r="A3286" s="40" t="s">
        <v>2035</v>
      </c>
      <c r="B3286" s="42">
        <v>84.58</v>
      </c>
    </row>
    <row r="3287" spans="1:2" x14ac:dyDescent="0.2">
      <c r="A3287" s="40" t="s">
        <v>2036</v>
      </c>
      <c r="B3287" s="42">
        <v>81.209999999999994</v>
      </c>
    </row>
    <row r="3288" spans="1:2" x14ac:dyDescent="0.2">
      <c r="A3288" s="40" t="s">
        <v>2037</v>
      </c>
      <c r="B3288" s="42">
        <v>83.14</v>
      </c>
    </row>
    <row r="3289" spans="1:2" x14ac:dyDescent="0.2">
      <c r="A3289" s="40" t="s">
        <v>2038</v>
      </c>
      <c r="B3289" s="42">
        <v>82.59</v>
      </c>
    </row>
    <row r="3290" spans="1:2" x14ac:dyDescent="0.2">
      <c r="A3290" s="40" t="s">
        <v>2039</v>
      </c>
      <c r="B3290" s="42">
        <v>85.16</v>
      </c>
    </row>
    <row r="3291" spans="1:2" x14ac:dyDescent="0.2">
      <c r="A3291" s="40" t="s">
        <v>2040</v>
      </c>
      <c r="B3291" s="42">
        <v>85.39</v>
      </c>
    </row>
    <row r="3292" spans="1:2" x14ac:dyDescent="0.2">
      <c r="A3292" s="40" t="s">
        <v>2041</v>
      </c>
      <c r="B3292" s="42">
        <v>86.52</v>
      </c>
    </row>
    <row r="3293" spans="1:2" x14ac:dyDescent="0.2">
      <c r="A3293" s="40" t="s">
        <v>2042</v>
      </c>
      <c r="B3293" s="42">
        <v>85.78</v>
      </c>
    </row>
    <row r="3294" spans="1:2" x14ac:dyDescent="0.2">
      <c r="A3294" s="41">
        <v>43472</v>
      </c>
      <c r="B3294" s="42">
        <v>79.58</v>
      </c>
    </row>
    <row r="3295" spans="1:2" x14ac:dyDescent="0.2">
      <c r="A3295" s="41">
        <v>43503</v>
      </c>
      <c r="B3295" s="42">
        <v>78.22</v>
      </c>
    </row>
    <row r="3296" spans="1:2" x14ac:dyDescent="0.2">
      <c r="A3296" s="41">
        <v>43531</v>
      </c>
      <c r="B3296" s="42">
        <v>80.040000000000006</v>
      </c>
    </row>
    <row r="3297" spans="1:2" x14ac:dyDescent="0.2">
      <c r="A3297" s="41">
        <v>43592</v>
      </c>
      <c r="B3297" s="42">
        <v>79.78</v>
      </c>
    </row>
    <row r="3298" spans="1:2" x14ac:dyDescent="0.2">
      <c r="A3298" s="41">
        <v>43684</v>
      </c>
      <c r="B3298" s="42">
        <v>83.66</v>
      </c>
    </row>
    <row r="3299" spans="1:2" x14ac:dyDescent="0.2">
      <c r="A3299" s="41">
        <v>43715</v>
      </c>
      <c r="B3299" s="42">
        <v>82.31</v>
      </c>
    </row>
    <row r="3300" spans="1:2" x14ac:dyDescent="0.2">
      <c r="A3300" s="41">
        <v>43745</v>
      </c>
      <c r="B3300" s="42">
        <v>85.97</v>
      </c>
    </row>
    <row r="3301" spans="1:2" x14ac:dyDescent="0.2">
      <c r="A3301" s="41">
        <v>43776</v>
      </c>
      <c r="B3301" s="42">
        <v>88.2</v>
      </c>
    </row>
    <row r="3302" spans="1:2" x14ac:dyDescent="0.2">
      <c r="A3302" s="41">
        <v>43806</v>
      </c>
      <c r="B3302" s="42">
        <v>86.14</v>
      </c>
    </row>
    <row r="3303" spans="1:2" x14ac:dyDescent="0.2">
      <c r="A3303" s="40" t="s">
        <v>2043</v>
      </c>
      <c r="B3303" s="42">
        <v>86.2</v>
      </c>
    </row>
    <row r="3304" spans="1:2" x14ac:dyDescent="0.2">
      <c r="A3304" s="40" t="s">
        <v>2044</v>
      </c>
      <c r="B3304" s="42">
        <v>88.25</v>
      </c>
    </row>
    <row r="3305" spans="1:2" x14ac:dyDescent="0.2">
      <c r="A3305" s="40" t="s">
        <v>2045</v>
      </c>
      <c r="B3305" s="42">
        <v>90.35</v>
      </c>
    </row>
    <row r="3306" spans="1:2" x14ac:dyDescent="0.2">
      <c r="A3306" s="40" t="s">
        <v>2046</v>
      </c>
      <c r="B3306" s="42">
        <v>84.04</v>
      </c>
    </row>
    <row r="3307" spans="1:2" x14ac:dyDescent="0.2">
      <c r="A3307" s="40" t="s">
        <v>2047</v>
      </c>
      <c r="B3307" s="42">
        <v>86.77</v>
      </c>
    </row>
    <row r="3308" spans="1:2" x14ac:dyDescent="0.2">
      <c r="A3308" s="40" t="s">
        <v>2048</v>
      </c>
      <c r="B3308" s="42">
        <v>81.22</v>
      </c>
    </row>
    <row r="3309" spans="1:2" x14ac:dyDescent="0.2">
      <c r="A3309" s="40" t="s">
        <v>2049</v>
      </c>
      <c r="B3309" s="42">
        <v>78.989999999999995</v>
      </c>
    </row>
    <row r="3310" spans="1:2" x14ac:dyDescent="0.2">
      <c r="A3310" s="40" t="s">
        <v>2050</v>
      </c>
      <c r="B3310" s="42">
        <v>83.89</v>
      </c>
    </row>
    <row r="3311" spans="1:2" x14ac:dyDescent="0.2">
      <c r="A3311" s="40" t="s">
        <v>2051</v>
      </c>
      <c r="B3311" s="42">
        <v>84.3</v>
      </c>
    </row>
    <row r="3312" spans="1:2" x14ac:dyDescent="0.2">
      <c r="A3312" s="40" t="s">
        <v>2052</v>
      </c>
      <c r="B3312" s="42">
        <v>83.11</v>
      </c>
    </row>
    <row r="3313" spans="1:2" x14ac:dyDescent="0.2">
      <c r="A3313" s="40" t="s">
        <v>2053</v>
      </c>
      <c r="B3313" s="42">
        <v>88.16</v>
      </c>
    </row>
    <row r="3314" spans="1:2" x14ac:dyDescent="0.2">
      <c r="A3314" s="40" t="s">
        <v>2054</v>
      </c>
      <c r="B3314" s="42">
        <v>91.58</v>
      </c>
    </row>
    <row r="3315" spans="1:2" x14ac:dyDescent="0.2">
      <c r="A3315" s="40" t="s">
        <v>2055</v>
      </c>
      <c r="B3315" s="42">
        <v>96.28</v>
      </c>
    </row>
    <row r="3316" spans="1:2" x14ac:dyDescent="0.2">
      <c r="A3316" s="41">
        <v>43473</v>
      </c>
      <c r="B3316" s="42">
        <v>105.47</v>
      </c>
    </row>
    <row r="3317" spans="1:2" x14ac:dyDescent="0.2">
      <c r="A3317" s="41">
        <v>43504</v>
      </c>
      <c r="B3317" s="42">
        <v>102.69</v>
      </c>
    </row>
    <row r="3318" spans="1:2" x14ac:dyDescent="0.2">
      <c r="A3318" s="41">
        <v>43593</v>
      </c>
      <c r="B3318" s="42">
        <v>114.4</v>
      </c>
    </row>
    <row r="3319" spans="1:2" x14ac:dyDescent="0.2">
      <c r="A3319" s="41">
        <v>43624</v>
      </c>
      <c r="B3319" s="42">
        <v>107.45</v>
      </c>
    </row>
    <row r="3320" spans="1:2" x14ac:dyDescent="0.2">
      <c r="A3320" s="41">
        <v>43654</v>
      </c>
      <c r="B3320" s="42">
        <v>104.27</v>
      </c>
    </row>
    <row r="3321" spans="1:2" x14ac:dyDescent="0.2">
      <c r="A3321" s="41">
        <v>43685</v>
      </c>
      <c r="B3321" s="42">
        <v>98.66</v>
      </c>
    </row>
    <row r="3322" spans="1:2" x14ac:dyDescent="0.2">
      <c r="A3322" s="41">
        <v>43716</v>
      </c>
      <c r="B3322" s="42">
        <v>101.52</v>
      </c>
    </row>
    <row r="3323" spans="1:2" x14ac:dyDescent="0.2">
      <c r="A3323" s="41">
        <v>43807</v>
      </c>
      <c r="B3323" s="42">
        <v>110.31</v>
      </c>
    </row>
    <row r="3324" spans="1:2" x14ac:dyDescent="0.2">
      <c r="A3324" s="40" t="s">
        <v>2056</v>
      </c>
      <c r="B3324" s="42">
        <v>102.21</v>
      </c>
    </row>
    <row r="3325" spans="1:2" x14ac:dyDescent="0.2">
      <c r="A3325" s="40" t="s">
        <v>2057</v>
      </c>
      <c r="B3325" s="42">
        <v>113.99</v>
      </c>
    </row>
    <row r="3326" spans="1:2" x14ac:dyDescent="0.2">
      <c r="A3326" s="40" t="s">
        <v>2058</v>
      </c>
      <c r="B3326" s="42">
        <v>112.26</v>
      </c>
    </row>
    <row r="3327" spans="1:2" x14ac:dyDescent="0.2">
      <c r="A3327" s="40" t="s">
        <v>2059</v>
      </c>
      <c r="B3327" s="42">
        <v>110.32</v>
      </c>
    </row>
    <row r="3328" spans="1:2" x14ac:dyDescent="0.2">
      <c r="A3328" s="40" t="s">
        <v>2060</v>
      </c>
      <c r="B3328" s="42">
        <v>101.22</v>
      </c>
    </row>
    <row r="3329" spans="1:2" x14ac:dyDescent="0.2">
      <c r="A3329" s="40" t="s">
        <v>2061</v>
      </c>
      <c r="B3329" s="42">
        <v>104.77</v>
      </c>
    </row>
    <row r="3330" spans="1:2" x14ac:dyDescent="0.2">
      <c r="A3330" s="40" t="s">
        <v>2062</v>
      </c>
      <c r="B3330" s="42">
        <v>98.03</v>
      </c>
    </row>
    <row r="3331" spans="1:2" x14ac:dyDescent="0.2">
      <c r="A3331" s="40" t="s">
        <v>2063</v>
      </c>
      <c r="B3331" s="42">
        <v>100.94</v>
      </c>
    </row>
    <row r="3332" spans="1:2" x14ac:dyDescent="0.2">
      <c r="A3332" s="40" t="s">
        <v>2064</v>
      </c>
      <c r="B3332" s="42">
        <v>111.37</v>
      </c>
    </row>
    <row r="3333" spans="1:2" x14ac:dyDescent="0.2">
      <c r="A3333" s="40" t="s">
        <v>2065</v>
      </c>
      <c r="B3333" s="42">
        <v>106.27</v>
      </c>
    </row>
    <row r="3334" spans="1:2" x14ac:dyDescent="0.2">
      <c r="A3334" s="40" t="s">
        <v>2066</v>
      </c>
      <c r="B3334" s="42">
        <v>106.49</v>
      </c>
    </row>
    <row r="3335" spans="1:2" x14ac:dyDescent="0.2">
      <c r="A3335" s="40" t="s">
        <v>2067</v>
      </c>
      <c r="B3335" s="42">
        <v>103.95</v>
      </c>
    </row>
    <row r="3336" spans="1:2" x14ac:dyDescent="0.2">
      <c r="A3336" s="40" t="s">
        <v>2068</v>
      </c>
      <c r="B3336" s="42">
        <v>99.8</v>
      </c>
    </row>
    <row r="3337" spans="1:2" x14ac:dyDescent="0.2">
      <c r="A3337" s="40" t="s">
        <v>2069</v>
      </c>
      <c r="B3337" s="42">
        <v>102.66</v>
      </c>
    </row>
    <row r="3338" spans="1:2" x14ac:dyDescent="0.2">
      <c r="A3338" s="41">
        <v>43533</v>
      </c>
      <c r="B3338" s="42">
        <v>102.19</v>
      </c>
    </row>
    <row r="3339" spans="1:2" x14ac:dyDescent="0.2">
      <c r="A3339" s="41">
        <v>43564</v>
      </c>
      <c r="B3339" s="42">
        <v>97.3</v>
      </c>
    </row>
    <row r="3340" spans="1:2" x14ac:dyDescent="0.2">
      <c r="A3340" s="41">
        <v>43594</v>
      </c>
      <c r="B3340" s="42">
        <v>95.51</v>
      </c>
    </row>
    <row r="3341" spans="1:2" x14ac:dyDescent="0.2">
      <c r="A3341" s="41">
        <v>43625</v>
      </c>
      <c r="B3341" s="42">
        <v>94.4</v>
      </c>
    </row>
    <row r="3342" spans="1:2" x14ac:dyDescent="0.2">
      <c r="A3342" s="41">
        <v>43717</v>
      </c>
      <c r="B3342" s="42">
        <v>94.5</v>
      </c>
    </row>
    <row r="3343" spans="1:2" x14ac:dyDescent="0.2">
      <c r="A3343" s="41">
        <v>43747</v>
      </c>
      <c r="B3343" s="42">
        <v>94.12</v>
      </c>
    </row>
    <row r="3344" spans="1:2" x14ac:dyDescent="0.2">
      <c r="A3344" s="41">
        <v>43778</v>
      </c>
      <c r="B3344" s="42">
        <v>97.79</v>
      </c>
    </row>
    <row r="3345" spans="1:2" x14ac:dyDescent="0.2">
      <c r="A3345" s="41">
        <v>43808</v>
      </c>
      <c r="B3345" s="42">
        <v>95.94</v>
      </c>
    </row>
    <row r="3346" spans="1:2" x14ac:dyDescent="0.2">
      <c r="A3346" s="40" t="s">
        <v>2070</v>
      </c>
      <c r="B3346" s="42">
        <v>98.93</v>
      </c>
    </row>
    <row r="3347" spans="1:2" x14ac:dyDescent="0.2">
      <c r="A3347" s="40" t="s">
        <v>2071</v>
      </c>
      <c r="B3347" s="42">
        <v>101.73</v>
      </c>
    </row>
    <row r="3348" spans="1:2" x14ac:dyDescent="0.2">
      <c r="A3348" s="40" t="s">
        <v>2072</v>
      </c>
      <c r="B3348" s="42">
        <v>101.67</v>
      </c>
    </row>
    <row r="3349" spans="1:2" x14ac:dyDescent="0.2">
      <c r="A3349" s="40" t="s">
        <v>2073</v>
      </c>
      <c r="B3349" s="42">
        <v>99.09</v>
      </c>
    </row>
    <row r="3350" spans="1:2" x14ac:dyDescent="0.2">
      <c r="A3350" s="40" t="s">
        <v>2074</v>
      </c>
      <c r="B3350" s="42">
        <v>97.3</v>
      </c>
    </row>
    <row r="3351" spans="1:2" x14ac:dyDescent="0.2">
      <c r="A3351" s="40" t="s">
        <v>2075</v>
      </c>
      <c r="B3351" s="42">
        <v>101.03</v>
      </c>
    </row>
    <row r="3352" spans="1:2" x14ac:dyDescent="0.2">
      <c r="A3352" s="40" t="s">
        <v>2076</v>
      </c>
      <c r="B3352" s="42">
        <v>97.6</v>
      </c>
    </row>
    <row r="3353" spans="1:2" x14ac:dyDescent="0.2">
      <c r="A3353" s="40" t="s">
        <v>2077</v>
      </c>
      <c r="B3353" s="42">
        <v>104.96</v>
      </c>
    </row>
    <row r="3354" spans="1:2" x14ac:dyDescent="0.2">
      <c r="A3354" s="40" t="s">
        <v>2078</v>
      </c>
      <c r="B3354" s="42">
        <v>99.68</v>
      </c>
    </row>
    <row r="3355" spans="1:2" x14ac:dyDescent="0.2">
      <c r="A3355" s="40" t="s">
        <v>2079</v>
      </c>
      <c r="B3355" s="42">
        <v>100.31</v>
      </c>
    </row>
    <row r="3356" spans="1:2" x14ac:dyDescent="0.2">
      <c r="A3356" s="40" t="s">
        <v>2080</v>
      </c>
      <c r="B3356" s="42">
        <v>103.2</v>
      </c>
    </row>
    <row r="3357" spans="1:2" x14ac:dyDescent="0.2">
      <c r="A3357" s="40" t="s">
        <v>2081</v>
      </c>
      <c r="B3357" s="42">
        <v>97.62</v>
      </c>
    </row>
    <row r="3358" spans="1:2" x14ac:dyDescent="0.2">
      <c r="A3358" s="41">
        <v>43475</v>
      </c>
      <c r="B3358" s="42">
        <v>102.74</v>
      </c>
    </row>
    <row r="3359" spans="1:2" x14ac:dyDescent="0.2">
      <c r="A3359" s="41">
        <v>43506</v>
      </c>
      <c r="B3359" s="42">
        <v>103.81</v>
      </c>
    </row>
    <row r="3360" spans="1:2" x14ac:dyDescent="0.2">
      <c r="A3360" s="41">
        <v>43534</v>
      </c>
      <c r="B3360" s="42">
        <v>98.2</v>
      </c>
    </row>
    <row r="3361" spans="1:2" x14ac:dyDescent="0.2">
      <c r="A3361" s="41">
        <v>43565</v>
      </c>
      <c r="B3361" s="42">
        <v>95.19</v>
      </c>
    </row>
    <row r="3362" spans="1:2" x14ac:dyDescent="0.2">
      <c r="A3362" s="41">
        <v>43656</v>
      </c>
      <c r="B3362" s="42">
        <v>97.04</v>
      </c>
    </row>
    <row r="3363" spans="1:2" x14ac:dyDescent="0.2">
      <c r="A3363" s="41">
        <v>43687</v>
      </c>
      <c r="B3363" s="42">
        <v>102.27</v>
      </c>
    </row>
    <row r="3364" spans="1:2" x14ac:dyDescent="0.2">
      <c r="A3364" s="41">
        <v>43718</v>
      </c>
      <c r="B3364" s="42">
        <v>101.25</v>
      </c>
    </row>
    <row r="3365" spans="1:2" x14ac:dyDescent="0.2">
      <c r="A3365" s="41">
        <v>43748</v>
      </c>
      <c r="B3365" s="42">
        <v>99.66</v>
      </c>
    </row>
    <row r="3366" spans="1:2" x14ac:dyDescent="0.2">
      <c r="A3366" s="41">
        <v>43779</v>
      </c>
      <c r="B3366" s="42">
        <v>97.7</v>
      </c>
    </row>
    <row r="3367" spans="1:2" x14ac:dyDescent="0.2">
      <c r="A3367" s="40" t="s">
        <v>2082</v>
      </c>
      <c r="B3367" s="42">
        <v>94.43</v>
      </c>
    </row>
    <row r="3368" spans="1:2" x14ac:dyDescent="0.2">
      <c r="A3368" s="40" t="s">
        <v>2083</v>
      </c>
      <c r="B3368" s="42">
        <v>93.98</v>
      </c>
    </row>
    <row r="3369" spans="1:2" x14ac:dyDescent="0.2">
      <c r="A3369" s="40" t="s">
        <v>2084</v>
      </c>
      <c r="B3369" s="42">
        <v>93.16</v>
      </c>
    </row>
    <row r="3370" spans="1:2" x14ac:dyDescent="0.2">
      <c r="A3370" s="40" t="s">
        <v>2085</v>
      </c>
      <c r="B3370" s="42">
        <v>90.27</v>
      </c>
    </row>
    <row r="3371" spans="1:2" x14ac:dyDescent="0.2">
      <c r="A3371" s="40" t="s">
        <v>2086</v>
      </c>
      <c r="B3371" s="42">
        <v>91.2</v>
      </c>
    </row>
    <row r="3372" spans="1:2" x14ac:dyDescent="0.2">
      <c r="A3372" s="40" t="s">
        <v>2087</v>
      </c>
      <c r="B3372" s="42">
        <v>87.29</v>
      </c>
    </row>
    <row r="3373" spans="1:2" x14ac:dyDescent="0.2">
      <c r="A3373" s="40" t="s">
        <v>2088</v>
      </c>
      <c r="B3373" s="42">
        <v>89.32</v>
      </c>
    </row>
    <row r="3374" spans="1:2" x14ac:dyDescent="0.2">
      <c r="A3374" s="40" t="s">
        <v>2089</v>
      </c>
      <c r="B3374" s="42">
        <v>87.59</v>
      </c>
    </row>
    <row r="3375" spans="1:2" x14ac:dyDescent="0.2">
      <c r="A3375" s="40" t="s">
        <v>2090</v>
      </c>
      <c r="B3375" s="42">
        <v>86.55</v>
      </c>
    </row>
    <row r="3376" spans="1:2" x14ac:dyDescent="0.2">
      <c r="A3376" s="40" t="s">
        <v>2091</v>
      </c>
      <c r="B3376" s="42">
        <v>83.82</v>
      </c>
    </row>
    <row r="3377" spans="1:2" x14ac:dyDescent="0.2">
      <c r="A3377" s="40" t="s">
        <v>2092</v>
      </c>
      <c r="B3377" s="42">
        <v>86.48</v>
      </c>
    </row>
    <row r="3378" spans="1:2" x14ac:dyDescent="0.2">
      <c r="A3378" s="40" t="s">
        <v>2093</v>
      </c>
      <c r="B3378" s="42">
        <v>87.75</v>
      </c>
    </row>
    <row r="3379" spans="1:2" x14ac:dyDescent="0.2">
      <c r="A3379" s="40" t="s">
        <v>2094</v>
      </c>
      <c r="B3379" s="42">
        <v>86.47</v>
      </c>
    </row>
    <row r="3380" spans="1:2" x14ac:dyDescent="0.2">
      <c r="A3380" s="40" t="s">
        <v>2095</v>
      </c>
      <c r="B3380" s="42">
        <v>88.92</v>
      </c>
    </row>
    <row r="3381" spans="1:2" x14ac:dyDescent="0.2">
      <c r="A3381" s="41">
        <v>43476</v>
      </c>
      <c r="B3381" s="42">
        <v>85.69</v>
      </c>
    </row>
    <row r="3382" spans="1:2" x14ac:dyDescent="0.2">
      <c r="A3382" s="41">
        <v>43566</v>
      </c>
      <c r="B3382" s="42">
        <v>88.75</v>
      </c>
    </row>
    <row r="3383" spans="1:2" x14ac:dyDescent="0.2">
      <c r="A3383" s="41">
        <v>43596</v>
      </c>
      <c r="B3383" s="42">
        <v>90.98</v>
      </c>
    </row>
    <row r="3384" spans="1:2" x14ac:dyDescent="0.2">
      <c r="A3384" s="41">
        <v>43627</v>
      </c>
      <c r="B3384" s="42">
        <v>89.59</v>
      </c>
    </row>
    <row r="3385" spans="1:2" x14ac:dyDescent="0.2">
      <c r="A3385" s="41">
        <v>43657</v>
      </c>
      <c r="B3385" s="42">
        <v>90.15</v>
      </c>
    </row>
    <row r="3386" spans="1:2" x14ac:dyDescent="0.2">
      <c r="A3386" s="41">
        <v>43688</v>
      </c>
      <c r="B3386" s="42">
        <v>89.06</v>
      </c>
    </row>
    <row r="3387" spans="1:2" x14ac:dyDescent="0.2">
      <c r="A3387" s="41">
        <v>43780</v>
      </c>
      <c r="B3387" s="42">
        <v>89.56</v>
      </c>
    </row>
    <row r="3388" spans="1:2" x14ac:dyDescent="0.2">
      <c r="A3388" s="41">
        <v>43810</v>
      </c>
      <c r="B3388" s="42">
        <v>90.35</v>
      </c>
    </row>
    <row r="3389" spans="1:2" x14ac:dyDescent="0.2">
      <c r="A3389" s="40" t="s">
        <v>2096</v>
      </c>
      <c r="B3389" s="42">
        <v>93.5</v>
      </c>
    </row>
    <row r="3390" spans="1:2" x14ac:dyDescent="0.2">
      <c r="A3390" s="40" t="s">
        <v>2097</v>
      </c>
      <c r="B3390" s="42">
        <v>93.45</v>
      </c>
    </row>
    <row r="3391" spans="1:2" x14ac:dyDescent="0.2">
      <c r="A3391" s="40" t="s">
        <v>2098</v>
      </c>
      <c r="B3391" s="42">
        <v>93.35</v>
      </c>
    </row>
    <row r="3392" spans="1:2" x14ac:dyDescent="0.2">
      <c r="A3392" s="40" t="s">
        <v>2099</v>
      </c>
      <c r="B3392" s="42">
        <v>93.99</v>
      </c>
    </row>
    <row r="3393" spans="1:2" x14ac:dyDescent="0.2">
      <c r="A3393" s="40" t="s">
        <v>2100</v>
      </c>
      <c r="B3393" s="42">
        <v>95.95</v>
      </c>
    </row>
    <row r="3394" spans="1:2" x14ac:dyDescent="0.2">
      <c r="A3394" s="40" t="s">
        <v>2101</v>
      </c>
      <c r="B3394" s="42">
        <v>95.36</v>
      </c>
    </row>
    <row r="3395" spans="1:2" x14ac:dyDescent="0.2">
      <c r="A3395" s="40" t="s">
        <v>2102</v>
      </c>
      <c r="B3395" s="42">
        <v>96.09</v>
      </c>
    </row>
    <row r="3396" spans="1:2" x14ac:dyDescent="0.2">
      <c r="A3396" s="40" t="s">
        <v>2103</v>
      </c>
      <c r="B3396" s="42">
        <v>94.4</v>
      </c>
    </row>
    <row r="3397" spans="1:2" x14ac:dyDescent="0.2">
      <c r="A3397" s="40" t="s">
        <v>2104</v>
      </c>
      <c r="B3397" s="42">
        <v>90.24</v>
      </c>
    </row>
    <row r="3398" spans="1:2" x14ac:dyDescent="0.2">
      <c r="A3398" s="40" t="s">
        <v>2105</v>
      </c>
      <c r="B3398" s="42">
        <v>89.88</v>
      </c>
    </row>
    <row r="3399" spans="1:2" x14ac:dyDescent="0.2">
      <c r="A3399" s="40" t="s">
        <v>2106</v>
      </c>
      <c r="B3399" s="42">
        <v>90.2</v>
      </c>
    </row>
    <row r="3400" spans="1:2" x14ac:dyDescent="0.2">
      <c r="A3400" s="40" t="s">
        <v>2107</v>
      </c>
      <c r="B3400" s="42">
        <v>91.05</v>
      </c>
    </row>
    <row r="3401" spans="1:2" x14ac:dyDescent="0.2">
      <c r="A3401" s="41">
        <v>43508</v>
      </c>
      <c r="B3401" s="42">
        <v>98.91</v>
      </c>
    </row>
    <row r="3402" spans="1:2" x14ac:dyDescent="0.2">
      <c r="A3402" s="41">
        <v>43536</v>
      </c>
      <c r="B3402" s="42">
        <v>102.65</v>
      </c>
    </row>
    <row r="3403" spans="1:2" x14ac:dyDescent="0.2">
      <c r="A3403" s="41">
        <v>43567</v>
      </c>
      <c r="B3403" s="42">
        <v>98.72</v>
      </c>
    </row>
    <row r="3404" spans="1:2" x14ac:dyDescent="0.2">
      <c r="A3404" s="41">
        <v>43597</v>
      </c>
      <c r="B3404" s="42">
        <v>98.12</v>
      </c>
    </row>
    <row r="3405" spans="1:2" x14ac:dyDescent="0.2">
      <c r="A3405" s="41">
        <v>43628</v>
      </c>
      <c r="B3405" s="42">
        <v>96.52</v>
      </c>
    </row>
    <row r="3406" spans="1:2" x14ac:dyDescent="0.2">
      <c r="A3406" s="41">
        <v>43720</v>
      </c>
      <c r="B3406" s="42">
        <v>101.89</v>
      </c>
    </row>
    <row r="3407" spans="1:2" x14ac:dyDescent="0.2">
      <c r="A3407" s="41">
        <v>43750</v>
      </c>
      <c r="B3407" s="42">
        <v>101.03</v>
      </c>
    </row>
    <row r="3408" spans="1:2" x14ac:dyDescent="0.2">
      <c r="A3408" s="41">
        <v>43781</v>
      </c>
      <c r="B3408" s="42">
        <v>104.82</v>
      </c>
    </row>
    <row r="3409" spans="1:2" x14ac:dyDescent="0.2">
      <c r="A3409" s="41">
        <v>43811</v>
      </c>
      <c r="B3409" s="42">
        <v>101.3</v>
      </c>
    </row>
    <row r="3410" spans="1:2" x14ac:dyDescent="0.2">
      <c r="A3410" s="40" t="s">
        <v>2108</v>
      </c>
      <c r="B3410" s="42">
        <v>96.61</v>
      </c>
    </row>
    <row r="3411" spans="1:2" x14ac:dyDescent="0.2">
      <c r="A3411" s="40" t="s">
        <v>2109</v>
      </c>
      <c r="B3411" s="42">
        <v>94.21</v>
      </c>
    </row>
    <row r="3412" spans="1:2" x14ac:dyDescent="0.2">
      <c r="A3412" s="40" t="s">
        <v>2110</v>
      </c>
      <c r="B3412" s="42">
        <v>98.56</v>
      </c>
    </row>
    <row r="3413" spans="1:2" x14ac:dyDescent="0.2">
      <c r="A3413" s="40" t="s">
        <v>2111</v>
      </c>
      <c r="B3413" s="42">
        <v>99.2</v>
      </c>
    </row>
    <row r="3414" spans="1:2" x14ac:dyDescent="0.2">
      <c r="A3414" s="40" t="s">
        <v>2112</v>
      </c>
      <c r="B3414" s="42">
        <v>97.25</v>
      </c>
    </row>
    <row r="3415" spans="1:2" x14ac:dyDescent="0.2">
      <c r="A3415" s="40" t="s">
        <v>2113</v>
      </c>
      <c r="B3415" s="42">
        <v>99.29</v>
      </c>
    </row>
    <row r="3416" spans="1:2" x14ac:dyDescent="0.2">
      <c r="A3416" s="40" t="s">
        <v>2114</v>
      </c>
      <c r="B3416" s="42">
        <v>99.82</v>
      </c>
    </row>
    <row r="3417" spans="1:2" x14ac:dyDescent="0.2">
      <c r="A3417" s="40" t="s">
        <v>2115</v>
      </c>
      <c r="B3417" s="42">
        <v>98.83</v>
      </c>
    </row>
    <row r="3418" spans="1:2" x14ac:dyDescent="0.2">
      <c r="A3418" s="40" t="s">
        <v>2116</v>
      </c>
      <c r="B3418" s="42">
        <v>97.46</v>
      </c>
    </row>
    <row r="3419" spans="1:2" x14ac:dyDescent="0.2">
      <c r="A3419" s="40" t="s">
        <v>2117</v>
      </c>
      <c r="B3419" s="42">
        <v>99.63</v>
      </c>
    </row>
    <row r="3420" spans="1:2" x14ac:dyDescent="0.2">
      <c r="A3420" s="40" t="s">
        <v>2118</v>
      </c>
      <c r="B3420" s="42">
        <v>100.02</v>
      </c>
    </row>
    <row r="3421" spans="1:2" x14ac:dyDescent="0.2">
      <c r="A3421" s="40" t="s">
        <v>2119</v>
      </c>
      <c r="B3421" s="42">
        <v>94.1</v>
      </c>
    </row>
    <row r="3422" spans="1:2" x14ac:dyDescent="0.2">
      <c r="A3422" s="41">
        <v>43862</v>
      </c>
      <c r="B3422" s="42">
        <v>89.67</v>
      </c>
    </row>
    <row r="3423" spans="1:2" x14ac:dyDescent="0.2">
      <c r="A3423" s="41">
        <v>43891</v>
      </c>
      <c r="B3423" s="42">
        <v>93.79</v>
      </c>
    </row>
    <row r="3424" spans="1:2" x14ac:dyDescent="0.2">
      <c r="A3424" s="41">
        <v>43983</v>
      </c>
      <c r="B3424" s="42">
        <v>92.66</v>
      </c>
    </row>
    <row r="3425" spans="1:2" x14ac:dyDescent="0.2">
      <c r="A3425" s="41">
        <v>44013</v>
      </c>
      <c r="B3425" s="42">
        <v>91.07</v>
      </c>
    </row>
    <row r="3426" spans="1:2" x14ac:dyDescent="0.2">
      <c r="A3426" s="41">
        <v>44044</v>
      </c>
      <c r="B3426" s="42">
        <v>90.21</v>
      </c>
    </row>
    <row r="3427" spans="1:2" x14ac:dyDescent="0.2">
      <c r="A3427" s="41">
        <v>44075</v>
      </c>
      <c r="B3427" s="42">
        <v>87.81</v>
      </c>
    </row>
    <row r="3428" spans="1:2" x14ac:dyDescent="0.2">
      <c r="A3428" s="41">
        <v>44105</v>
      </c>
      <c r="B3428" s="42">
        <v>88.33</v>
      </c>
    </row>
    <row r="3429" spans="1:2" x14ac:dyDescent="0.2">
      <c r="A3429" s="40" t="s">
        <v>2120</v>
      </c>
      <c r="B3429" s="42">
        <v>88.48</v>
      </c>
    </row>
    <row r="3430" spans="1:2" x14ac:dyDescent="0.2">
      <c r="A3430" s="40" t="s">
        <v>2121</v>
      </c>
      <c r="B3430" s="42">
        <v>86.87</v>
      </c>
    </row>
    <row r="3431" spans="1:2" x14ac:dyDescent="0.2">
      <c r="A3431" s="40" t="s">
        <v>2122</v>
      </c>
      <c r="B3431" s="42">
        <v>91.15</v>
      </c>
    </row>
    <row r="3432" spans="1:2" x14ac:dyDescent="0.2">
      <c r="A3432" s="40" t="s">
        <v>2123</v>
      </c>
      <c r="B3432" s="42">
        <v>90.38</v>
      </c>
    </row>
    <row r="3433" spans="1:2" x14ac:dyDescent="0.2">
      <c r="A3433" s="40" t="s">
        <v>2124</v>
      </c>
      <c r="B3433" s="42">
        <v>91.75</v>
      </c>
    </row>
    <row r="3434" spans="1:2" x14ac:dyDescent="0.2">
      <c r="A3434" s="40" t="s">
        <v>2125</v>
      </c>
      <c r="B3434" s="42">
        <v>92.98</v>
      </c>
    </row>
    <row r="3435" spans="1:2" x14ac:dyDescent="0.2">
      <c r="A3435" s="40" t="s">
        <v>2126</v>
      </c>
      <c r="B3435" s="42">
        <v>91.11</v>
      </c>
    </row>
    <row r="3436" spans="1:2" x14ac:dyDescent="0.2">
      <c r="A3436" s="40" t="s">
        <v>2127</v>
      </c>
      <c r="B3436" s="42">
        <v>92.54</v>
      </c>
    </row>
    <row r="3437" spans="1:2" x14ac:dyDescent="0.2">
      <c r="A3437" s="40" t="s">
        <v>2128</v>
      </c>
      <c r="B3437" s="42">
        <v>98.43</v>
      </c>
    </row>
    <row r="3438" spans="1:2" x14ac:dyDescent="0.2">
      <c r="A3438" s="40" t="s">
        <v>2129</v>
      </c>
      <c r="B3438" s="42">
        <v>107.39</v>
      </c>
    </row>
    <row r="3439" spans="1:2" x14ac:dyDescent="0.2">
      <c r="A3439" s="40" t="s">
        <v>2130</v>
      </c>
      <c r="B3439" s="42">
        <v>102.11</v>
      </c>
    </row>
    <row r="3440" spans="1:2" x14ac:dyDescent="0.2">
      <c r="A3440" s="40" t="s">
        <v>2131</v>
      </c>
      <c r="B3440" s="42">
        <v>99.07</v>
      </c>
    </row>
    <row r="3441" spans="1:2" x14ac:dyDescent="0.2">
      <c r="A3441" s="40" t="s">
        <v>2132</v>
      </c>
      <c r="B3441" s="42">
        <v>96.49</v>
      </c>
    </row>
    <row r="3442" spans="1:2" x14ac:dyDescent="0.2">
      <c r="A3442" s="40" t="s">
        <v>2133</v>
      </c>
      <c r="B3442" s="42">
        <v>105.6</v>
      </c>
    </row>
    <row r="3443" spans="1:2" x14ac:dyDescent="0.2">
      <c r="A3443" s="41">
        <v>43892</v>
      </c>
      <c r="B3443" s="42">
        <v>102.95</v>
      </c>
    </row>
    <row r="3444" spans="1:2" x14ac:dyDescent="0.2">
      <c r="A3444" s="41">
        <v>43923</v>
      </c>
      <c r="B3444" s="42">
        <v>96.18</v>
      </c>
    </row>
    <row r="3445" spans="1:2" x14ac:dyDescent="0.2">
      <c r="A3445" s="41">
        <v>43953</v>
      </c>
      <c r="B3445" s="42">
        <v>92.82</v>
      </c>
    </row>
    <row r="3446" spans="1:2" x14ac:dyDescent="0.2">
      <c r="A3446" s="41">
        <v>43984</v>
      </c>
      <c r="B3446" s="42">
        <v>93.61</v>
      </c>
    </row>
    <row r="3447" spans="1:2" x14ac:dyDescent="0.2">
      <c r="A3447" s="41">
        <v>44014</v>
      </c>
      <c r="B3447" s="42">
        <v>96.01</v>
      </c>
    </row>
    <row r="3448" spans="1:2" x14ac:dyDescent="0.2">
      <c r="A3448" s="41">
        <v>44106</v>
      </c>
      <c r="B3448" s="42">
        <v>96.81</v>
      </c>
    </row>
    <row r="3449" spans="1:2" x14ac:dyDescent="0.2">
      <c r="A3449" s="41">
        <v>44137</v>
      </c>
      <c r="B3449" s="42">
        <v>96.96</v>
      </c>
    </row>
    <row r="3450" spans="1:2" x14ac:dyDescent="0.2">
      <c r="A3450" s="41">
        <v>44167</v>
      </c>
      <c r="B3450" s="42">
        <v>96.65</v>
      </c>
    </row>
    <row r="3451" spans="1:2" x14ac:dyDescent="0.2">
      <c r="A3451" s="40" t="s">
        <v>2134</v>
      </c>
      <c r="B3451" s="42">
        <v>99.17</v>
      </c>
    </row>
    <row r="3452" spans="1:2" x14ac:dyDescent="0.2">
      <c r="A3452" s="40" t="s">
        <v>2135</v>
      </c>
      <c r="B3452" s="42">
        <v>98.17</v>
      </c>
    </row>
    <row r="3453" spans="1:2" x14ac:dyDescent="0.2">
      <c r="A3453" s="40" t="s">
        <v>2136</v>
      </c>
      <c r="B3453" s="42">
        <v>101.02</v>
      </c>
    </row>
    <row r="3454" spans="1:2" x14ac:dyDescent="0.2">
      <c r="A3454" s="40" t="s">
        <v>2137</v>
      </c>
      <c r="B3454" s="42">
        <v>95.92</v>
      </c>
    </row>
    <row r="3455" spans="1:2" x14ac:dyDescent="0.2">
      <c r="A3455" s="40" t="s">
        <v>2138</v>
      </c>
      <c r="B3455" s="42">
        <v>99.48</v>
      </c>
    </row>
    <row r="3456" spans="1:2" x14ac:dyDescent="0.2">
      <c r="A3456" s="40" t="s">
        <v>2139</v>
      </c>
      <c r="B3456" s="42">
        <v>104.86</v>
      </c>
    </row>
    <row r="3457" spans="1:2" x14ac:dyDescent="0.2">
      <c r="A3457" s="40" t="s">
        <v>2140</v>
      </c>
      <c r="B3457" s="42">
        <v>112.72</v>
      </c>
    </row>
    <row r="3458" spans="1:2" x14ac:dyDescent="0.2">
      <c r="A3458" s="40" t="s">
        <v>2141</v>
      </c>
      <c r="B3458" s="42">
        <v>121.01</v>
      </c>
    </row>
    <row r="3459" spans="1:2" x14ac:dyDescent="0.2">
      <c r="A3459" s="40" t="s">
        <v>2142</v>
      </c>
      <c r="B3459" s="42">
        <v>113.44</v>
      </c>
    </row>
    <row r="3460" spans="1:2" x14ac:dyDescent="0.2">
      <c r="A3460" s="40" t="s">
        <v>2143</v>
      </c>
      <c r="B3460" s="42">
        <v>118</v>
      </c>
    </row>
    <row r="3461" spans="1:2" x14ac:dyDescent="0.2">
      <c r="A3461" s="40" t="s">
        <v>2144</v>
      </c>
      <c r="B3461" s="42">
        <v>125.73</v>
      </c>
    </row>
    <row r="3462" spans="1:2" x14ac:dyDescent="0.2">
      <c r="A3462" s="41">
        <v>43864</v>
      </c>
      <c r="B3462" s="42">
        <v>114.69</v>
      </c>
    </row>
    <row r="3463" spans="1:2" x14ac:dyDescent="0.2">
      <c r="A3463" s="41">
        <v>43893</v>
      </c>
      <c r="B3463" s="42">
        <v>116.72</v>
      </c>
    </row>
    <row r="3464" spans="1:2" x14ac:dyDescent="0.2">
      <c r="A3464" s="41">
        <v>43924</v>
      </c>
      <c r="B3464" s="42">
        <v>113.97</v>
      </c>
    </row>
    <row r="3465" spans="1:2" x14ac:dyDescent="0.2">
      <c r="A3465" s="41">
        <v>43954</v>
      </c>
      <c r="B3465" s="42">
        <v>119.66</v>
      </c>
    </row>
    <row r="3466" spans="1:2" x14ac:dyDescent="0.2">
      <c r="A3466" s="41">
        <v>43985</v>
      </c>
      <c r="B3466" s="42">
        <v>127.16</v>
      </c>
    </row>
    <row r="3467" spans="1:2" x14ac:dyDescent="0.2">
      <c r="A3467" s="41">
        <v>44077</v>
      </c>
      <c r="B3467" s="42">
        <v>137.19</v>
      </c>
    </row>
    <row r="3468" spans="1:2" x14ac:dyDescent="0.2">
      <c r="A3468" s="41">
        <v>44107</v>
      </c>
      <c r="B3468" s="42">
        <v>138.82</v>
      </c>
    </row>
    <row r="3469" spans="1:2" x14ac:dyDescent="0.2">
      <c r="A3469" s="41">
        <v>44138</v>
      </c>
      <c r="B3469" s="42">
        <v>146.93</v>
      </c>
    </row>
    <row r="3470" spans="1:2" x14ac:dyDescent="0.2">
      <c r="A3470" s="41">
        <v>44168</v>
      </c>
      <c r="B3470" s="42">
        <v>155.05000000000001</v>
      </c>
    </row>
    <row r="3471" spans="1:2" x14ac:dyDescent="0.2">
      <c r="A3471" s="40" t="s">
        <v>2145</v>
      </c>
      <c r="B3471" s="42">
        <v>171.28</v>
      </c>
    </row>
    <row r="3472" spans="1:2" x14ac:dyDescent="0.2">
      <c r="A3472" s="40" t="s">
        <v>2146</v>
      </c>
      <c r="B3472" s="42">
        <v>207.59</v>
      </c>
    </row>
    <row r="3473" spans="1:2" x14ac:dyDescent="0.2">
      <c r="A3473" s="40" t="s">
        <v>2147</v>
      </c>
      <c r="B3473" s="42">
        <v>194.43</v>
      </c>
    </row>
    <row r="3474" spans="1:2" x14ac:dyDescent="0.2">
      <c r="A3474" s="40" t="s">
        <v>2148</v>
      </c>
      <c r="B3474" s="42">
        <v>181.33</v>
      </c>
    </row>
    <row r="3475" spans="1:2" x14ac:dyDescent="0.2">
      <c r="A3475" s="40" t="s">
        <v>2149</v>
      </c>
      <c r="B3475" s="42">
        <v>181.76</v>
      </c>
    </row>
    <row r="3476" spans="1:2" x14ac:dyDescent="0.2">
      <c r="A3476" s="40" t="s">
        <v>2150</v>
      </c>
      <c r="B3476" s="42">
        <v>187.18</v>
      </c>
    </row>
    <row r="3477" spans="1:2" x14ac:dyDescent="0.2">
      <c r="A3477" s="40" t="s">
        <v>2151</v>
      </c>
      <c r="B3477" s="42">
        <v>167.93</v>
      </c>
    </row>
    <row r="3478" spans="1:2" x14ac:dyDescent="0.2">
      <c r="A3478" s="40" t="s">
        <v>2152</v>
      </c>
      <c r="B3478" s="42">
        <v>171.91</v>
      </c>
    </row>
    <row r="3479" spans="1:2" x14ac:dyDescent="0.2">
      <c r="A3479" s="40" t="s">
        <v>2153</v>
      </c>
      <c r="B3479" s="42">
        <v>171.89</v>
      </c>
    </row>
    <row r="3480" spans="1:2" x14ac:dyDescent="0.2">
      <c r="A3480" s="40" t="s">
        <v>2154</v>
      </c>
      <c r="B3480" s="42">
        <v>169.58</v>
      </c>
    </row>
    <row r="3481" spans="1:2" x14ac:dyDescent="0.2">
      <c r="A3481" s="40" t="s">
        <v>2155</v>
      </c>
      <c r="B3481" s="42">
        <v>168.71</v>
      </c>
    </row>
    <row r="3482" spans="1:2" x14ac:dyDescent="0.2">
      <c r="A3482" s="40" t="s">
        <v>2156</v>
      </c>
      <c r="B3482" s="42">
        <v>157.66</v>
      </c>
    </row>
    <row r="3483" spans="1:2" x14ac:dyDescent="0.2">
      <c r="A3483" s="40" t="s">
        <v>2157</v>
      </c>
      <c r="B3483" s="42">
        <v>152.91999999999999</v>
      </c>
    </row>
    <row r="3484" spans="1:2" x14ac:dyDescent="0.2">
      <c r="A3484" s="41">
        <v>43834</v>
      </c>
      <c r="B3484" s="42">
        <v>156.99</v>
      </c>
    </row>
    <row r="3485" spans="1:2" x14ac:dyDescent="0.2">
      <c r="A3485" s="41">
        <v>43865</v>
      </c>
      <c r="B3485" s="42">
        <v>147.33000000000001</v>
      </c>
    </row>
    <row r="3486" spans="1:2" x14ac:dyDescent="0.2">
      <c r="A3486" s="41">
        <v>43894</v>
      </c>
      <c r="B3486" s="42">
        <v>143.52000000000001</v>
      </c>
    </row>
    <row r="3487" spans="1:2" x14ac:dyDescent="0.2">
      <c r="A3487" s="41">
        <v>43986</v>
      </c>
      <c r="B3487" s="42">
        <v>143.30000000000001</v>
      </c>
    </row>
    <row r="3488" spans="1:2" x14ac:dyDescent="0.2">
      <c r="A3488" s="41">
        <v>44016</v>
      </c>
      <c r="B3488" s="42">
        <v>134.44999999999999</v>
      </c>
    </row>
    <row r="3489" spans="1:2" x14ac:dyDescent="0.2">
      <c r="A3489" s="41">
        <v>44047</v>
      </c>
      <c r="B3489" s="42">
        <v>141.37</v>
      </c>
    </row>
    <row r="3490" spans="1:2" x14ac:dyDescent="0.2">
      <c r="A3490" s="41">
        <v>44078</v>
      </c>
      <c r="B3490" s="42">
        <v>137.75</v>
      </c>
    </row>
    <row r="3491" spans="1:2" x14ac:dyDescent="0.2">
      <c r="A3491" s="40" t="s">
        <v>2158</v>
      </c>
      <c r="B3491" s="42">
        <v>138.68</v>
      </c>
    </row>
    <row r="3492" spans="1:2" x14ac:dyDescent="0.2">
      <c r="A3492" s="40" t="s">
        <v>2159</v>
      </c>
      <c r="B3492" s="42">
        <v>131.78</v>
      </c>
    </row>
    <row r="3493" spans="1:2" x14ac:dyDescent="0.2">
      <c r="A3493" s="40" t="s">
        <v>2160</v>
      </c>
      <c r="B3493" s="42">
        <v>135.93</v>
      </c>
    </row>
    <row r="3494" spans="1:2" x14ac:dyDescent="0.2">
      <c r="A3494" s="40" t="s">
        <v>2161</v>
      </c>
      <c r="B3494" s="42">
        <v>129.55000000000001</v>
      </c>
    </row>
    <row r="3495" spans="1:2" x14ac:dyDescent="0.2">
      <c r="A3495" s="40" t="s">
        <v>2162</v>
      </c>
      <c r="B3495" s="42">
        <v>127.15</v>
      </c>
    </row>
    <row r="3496" spans="1:2" x14ac:dyDescent="0.2">
      <c r="A3496" s="40" t="s">
        <v>2163</v>
      </c>
      <c r="B3496" s="42">
        <v>132.04</v>
      </c>
    </row>
    <row r="3497" spans="1:2" x14ac:dyDescent="0.2">
      <c r="A3497" s="40" t="s">
        <v>2164</v>
      </c>
      <c r="B3497" s="42">
        <v>132.22</v>
      </c>
    </row>
    <row r="3498" spans="1:2" x14ac:dyDescent="0.2">
      <c r="A3498" s="40" t="s">
        <v>2165</v>
      </c>
      <c r="B3498" s="42">
        <v>124.1</v>
      </c>
    </row>
    <row r="3499" spans="1:2" x14ac:dyDescent="0.2">
      <c r="A3499" s="40" t="s">
        <v>2166</v>
      </c>
      <c r="B3499" s="42">
        <v>121.86</v>
      </c>
    </row>
    <row r="3500" spans="1:2" x14ac:dyDescent="0.2">
      <c r="A3500" s="40" t="s">
        <v>2167</v>
      </c>
      <c r="B3500" s="42">
        <v>119.88</v>
      </c>
    </row>
    <row r="3501" spans="1:2" x14ac:dyDescent="0.2">
      <c r="A3501" s="40" t="s">
        <v>2168</v>
      </c>
      <c r="B3501" s="42">
        <v>120.56</v>
      </c>
    </row>
    <row r="3502" spans="1:2" x14ac:dyDescent="0.2">
      <c r="A3502" s="40" t="s">
        <v>2169</v>
      </c>
      <c r="B3502" s="42">
        <v>117.79</v>
      </c>
    </row>
    <row r="3503" spans="1:2" x14ac:dyDescent="0.2">
      <c r="A3503" s="40" t="s">
        <v>2170</v>
      </c>
      <c r="B3503" s="42">
        <v>115.98</v>
      </c>
    </row>
    <row r="3504" spans="1:2" x14ac:dyDescent="0.2">
      <c r="A3504" s="40" t="s">
        <v>2171</v>
      </c>
      <c r="B3504" s="42">
        <v>118.53</v>
      </c>
    </row>
    <row r="3505" spans="1:2" x14ac:dyDescent="0.2">
      <c r="A3505" s="41">
        <v>43835</v>
      </c>
      <c r="B3505" s="42">
        <v>122.15</v>
      </c>
    </row>
    <row r="3506" spans="1:2" x14ac:dyDescent="0.2">
      <c r="A3506" s="41">
        <v>43926</v>
      </c>
      <c r="B3506" s="42">
        <v>121.25</v>
      </c>
    </row>
    <row r="3507" spans="1:2" x14ac:dyDescent="0.2">
      <c r="A3507" s="41">
        <v>43956</v>
      </c>
      <c r="B3507" s="42">
        <v>118.87</v>
      </c>
    </row>
    <row r="3508" spans="1:2" x14ac:dyDescent="0.2">
      <c r="A3508" s="41">
        <v>43987</v>
      </c>
      <c r="B3508" s="42">
        <v>119.16</v>
      </c>
    </row>
    <row r="3509" spans="1:2" x14ac:dyDescent="0.2">
      <c r="A3509" s="41">
        <v>44017</v>
      </c>
      <c r="B3509" s="42">
        <v>115.83</v>
      </c>
    </row>
    <row r="3510" spans="1:2" x14ac:dyDescent="0.2">
      <c r="A3510" s="41">
        <v>44048</v>
      </c>
      <c r="B3510" s="42">
        <v>115.65</v>
      </c>
    </row>
    <row r="3511" spans="1:2" x14ac:dyDescent="0.2">
      <c r="A3511" s="41">
        <v>44140</v>
      </c>
      <c r="B3511" s="42">
        <v>118.71</v>
      </c>
    </row>
    <row r="3512" spans="1:2" x14ac:dyDescent="0.2">
      <c r="A3512" s="41">
        <v>44170</v>
      </c>
      <c r="B3512" s="42">
        <v>130.75</v>
      </c>
    </row>
    <row r="3513" spans="1:2" x14ac:dyDescent="0.2">
      <c r="A3513" s="40" t="s">
        <v>2172</v>
      </c>
      <c r="B3513" s="42">
        <v>142.75</v>
      </c>
    </row>
    <row r="3514" spans="1:2" x14ac:dyDescent="0.2">
      <c r="A3514" s="40" t="s">
        <v>2173</v>
      </c>
      <c r="B3514" s="42">
        <v>137.05000000000001</v>
      </c>
    </row>
    <row r="3515" spans="1:2" x14ac:dyDescent="0.2">
      <c r="A3515" s="40" t="s">
        <v>2174</v>
      </c>
      <c r="B3515" s="42">
        <v>133.02000000000001</v>
      </c>
    </row>
    <row r="3516" spans="1:2" x14ac:dyDescent="0.2">
      <c r="A3516" s="40" t="s">
        <v>2175</v>
      </c>
      <c r="B3516" s="42">
        <v>125.9</v>
      </c>
    </row>
    <row r="3517" spans="1:2" x14ac:dyDescent="0.2">
      <c r="A3517" s="40" t="s">
        <v>2176</v>
      </c>
      <c r="B3517" s="42">
        <v>125.6</v>
      </c>
    </row>
    <row r="3518" spans="1:2" x14ac:dyDescent="0.2">
      <c r="A3518" s="40" t="s">
        <v>2177</v>
      </c>
      <c r="B3518" s="42">
        <v>120.04</v>
      </c>
    </row>
    <row r="3519" spans="1:2" x14ac:dyDescent="0.2">
      <c r="A3519" s="40" t="s">
        <v>2178</v>
      </c>
      <c r="B3519" s="42">
        <v>122.08</v>
      </c>
    </row>
    <row r="3520" spans="1:2" x14ac:dyDescent="0.2">
      <c r="A3520" s="40" t="s">
        <v>2179</v>
      </c>
      <c r="B3520" s="42">
        <v>118.38</v>
      </c>
    </row>
    <row r="3521" spans="1:2" x14ac:dyDescent="0.2">
      <c r="A3521" s="40" t="s">
        <v>2180</v>
      </c>
      <c r="B3521" s="42">
        <v>113.59</v>
      </c>
    </row>
    <row r="3522" spans="1:2" x14ac:dyDescent="0.2">
      <c r="A3522" s="40" t="s">
        <v>2181</v>
      </c>
      <c r="B3522" s="42">
        <v>109.82</v>
      </c>
    </row>
    <row r="3523" spans="1:2" x14ac:dyDescent="0.2">
      <c r="A3523" s="40" t="s">
        <v>2182</v>
      </c>
      <c r="B3523" s="42">
        <v>108.99</v>
      </c>
    </row>
    <row r="3524" spans="1:2" x14ac:dyDescent="0.2">
      <c r="A3524" s="40" t="s">
        <v>2183</v>
      </c>
      <c r="B3524" s="42">
        <v>105.6</v>
      </c>
    </row>
    <row r="3525" spans="1:2" x14ac:dyDescent="0.2">
      <c r="A3525" s="41">
        <v>43836</v>
      </c>
      <c r="B3525" s="42">
        <v>106.47</v>
      </c>
    </row>
    <row r="3526" spans="1:2" x14ac:dyDescent="0.2">
      <c r="A3526" s="41">
        <v>43867</v>
      </c>
      <c r="B3526" s="42">
        <v>104.83</v>
      </c>
    </row>
    <row r="3527" spans="1:2" x14ac:dyDescent="0.2">
      <c r="A3527" s="41">
        <v>43896</v>
      </c>
      <c r="B3527" s="42">
        <v>106.85</v>
      </c>
    </row>
    <row r="3528" spans="1:2" x14ac:dyDescent="0.2">
      <c r="A3528" s="41">
        <v>43927</v>
      </c>
      <c r="B3528" s="42">
        <v>109.88</v>
      </c>
    </row>
    <row r="3529" spans="1:2" x14ac:dyDescent="0.2">
      <c r="A3529" s="41">
        <v>43957</v>
      </c>
      <c r="B3529" s="42">
        <v>107.59</v>
      </c>
    </row>
    <row r="3530" spans="1:2" x14ac:dyDescent="0.2">
      <c r="A3530" s="41">
        <v>44049</v>
      </c>
      <c r="B3530" s="42">
        <v>110.05</v>
      </c>
    </row>
    <row r="3531" spans="1:2" x14ac:dyDescent="0.2">
      <c r="A3531" s="41">
        <v>44080</v>
      </c>
      <c r="B3531" s="42">
        <v>111</v>
      </c>
    </row>
    <row r="3532" spans="1:2" x14ac:dyDescent="0.2">
      <c r="A3532" s="41">
        <v>44110</v>
      </c>
      <c r="B3532" s="42">
        <v>116.53</v>
      </c>
    </row>
    <row r="3533" spans="1:2" x14ac:dyDescent="0.2">
      <c r="A3533" s="41">
        <v>44141</v>
      </c>
      <c r="B3533" s="42">
        <v>146.84</v>
      </c>
    </row>
    <row r="3534" spans="1:2" x14ac:dyDescent="0.2">
      <c r="A3534" s="41">
        <v>44171</v>
      </c>
      <c r="B3534" s="42">
        <v>151.6</v>
      </c>
    </row>
    <row r="3535" spans="1:2" x14ac:dyDescent="0.2">
      <c r="A3535" s="40" t="s">
        <v>2184</v>
      </c>
      <c r="B3535" s="42">
        <v>141.83000000000001</v>
      </c>
    </row>
    <row r="3536" spans="1:2" x14ac:dyDescent="0.2">
      <c r="A3536" s="40" t="s">
        <v>2185</v>
      </c>
      <c r="B3536" s="42">
        <v>143.24</v>
      </c>
    </row>
    <row r="3537" spans="1:2" x14ac:dyDescent="0.2">
      <c r="A3537" s="40" t="s">
        <v>2186</v>
      </c>
      <c r="B3537" s="42">
        <v>139.94</v>
      </c>
    </row>
    <row r="3538" spans="1:2" x14ac:dyDescent="0.2">
      <c r="A3538" s="40" t="s">
        <v>2187</v>
      </c>
      <c r="B3538" s="42">
        <v>135.29</v>
      </c>
    </row>
    <row r="3539" spans="1:2" x14ac:dyDescent="0.2">
      <c r="A3539" s="40" t="s">
        <v>2188</v>
      </c>
      <c r="B3539" s="42">
        <v>138.35</v>
      </c>
    </row>
    <row r="3540" spans="1:2" x14ac:dyDescent="0.2">
      <c r="A3540" s="40" t="s">
        <v>2189</v>
      </c>
      <c r="B3540" s="42">
        <v>133.97999999999999</v>
      </c>
    </row>
    <row r="3541" spans="1:2" x14ac:dyDescent="0.2">
      <c r="A3541" s="40" t="s">
        <v>2190</v>
      </c>
      <c r="B3541" s="42">
        <v>130.72999999999999</v>
      </c>
    </row>
    <row r="3542" spans="1:2" x14ac:dyDescent="0.2">
      <c r="A3542" s="40" t="s">
        <v>2191</v>
      </c>
      <c r="B3542" s="42">
        <v>136.88999999999999</v>
      </c>
    </row>
    <row r="3543" spans="1:2" x14ac:dyDescent="0.2">
      <c r="A3543" s="40" t="s">
        <v>2192</v>
      </c>
      <c r="B3543" s="42">
        <v>127.2</v>
      </c>
    </row>
    <row r="3544" spans="1:2" x14ac:dyDescent="0.2">
      <c r="A3544" s="40" t="s">
        <v>2193</v>
      </c>
      <c r="B3544" s="42">
        <v>128.63</v>
      </c>
    </row>
    <row r="3545" spans="1:2" x14ac:dyDescent="0.2">
      <c r="A3545" s="40" t="s">
        <v>2194</v>
      </c>
      <c r="B3545" s="42">
        <v>121.32</v>
      </c>
    </row>
    <row r="3546" spans="1:2" x14ac:dyDescent="0.2">
      <c r="A3546" s="40" t="s">
        <v>2195</v>
      </c>
      <c r="B3546" s="42">
        <v>120.76</v>
      </c>
    </row>
    <row r="3547" spans="1:2" x14ac:dyDescent="0.2">
      <c r="A3547" s="41">
        <v>43837</v>
      </c>
      <c r="B3547" s="42">
        <v>120.83</v>
      </c>
    </row>
    <row r="3548" spans="1:2" x14ac:dyDescent="0.2">
      <c r="A3548" s="41">
        <v>43868</v>
      </c>
      <c r="B3548" s="42">
        <v>115.47</v>
      </c>
    </row>
    <row r="3549" spans="1:2" x14ac:dyDescent="0.2">
      <c r="A3549" s="41">
        <v>43989</v>
      </c>
      <c r="B3549" s="42">
        <v>116.57</v>
      </c>
    </row>
    <row r="3550" spans="1:2" x14ac:dyDescent="0.2">
      <c r="A3550" s="41">
        <v>44019</v>
      </c>
      <c r="B3550" s="42">
        <v>118.12</v>
      </c>
    </row>
    <row r="3551" spans="1:2" x14ac:dyDescent="0.2">
      <c r="A3551" s="41">
        <v>44050</v>
      </c>
      <c r="B3551" s="42">
        <v>113.34</v>
      </c>
    </row>
    <row r="3552" spans="1:2" x14ac:dyDescent="0.2">
      <c r="A3552" s="41">
        <v>44081</v>
      </c>
      <c r="B3552" s="42">
        <v>115.11</v>
      </c>
    </row>
    <row r="3553" spans="1:2" x14ac:dyDescent="0.2">
      <c r="A3553" s="41">
        <v>44111</v>
      </c>
      <c r="B3553" s="42">
        <v>109.71</v>
      </c>
    </row>
    <row r="3554" spans="1:2" x14ac:dyDescent="0.2">
      <c r="A3554" s="40" t="s">
        <v>2196</v>
      </c>
      <c r="B3554" s="42">
        <v>123.3</v>
      </c>
    </row>
    <row r="3555" spans="1:2" x14ac:dyDescent="0.2">
      <c r="A3555" s="40" t="s">
        <v>2197</v>
      </c>
      <c r="B3555" s="42">
        <v>112.75</v>
      </c>
    </row>
    <row r="3556" spans="1:2" x14ac:dyDescent="0.2">
      <c r="A3556" s="40" t="s">
        <v>2198</v>
      </c>
      <c r="B3556" s="42">
        <v>113.71</v>
      </c>
    </row>
    <row r="3557" spans="1:2" x14ac:dyDescent="0.2">
      <c r="A3557" s="40" t="s">
        <v>2199</v>
      </c>
      <c r="B3557" s="42">
        <v>115.62</v>
      </c>
    </row>
    <row r="3558" spans="1:2" x14ac:dyDescent="0.2">
      <c r="A3558" s="40" t="s">
        <v>2200</v>
      </c>
      <c r="B3558" s="42">
        <v>117.97</v>
      </c>
    </row>
    <row r="3559" spans="1:2" x14ac:dyDescent="0.2">
      <c r="A3559" s="40" t="s">
        <v>2201</v>
      </c>
      <c r="B3559" s="42">
        <v>112.51</v>
      </c>
    </row>
    <row r="3560" spans="1:2" x14ac:dyDescent="0.2">
      <c r="A3560" s="40" t="s">
        <v>2202</v>
      </c>
      <c r="B3560" s="42">
        <v>115.46</v>
      </c>
    </row>
    <row r="3561" spans="1:2" x14ac:dyDescent="0.2">
      <c r="A3561" s="40" t="s">
        <v>2203</v>
      </c>
      <c r="B3561" s="42">
        <v>112.84</v>
      </c>
    </row>
    <row r="3562" spans="1:2" x14ac:dyDescent="0.2">
      <c r="A3562" s="40" t="s">
        <v>2204</v>
      </c>
      <c r="B3562" s="42">
        <v>116.7</v>
      </c>
    </row>
    <row r="3563" spans="1:2" x14ac:dyDescent="0.2">
      <c r="A3563" s="40" t="s">
        <v>2205</v>
      </c>
      <c r="B3563" s="42">
        <v>117.22</v>
      </c>
    </row>
    <row r="3564" spans="1:2" x14ac:dyDescent="0.2">
      <c r="A3564" s="40" t="s">
        <v>2206</v>
      </c>
      <c r="B3564" s="42">
        <v>112.71</v>
      </c>
    </row>
    <row r="3565" spans="1:2" x14ac:dyDescent="0.2">
      <c r="A3565" s="40" t="s">
        <v>2207</v>
      </c>
      <c r="B3565" s="42">
        <v>113.88</v>
      </c>
    </row>
    <row r="3566" spans="1:2" x14ac:dyDescent="0.2">
      <c r="A3566" s="40" t="s">
        <v>2208</v>
      </c>
      <c r="B3566" s="42">
        <v>110.95</v>
      </c>
    </row>
    <row r="3567" spans="1:2" x14ac:dyDescent="0.2">
      <c r="A3567" s="40" t="s">
        <v>2209</v>
      </c>
      <c r="B3567" s="42">
        <v>112.16</v>
      </c>
    </row>
    <row r="3568" spans="1:2" x14ac:dyDescent="0.2">
      <c r="A3568" s="40" t="s">
        <v>2210</v>
      </c>
      <c r="B3568" s="42">
        <v>112.04</v>
      </c>
    </row>
    <row r="3569" spans="1:2" x14ac:dyDescent="0.2">
      <c r="A3569" s="41">
        <v>43898</v>
      </c>
      <c r="B3569" s="42">
        <v>111.02</v>
      </c>
    </row>
    <row r="3570" spans="1:2" x14ac:dyDescent="0.2">
      <c r="A3570" s="41">
        <v>43929</v>
      </c>
      <c r="B3570" s="42">
        <v>109</v>
      </c>
    </row>
    <row r="3571" spans="1:2" x14ac:dyDescent="0.2">
      <c r="A3571" s="41">
        <v>43959</v>
      </c>
      <c r="B3571" s="42">
        <v>105.67</v>
      </c>
    </row>
    <row r="3572" spans="1:2" x14ac:dyDescent="0.2">
      <c r="A3572" s="41">
        <v>43990</v>
      </c>
      <c r="B3572" s="42">
        <v>105.84</v>
      </c>
    </row>
    <row r="3573" spans="1:2" x14ac:dyDescent="0.2">
      <c r="A3573" s="41">
        <v>44020</v>
      </c>
      <c r="B3573" s="42">
        <v>108.18</v>
      </c>
    </row>
    <row r="3574" spans="1:2" x14ac:dyDescent="0.2">
      <c r="A3574" s="41">
        <v>44112</v>
      </c>
      <c r="B3574" s="42">
        <v>111.13</v>
      </c>
    </row>
    <row r="3575" spans="1:2" x14ac:dyDescent="0.2">
      <c r="A3575" s="41">
        <v>44143</v>
      </c>
      <c r="B3575" s="42">
        <v>118.34</v>
      </c>
    </row>
    <row r="3576" spans="1:2" x14ac:dyDescent="0.2">
      <c r="A3576" s="41">
        <v>44173</v>
      </c>
      <c r="B3576" s="42">
        <v>115.73</v>
      </c>
    </row>
    <row r="3577" spans="1:2" x14ac:dyDescent="0.2">
      <c r="A3577" s="40" t="s">
        <v>2211</v>
      </c>
      <c r="B3577" s="42">
        <v>115.18</v>
      </c>
    </row>
    <row r="3578" spans="1:2" x14ac:dyDescent="0.2">
      <c r="A3578" s="40" t="s">
        <v>2212</v>
      </c>
      <c r="B3578" s="42">
        <v>114.35</v>
      </c>
    </row>
    <row r="3579" spans="1:2" x14ac:dyDescent="0.2">
      <c r="A3579" s="40" t="s">
        <v>2213</v>
      </c>
      <c r="B3579" s="42">
        <v>110.35</v>
      </c>
    </row>
    <row r="3580" spans="1:2" x14ac:dyDescent="0.2">
      <c r="A3580" s="40" t="s">
        <v>2214</v>
      </c>
      <c r="B3580" s="42">
        <v>112.59</v>
      </c>
    </row>
    <row r="3581" spans="1:2" x14ac:dyDescent="0.2">
      <c r="A3581" s="40" t="s">
        <v>2215</v>
      </c>
      <c r="B3581" s="42">
        <v>114.72</v>
      </c>
    </row>
    <row r="3582" spans="1:2" x14ac:dyDescent="0.2">
      <c r="A3582" s="40" t="s">
        <v>2216</v>
      </c>
      <c r="B3582" s="42">
        <v>112.99</v>
      </c>
    </row>
    <row r="3583" spans="1:2" x14ac:dyDescent="0.2">
      <c r="A3583" s="40" t="s">
        <v>2217</v>
      </c>
      <c r="B3583" s="42">
        <v>111.25</v>
      </c>
    </row>
    <row r="3584" spans="1:2" x14ac:dyDescent="0.2">
      <c r="A3584" s="40" t="s">
        <v>2218</v>
      </c>
      <c r="B3584" s="42">
        <v>108.25</v>
      </c>
    </row>
    <row r="3585" spans="1:2" x14ac:dyDescent="0.2">
      <c r="A3585" s="40" t="s">
        <v>2219</v>
      </c>
      <c r="B3585" s="42">
        <v>103.88</v>
      </c>
    </row>
    <row r="3586" spans="1:2" x14ac:dyDescent="0.2">
      <c r="A3586" s="40" t="s">
        <v>2220</v>
      </c>
      <c r="B3586" s="42">
        <v>105.8</v>
      </c>
    </row>
    <row r="3587" spans="1:2" x14ac:dyDescent="0.2">
      <c r="A3587" s="40" t="s">
        <v>2221</v>
      </c>
      <c r="B3587" s="42">
        <v>114.74</v>
      </c>
    </row>
    <row r="3588" spans="1:2" x14ac:dyDescent="0.2">
      <c r="A3588" s="40" t="s">
        <v>2222</v>
      </c>
      <c r="B3588" s="42">
        <v>111.56</v>
      </c>
    </row>
    <row r="3589" spans="1:2" x14ac:dyDescent="0.2">
      <c r="A3589" s="40" t="s">
        <v>2223</v>
      </c>
      <c r="B3589" s="42">
        <v>119.01</v>
      </c>
    </row>
    <row r="3590" spans="1:2" x14ac:dyDescent="0.2">
      <c r="A3590" s="41">
        <v>43839</v>
      </c>
      <c r="B3590" s="42">
        <v>120.1</v>
      </c>
    </row>
    <row r="3591" spans="1:2" x14ac:dyDescent="0.2">
      <c r="A3591" s="41">
        <v>43870</v>
      </c>
      <c r="B3591" s="42">
        <v>122.01</v>
      </c>
    </row>
    <row r="3592" spans="1:2" x14ac:dyDescent="0.2">
      <c r="A3592" s="41">
        <v>43899</v>
      </c>
      <c r="B3592" s="42">
        <v>132.91</v>
      </c>
    </row>
    <row r="3593" spans="1:2" x14ac:dyDescent="0.2">
      <c r="A3593" s="41">
        <v>43930</v>
      </c>
      <c r="B3593" s="42">
        <v>122.14</v>
      </c>
    </row>
    <row r="3594" spans="1:2" x14ac:dyDescent="0.2">
      <c r="A3594" s="41">
        <v>44052</v>
      </c>
      <c r="B3594" s="42">
        <v>123.56</v>
      </c>
    </row>
    <row r="3595" spans="1:2" x14ac:dyDescent="0.2">
      <c r="A3595" s="41">
        <v>44083</v>
      </c>
      <c r="B3595" s="42">
        <v>121.54</v>
      </c>
    </row>
    <row r="3596" spans="1:2" x14ac:dyDescent="0.2">
      <c r="A3596" s="41">
        <v>44113</v>
      </c>
      <c r="B3596" s="42">
        <v>120.58</v>
      </c>
    </row>
    <row r="3597" spans="1:2" x14ac:dyDescent="0.2">
      <c r="A3597" s="41">
        <v>44144</v>
      </c>
      <c r="B3597" s="42">
        <v>113.95</v>
      </c>
    </row>
    <row r="3598" spans="1:2" x14ac:dyDescent="0.2">
      <c r="A3598" s="40" t="s">
        <v>2224</v>
      </c>
      <c r="B3598" s="42">
        <v>111.27</v>
      </c>
    </row>
    <row r="3599" spans="1:2" x14ac:dyDescent="0.2">
      <c r="A3599" s="40" t="s">
        <v>2225</v>
      </c>
      <c r="B3599" s="42">
        <v>108.97</v>
      </c>
    </row>
    <row r="3600" spans="1:2" x14ac:dyDescent="0.2">
      <c r="A3600" s="40" t="s">
        <v>2226</v>
      </c>
      <c r="B3600" s="42">
        <v>103.48</v>
      </c>
    </row>
    <row r="3601" spans="1:2" x14ac:dyDescent="0.2">
      <c r="A3601" s="40" t="s">
        <v>2227</v>
      </c>
      <c r="B3601" s="42">
        <v>100.37</v>
      </c>
    </row>
    <row r="3602" spans="1:2" x14ac:dyDescent="0.2">
      <c r="A3602" s="40" t="s">
        <v>2228</v>
      </c>
      <c r="B3602" s="42">
        <v>101.19</v>
      </c>
    </row>
    <row r="3603" spans="1:2" x14ac:dyDescent="0.2">
      <c r="A3603" s="40" t="s">
        <v>2229</v>
      </c>
      <c r="B3603" s="42">
        <v>108.74</v>
      </c>
    </row>
    <row r="3604" spans="1:2" x14ac:dyDescent="0.2">
      <c r="A3604" s="40" t="s">
        <v>2230</v>
      </c>
      <c r="B3604" s="42">
        <v>104.69</v>
      </c>
    </row>
    <row r="3605" spans="1:2" x14ac:dyDescent="0.2">
      <c r="A3605" s="40" t="s">
        <v>2231</v>
      </c>
      <c r="B3605" s="42">
        <v>107.35</v>
      </c>
    </row>
    <row r="3606" spans="1:2" x14ac:dyDescent="0.2">
      <c r="A3606" s="40" t="s">
        <v>2232</v>
      </c>
      <c r="B3606" s="42">
        <v>102.26</v>
      </c>
    </row>
    <row r="3607" spans="1:2" x14ac:dyDescent="0.2">
      <c r="A3607" s="40" t="s">
        <v>2233</v>
      </c>
      <c r="B3607" s="42">
        <v>99.64</v>
      </c>
    </row>
    <row r="3608" spans="1:2" x14ac:dyDescent="0.2">
      <c r="A3608" s="40" t="s">
        <v>2234</v>
      </c>
      <c r="B3608" s="42">
        <v>101.85</v>
      </c>
    </row>
    <row r="3609" spans="1:2" x14ac:dyDescent="0.2">
      <c r="A3609" s="40" t="s">
        <v>2235</v>
      </c>
      <c r="B3609" s="42">
        <v>96.93</v>
      </c>
    </row>
    <row r="3610" spans="1:2" x14ac:dyDescent="0.2">
      <c r="A3610" s="40" t="s">
        <v>2236</v>
      </c>
      <c r="B3610" s="42">
        <v>101.58</v>
      </c>
    </row>
    <row r="3611" spans="1:2" x14ac:dyDescent="0.2">
      <c r="A3611" s="41">
        <v>43840</v>
      </c>
      <c r="B3611" s="42">
        <v>101</v>
      </c>
    </row>
    <row r="3612" spans="1:2" x14ac:dyDescent="0.2">
      <c r="A3612" s="41">
        <v>43871</v>
      </c>
      <c r="B3612" s="42">
        <v>102.72</v>
      </c>
    </row>
    <row r="3613" spans="1:2" x14ac:dyDescent="0.2">
      <c r="A3613" s="41">
        <v>43961</v>
      </c>
      <c r="B3613" s="42">
        <v>103.22</v>
      </c>
    </row>
    <row r="3614" spans="1:2" x14ac:dyDescent="0.2">
      <c r="A3614" s="41">
        <v>43992</v>
      </c>
      <c r="B3614" s="42">
        <v>106.14</v>
      </c>
    </row>
    <row r="3615" spans="1:2" x14ac:dyDescent="0.2">
      <c r="A3615" s="41">
        <v>44022</v>
      </c>
      <c r="B3615" s="42">
        <v>104.19</v>
      </c>
    </row>
    <row r="3616" spans="1:2" x14ac:dyDescent="0.2">
      <c r="A3616" s="41">
        <v>44053</v>
      </c>
      <c r="B3616" s="42">
        <v>104.8</v>
      </c>
    </row>
    <row r="3617" spans="1:2" x14ac:dyDescent="0.2">
      <c r="A3617" s="41">
        <v>44084</v>
      </c>
      <c r="B3617" s="42">
        <v>109.22</v>
      </c>
    </row>
    <row r="3618" spans="1:2" x14ac:dyDescent="0.2">
      <c r="A3618" s="41">
        <v>44175</v>
      </c>
      <c r="B3618" s="42">
        <v>109.68</v>
      </c>
    </row>
    <row r="3619" spans="1:2" x14ac:dyDescent="0.2">
      <c r="A3619" s="40" t="s">
        <v>2237</v>
      </c>
      <c r="B3619" s="42">
        <v>110.97</v>
      </c>
    </row>
    <row r="3620" spans="1:2" x14ac:dyDescent="0.2">
      <c r="A3620" s="40" t="s">
        <v>2238</v>
      </c>
      <c r="B3620" s="42">
        <v>116.93</v>
      </c>
    </row>
    <row r="3621" spans="1:2" x14ac:dyDescent="0.2">
      <c r="A3621" s="40" t="s">
        <v>2239</v>
      </c>
      <c r="B3621" s="42">
        <v>117.59</v>
      </c>
    </row>
    <row r="3622" spans="1:2" x14ac:dyDescent="0.2">
      <c r="A3622" s="40" t="s">
        <v>2240</v>
      </c>
      <c r="B3622" s="42">
        <v>115.92</v>
      </c>
    </row>
    <row r="3623" spans="1:2" x14ac:dyDescent="0.2">
      <c r="A3623" s="40" t="s">
        <v>2241</v>
      </c>
      <c r="B3623" s="42">
        <v>119.76</v>
      </c>
    </row>
    <row r="3624" spans="1:2" x14ac:dyDescent="0.2">
      <c r="A3624" s="40" t="s">
        <v>2242</v>
      </c>
      <c r="B3624" s="42">
        <v>119.59</v>
      </c>
    </row>
    <row r="3625" spans="1:2" x14ac:dyDescent="0.2">
      <c r="A3625" s="40" t="s">
        <v>2243</v>
      </c>
      <c r="B3625" s="42">
        <v>117.47</v>
      </c>
    </row>
    <row r="3626" spans="1:2" x14ac:dyDescent="0.2">
      <c r="A3626" s="40" t="s">
        <v>2244</v>
      </c>
      <c r="B3626" s="42">
        <v>118.6</v>
      </c>
    </row>
    <row r="3627" spans="1:2" x14ac:dyDescent="0.2">
      <c r="A3627" s="40" t="s">
        <v>2245</v>
      </c>
      <c r="B3627" s="42">
        <v>118.94</v>
      </c>
    </row>
    <row r="3628" spans="1:2" x14ac:dyDescent="0.2">
      <c r="A3628" s="40" t="s">
        <v>2246</v>
      </c>
      <c r="B3628" s="42">
        <v>133.08000000000001</v>
      </c>
    </row>
    <row r="3629" spans="1:2" x14ac:dyDescent="0.2">
      <c r="A3629" s="40" t="s">
        <v>2247</v>
      </c>
      <c r="B3629" s="42">
        <v>135.32</v>
      </c>
    </row>
    <row r="3630" spans="1:2" x14ac:dyDescent="0.2">
      <c r="A3630" s="40" t="s">
        <v>2248</v>
      </c>
      <c r="B3630" s="42">
        <v>152.01</v>
      </c>
    </row>
    <row r="3631" spans="1:2" x14ac:dyDescent="0.2">
      <c r="A3631" s="40" t="s">
        <v>2249</v>
      </c>
      <c r="B3631" s="42">
        <v>147.84</v>
      </c>
    </row>
    <row r="3632" spans="1:2" x14ac:dyDescent="0.2">
      <c r="A3632" s="40" t="s">
        <v>2250</v>
      </c>
      <c r="B3632" s="42">
        <v>145.24</v>
      </c>
    </row>
    <row r="3633" spans="1:2" x14ac:dyDescent="0.2">
      <c r="A3633" s="41">
        <v>43872</v>
      </c>
      <c r="B3633" s="42">
        <v>142.65</v>
      </c>
    </row>
    <row r="3634" spans="1:2" x14ac:dyDescent="0.2">
      <c r="A3634" s="41">
        <v>43901</v>
      </c>
      <c r="B3634" s="42">
        <v>136.28</v>
      </c>
    </row>
    <row r="3635" spans="1:2" x14ac:dyDescent="0.2">
      <c r="A3635" s="41">
        <v>43932</v>
      </c>
      <c r="B3635" s="42">
        <v>122.12</v>
      </c>
    </row>
    <row r="3636" spans="1:2" x14ac:dyDescent="0.2">
      <c r="A3636" s="41">
        <v>43962</v>
      </c>
      <c r="B3636" s="42">
        <v>117.68</v>
      </c>
    </row>
    <row r="3637" spans="1:2" x14ac:dyDescent="0.2">
      <c r="A3637" s="41">
        <v>43993</v>
      </c>
      <c r="B3637" s="42">
        <v>112.92</v>
      </c>
    </row>
    <row r="3638" spans="1:2" x14ac:dyDescent="0.2">
      <c r="A3638" s="41">
        <v>44085</v>
      </c>
      <c r="B3638" s="42">
        <v>116.78</v>
      </c>
    </row>
    <row r="3639" spans="1:2" x14ac:dyDescent="0.2">
      <c r="A3639" s="41">
        <v>44115</v>
      </c>
      <c r="B3639" s="42">
        <v>116.05</v>
      </c>
    </row>
    <row r="3640" spans="1:2" x14ac:dyDescent="0.2">
      <c r="A3640" s="41">
        <v>44146</v>
      </c>
      <c r="B3640" s="42">
        <v>118.32</v>
      </c>
    </row>
    <row r="3641" spans="1:2" x14ac:dyDescent="0.2">
      <c r="A3641" s="41">
        <v>44176</v>
      </c>
      <c r="B3641" s="42">
        <v>121.57</v>
      </c>
    </row>
    <row r="3642" spans="1:2" x14ac:dyDescent="0.2">
      <c r="A3642" s="40" t="s">
        <v>2251</v>
      </c>
      <c r="B3642" s="42">
        <v>114.39</v>
      </c>
    </row>
    <row r="3643" spans="1:2" x14ac:dyDescent="0.2">
      <c r="A3643" s="40" t="s">
        <v>2252</v>
      </c>
      <c r="B3643" s="42">
        <v>115</v>
      </c>
    </row>
    <row r="3644" spans="1:2" x14ac:dyDescent="0.2">
      <c r="A3644" s="40" t="s">
        <v>2253</v>
      </c>
      <c r="B3644" s="42">
        <v>116.25</v>
      </c>
    </row>
    <row r="3645" spans="1:2" x14ac:dyDescent="0.2">
      <c r="A3645" s="40" t="s">
        <v>2254</v>
      </c>
      <c r="B3645" s="42">
        <v>117.9</v>
      </c>
    </row>
    <row r="3646" spans="1:2" x14ac:dyDescent="0.2">
      <c r="A3646" s="40" t="s">
        <v>2255</v>
      </c>
      <c r="B3646" s="42">
        <v>114.15</v>
      </c>
    </row>
    <row r="3647" spans="1:2" x14ac:dyDescent="0.2">
      <c r="A3647" s="40" t="s">
        <v>2256</v>
      </c>
      <c r="B3647" s="42">
        <v>113.99</v>
      </c>
    </row>
    <row r="3648" spans="1:2" x14ac:dyDescent="0.2">
      <c r="A3648" s="40" t="s">
        <v>2257</v>
      </c>
      <c r="B3648" s="42">
        <v>109.85</v>
      </c>
    </row>
    <row r="3649" spans="1:2" x14ac:dyDescent="0.2">
      <c r="A3649" s="40" t="s">
        <v>2258</v>
      </c>
      <c r="B3649" s="42">
        <v>104.56</v>
      </c>
    </row>
    <row r="3650" spans="1:2" x14ac:dyDescent="0.2">
      <c r="A3650" s="40" t="s">
        <v>2259</v>
      </c>
      <c r="B3650" s="42">
        <v>103.46</v>
      </c>
    </row>
    <row r="3651" spans="1:2" x14ac:dyDescent="0.2">
      <c r="A3651" s="40" t="s">
        <v>2260</v>
      </c>
      <c r="B3651" s="42">
        <v>106.12</v>
      </c>
    </row>
    <row r="3652" spans="1:2" x14ac:dyDescent="0.2">
      <c r="A3652" s="40" t="s">
        <v>2261</v>
      </c>
      <c r="B3652" s="42">
        <v>106.12</v>
      </c>
    </row>
    <row r="3653" spans="1:2" x14ac:dyDescent="0.2">
      <c r="A3653" s="41">
        <v>43842</v>
      </c>
      <c r="B3653" s="42">
        <v>108.43</v>
      </c>
    </row>
    <row r="3654" spans="1:2" x14ac:dyDescent="0.2">
      <c r="A3654" s="41">
        <v>43873</v>
      </c>
      <c r="B3654" s="42">
        <v>107.52</v>
      </c>
    </row>
    <row r="3655" spans="1:2" x14ac:dyDescent="0.2">
      <c r="A3655" s="41">
        <v>43902</v>
      </c>
      <c r="B3655" s="42">
        <v>107.89</v>
      </c>
    </row>
    <row r="3656" spans="1:2" x14ac:dyDescent="0.2">
      <c r="A3656" s="41">
        <v>43933</v>
      </c>
      <c r="B3656" s="42">
        <v>103.72</v>
      </c>
    </row>
    <row r="3657" spans="1:2" x14ac:dyDescent="0.2">
      <c r="A3657" s="41">
        <v>44024</v>
      </c>
      <c r="B3657" s="42">
        <v>104.42</v>
      </c>
    </row>
    <row r="3658" spans="1:2" x14ac:dyDescent="0.2">
      <c r="A3658" s="41">
        <v>44055</v>
      </c>
      <c r="B3658" s="42">
        <v>102.82</v>
      </c>
    </row>
    <row r="3659" spans="1:2" x14ac:dyDescent="0.2">
      <c r="A3659" s="41">
        <v>44086</v>
      </c>
      <c r="B3659" s="42">
        <v>113.93</v>
      </c>
    </row>
    <row r="3660" spans="1:2" x14ac:dyDescent="0.2">
      <c r="A3660" s="41">
        <v>44116</v>
      </c>
      <c r="B3660" s="42">
        <v>114.66</v>
      </c>
    </row>
    <row r="3661" spans="1:2" x14ac:dyDescent="0.2">
      <c r="A3661" s="41">
        <v>44147</v>
      </c>
      <c r="B3661" s="42">
        <v>120.77</v>
      </c>
    </row>
    <row r="3662" spans="1:2" x14ac:dyDescent="0.2">
      <c r="A3662" s="40" t="s">
        <v>2262</v>
      </c>
      <c r="B3662" s="42">
        <v>127.68</v>
      </c>
    </row>
    <row r="3663" spans="1:2" x14ac:dyDescent="0.2">
      <c r="A3663" s="40" t="s">
        <v>2263</v>
      </c>
      <c r="B3663" s="42">
        <v>119.11</v>
      </c>
    </row>
    <row r="3664" spans="1:2" x14ac:dyDescent="0.2">
      <c r="A3664" s="40" t="s">
        <v>2264</v>
      </c>
      <c r="B3664" s="42">
        <v>111.85</v>
      </c>
    </row>
    <row r="3665" spans="1:2" x14ac:dyDescent="0.2">
      <c r="A3665" s="40" t="s">
        <v>2265</v>
      </c>
      <c r="B3665" s="42">
        <v>110.21</v>
      </c>
    </row>
    <row r="3666" spans="1:2" x14ac:dyDescent="0.2">
      <c r="A3666" s="40" t="s">
        <v>2266</v>
      </c>
      <c r="B3666" s="42">
        <v>110.3</v>
      </c>
    </row>
    <row r="3667" spans="1:2" x14ac:dyDescent="0.2">
      <c r="A3667" s="40" t="s">
        <v>2267</v>
      </c>
      <c r="B3667" s="42">
        <v>121.61</v>
      </c>
    </row>
    <row r="3668" spans="1:2" x14ac:dyDescent="0.2">
      <c r="A3668" s="40" t="s">
        <v>2268</v>
      </c>
      <c r="B3668" s="42">
        <v>120.57</v>
      </c>
    </row>
    <row r="3669" spans="1:2" x14ac:dyDescent="0.2">
      <c r="A3669" s="40" t="s">
        <v>2269</v>
      </c>
      <c r="B3669" s="42">
        <v>118.31</v>
      </c>
    </row>
    <row r="3670" spans="1:2" x14ac:dyDescent="0.2">
      <c r="A3670" s="40" t="s">
        <v>2270</v>
      </c>
      <c r="B3670" s="42">
        <v>115.26</v>
      </c>
    </row>
    <row r="3671" spans="1:2" x14ac:dyDescent="0.2">
      <c r="A3671" s="40" t="s">
        <v>2271</v>
      </c>
      <c r="B3671" s="42">
        <v>114.4</v>
      </c>
    </row>
    <row r="3672" spans="1:2" x14ac:dyDescent="0.2">
      <c r="A3672" s="40" t="s">
        <v>2272</v>
      </c>
      <c r="B3672" s="42">
        <v>116.27</v>
      </c>
    </row>
    <row r="3673" spans="1:2" x14ac:dyDescent="0.2">
      <c r="A3673" s="40" t="s">
        <v>2273</v>
      </c>
      <c r="B3673" s="42">
        <v>112.04</v>
      </c>
    </row>
    <row r="3674" spans="1:2" x14ac:dyDescent="0.2">
      <c r="A3674" s="40" t="s">
        <v>2274</v>
      </c>
      <c r="B3674" s="42">
        <v>111.86</v>
      </c>
    </row>
    <row r="3675" spans="1:2" x14ac:dyDescent="0.2">
      <c r="A3675" s="41">
        <v>44287</v>
      </c>
      <c r="B3675" s="42">
        <v>124.65</v>
      </c>
    </row>
    <row r="3676" spans="1:2" x14ac:dyDescent="0.2">
      <c r="A3676" s="41">
        <v>44317</v>
      </c>
      <c r="B3676" s="42">
        <v>120.07</v>
      </c>
    </row>
    <row r="3677" spans="1:2" x14ac:dyDescent="0.2">
      <c r="A3677" s="41">
        <v>44348</v>
      </c>
      <c r="B3677" s="42">
        <v>119.9</v>
      </c>
    </row>
    <row r="3678" spans="1:2" x14ac:dyDescent="0.2">
      <c r="A3678" s="41">
        <v>44378</v>
      </c>
      <c r="B3678" s="42">
        <v>109.38</v>
      </c>
    </row>
    <row r="3679" spans="1:2" x14ac:dyDescent="0.2">
      <c r="A3679" s="41">
        <v>44409</v>
      </c>
      <c r="B3679" s="42">
        <v>111</v>
      </c>
    </row>
    <row r="3680" spans="1:2" x14ac:dyDescent="0.2">
      <c r="A3680" s="41">
        <v>44501</v>
      </c>
      <c r="B3680" s="42">
        <v>118.8</v>
      </c>
    </row>
    <row r="3681" spans="1:2" x14ac:dyDescent="0.2">
      <c r="A3681" s="41">
        <v>44531</v>
      </c>
      <c r="B3681" s="42">
        <v>115.79</v>
      </c>
    </row>
    <row r="3682" spans="1:2" x14ac:dyDescent="0.2">
      <c r="A3682" s="40" t="s">
        <v>2275</v>
      </c>
      <c r="B3682" s="42">
        <v>117.76</v>
      </c>
    </row>
    <row r="3683" spans="1:2" x14ac:dyDescent="0.2">
      <c r="A3683" s="40" t="s">
        <v>2276</v>
      </c>
      <c r="B3683" s="42">
        <v>122.78</v>
      </c>
    </row>
    <row r="3684" spans="1:2" x14ac:dyDescent="0.2">
      <c r="A3684" s="40" t="s">
        <v>2277</v>
      </c>
      <c r="B3684" s="42">
        <v>124.25</v>
      </c>
    </row>
    <row r="3685" spans="1:2" x14ac:dyDescent="0.2">
      <c r="A3685" s="40" t="s">
        <v>2278</v>
      </c>
      <c r="B3685" s="42">
        <v>120.71</v>
      </c>
    </row>
    <row r="3686" spans="1:2" x14ac:dyDescent="0.2">
      <c r="A3686" s="40" t="s">
        <v>2279</v>
      </c>
      <c r="B3686" s="42">
        <v>114.17</v>
      </c>
    </row>
    <row r="3687" spans="1:2" x14ac:dyDescent="0.2">
      <c r="A3687" s="40" t="s">
        <v>2280</v>
      </c>
      <c r="B3687" s="42">
        <v>112.59</v>
      </c>
    </row>
    <row r="3688" spans="1:2" x14ac:dyDescent="0.2">
      <c r="A3688" s="40" t="s">
        <v>2281</v>
      </c>
      <c r="B3688" s="42">
        <v>111.79</v>
      </c>
    </row>
    <row r="3689" spans="1:2" x14ac:dyDescent="0.2">
      <c r="A3689" s="40" t="s">
        <v>2282</v>
      </c>
      <c r="B3689" s="42">
        <v>116.63</v>
      </c>
    </row>
    <row r="3690" spans="1:2" x14ac:dyDescent="0.2">
      <c r="A3690" s="40" t="s">
        <v>2283</v>
      </c>
      <c r="B3690" s="42">
        <v>115.31</v>
      </c>
    </row>
    <row r="3691" spans="1:2" x14ac:dyDescent="0.2">
      <c r="A3691" s="40" t="s">
        <v>2284</v>
      </c>
      <c r="B3691" s="42">
        <v>157.69</v>
      </c>
    </row>
    <row r="3692" spans="1:2" x14ac:dyDescent="0.2">
      <c r="A3692" s="40" t="s">
        <v>2285</v>
      </c>
      <c r="B3692" s="42">
        <v>133.22</v>
      </c>
    </row>
    <row r="3693" spans="1:2" x14ac:dyDescent="0.2">
      <c r="A3693" s="40" t="s">
        <v>2286</v>
      </c>
      <c r="B3693" s="42">
        <v>137.33000000000001</v>
      </c>
    </row>
    <row r="3694" spans="1:2" x14ac:dyDescent="0.2">
      <c r="A3694" s="41">
        <v>44198</v>
      </c>
      <c r="B3694" s="42">
        <v>129.44</v>
      </c>
    </row>
    <row r="3695" spans="1:2" x14ac:dyDescent="0.2">
      <c r="A3695" s="41">
        <v>44229</v>
      </c>
      <c r="B3695" s="42">
        <v>119.1</v>
      </c>
    </row>
    <row r="3696" spans="1:2" x14ac:dyDescent="0.2">
      <c r="A3696" s="41">
        <v>44257</v>
      </c>
      <c r="B3696" s="42">
        <v>111.03</v>
      </c>
    </row>
    <row r="3697" spans="1:2" x14ac:dyDescent="0.2">
      <c r="A3697" s="41">
        <v>44288</v>
      </c>
      <c r="B3697" s="42">
        <v>108.47</v>
      </c>
    </row>
    <row r="3698" spans="1:2" x14ac:dyDescent="0.2">
      <c r="A3698" s="41">
        <v>44318</v>
      </c>
      <c r="B3698" s="42">
        <v>107.64</v>
      </c>
    </row>
    <row r="3699" spans="1:2" x14ac:dyDescent="0.2">
      <c r="A3699" s="41">
        <v>44410</v>
      </c>
      <c r="B3699" s="42">
        <v>106.61</v>
      </c>
    </row>
    <row r="3700" spans="1:2" x14ac:dyDescent="0.2">
      <c r="A3700" s="41">
        <v>44441</v>
      </c>
      <c r="B3700" s="42">
        <v>108.14</v>
      </c>
    </row>
    <row r="3701" spans="1:2" x14ac:dyDescent="0.2">
      <c r="A3701" s="41">
        <v>44471</v>
      </c>
      <c r="B3701" s="42">
        <v>114.93</v>
      </c>
    </row>
    <row r="3702" spans="1:2" x14ac:dyDescent="0.2">
      <c r="A3702" s="41">
        <v>44502</v>
      </c>
      <c r="B3702" s="42">
        <v>116.22</v>
      </c>
    </row>
    <row r="3703" spans="1:2" x14ac:dyDescent="0.2">
      <c r="A3703" s="41">
        <v>44532</v>
      </c>
      <c r="B3703" s="42">
        <v>118.59</v>
      </c>
    </row>
    <row r="3704" spans="1:2" x14ac:dyDescent="0.2">
      <c r="A3704" s="40" t="s">
        <v>2287</v>
      </c>
      <c r="B3704" s="42">
        <v>124.66</v>
      </c>
    </row>
    <row r="3705" spans="1:2" x14ac:dyDescent="0.2">
      <c r="A3705" s="40" t="s">
        <v>2288</v>
      </c>
      <c r="B3705" s="42">
        <v>122.83</v>
      </c>
    </row>
    <row r="3706" spans="1:2" x14ac:dyDescent="0.2">
      <c r="A3706" s="40" t="s">
        <v>2289</v>
      </c>
      <c r="B3706" s="42">
        <v>121.05</v>
      </c>
    </row>
    <row r="3707" spans="1:2" x14ac:dyDescent="0.2">
      <c r="A3707" s="40" t="s">
        <v>2290</v>
      </c>
      <c r="B3707" s="42">
        <v>117.45</v>
      </c>
    </row>
    <row r="3708" spans="1:2" x14ac:dyDescent="0.2">
      <c r="A3708" s="40" t="s">
        <v>2291</v>
      </c>
      <c r="B3708" s="42">
        <v>117.06</v>
      </c>
    </row>
    <row r="3709" spans="1:2" x14ac:dyDescent="0.2">
      <c r="A3709" s="40" t="s">
        <v>2292</v>
      </c>
      <c r="B3709" s="42">
        <v>112.78</v>
      </c>
    </row>
    <row r="3710" spans="1:2" x14ac:dyDescent="0.2">
      <c r="A3710" s="40" t="s">
        <v>2293</v>
      </c>
      <c r="B3710" s="42">
        <v>109.6</v>
      </c>
    </row>
    <row r="3711" spans="1:2" x14ac:dyDescent="0.2">
      <c r="A3711" s="40" t="s">
        <v>2294</v>
      </c>
      <c r="B3711" s="42">
        <v>127.83</v>
      </c>
    </row>
    <row r="3712" spans="1:2" x14ac:dyDescent="0.2">
      <c r="A3712" s="40" t="s">
        <v>2295</v>
      </c>
      <c r="B3712" s="42">
        <v>124.96</v>
      </c>
    </row>
    <row r="3713" spans="1:2" x14ac:dyDescent="0.2">
      <c r="A3713" s="41">
        <v>44199</v>
      </c>
      <c r="B3713" s="42">
        <v>114.94</v>
      </c>
    </row>
    <row r="3714" spans="1:2" x14ac:dyDescent="0.2">
      <c r="A3714" s="41">
        <v>44230</v>
      </c>
      <c r="B3714" s="42">
        <v>114.92</v>
      </c>
    </row>
    <row r="3715" spans="1:2" x14ac:dyDescent="0.2">
      <c r="A3715" s="41">
        <v>44258</v>
      </c>
      <c r="B3715" s="42">
        <v>121.23</v>
      </c>
    </row>
    <row r="3716" spans="1:2" x14ac:dyDescent="0.2">
      <c r="A3716" s="41">
        <v>44289</v>
      </c>
      <c r="B3716" s="42">
        <v>124.62</v>
      </c>
    </row>
    <row r="3717" spans="1:2" x14ac:dyDescent="0.2">
      <c r="A3717" s="41">
        <v>44319</v>
      </c>
      <c r="B3717" s="42">
        <v>116.21</v>
      </c>
    </row>
    <row r="3718" spans="1:2" x14ac:dyDescent="0.2">
      <c r="A3718" s="41">
        <v>44411</v>
      </c>
      <c r="B3718" s="42">
        <v>114.62</v>
      </c>
    </row>
    <row r="3719" spans="1:2" x14ac:dyDescent="0.2">
      <c r="A3719" s="41">
        <v>44442</v>
      </c>
      <c r="B3719" s="42">
        <v>108.71</v>
      </c>
    </row>
    <row r="3720" spans="1:2" x14ac:dyDescent="0.2">
      <c r="A3720" s="41">
        <v>44472</v>
      </c>
      <c r="B3720" s="42">
        <v>114.68</v>
      </c>
    </row>
    <row r="3721" spans="1:2" x14ac:dyDescent="0.2">
      <c r="A3721" s="41">
        <v>44503</v>
      </c>
      <c r="B3721" s="42">
        <v>112.87</v>
      </c>
    </row>
    <row r="3722" spans="1:2" x14ac:dyDescent="0.2">
      <c r="A3722" s="41">
        <v>44533</v>
      </c>
      <c r="B3722" s="42">
        <v>111.73</v>
      </c>
    </row>
    <row r="3723" spans="1:2" x14ac:dyDescent="0.2">
      <c r="A3723" s="40" t="s">
        <v>2296</v>
      </c>
      <c r="B3723" s="42">
        <v>110.49</v>
      </c>
    </row>
    <row r="3724" spans="1:2" x14ac:dyDescent="0.2">
      <c r="A3724" s="40" t="s">
        <v>2297</v>
      </c>
      <c r="B3724" s="42">
        <v>113.73</v>
      </c>
    </row>
    <row r="3725" spans="1:2" x14ac:dyDescent="0.2">
      <c r="A3725" s="40" t="s">
        <v>2298</v>
      </c>
      <c r="B3725" s="42">
        <v>109.9</v>
      </c>
    </row>
    <row r="3726" spans="1:2" x14ac:dyDescent="0.2">
      <c r="A3726" s="40" t="s">
        <v>2299</v>
      </c>
      <c r="B3726" s="42">
        <v>117.8</v>
      </c>
    </row>
    <row r="3727" spans="1:2" x14ac:dyDescent="0.2">
      <c r="A3727" s="40" t="s">
        <v>2300</v>
      </c>
      <c r="B3727" s="42">
        <v>115.95</v>
      </c>
    </row>
    <row r="3728" spans="1:2" x14ac:dyDescent="0.2">
      <c r="A3728" s="40" t="s">
        <v>2301</v>
      </c>
      <c r="B3728" s="42">
        <v>108.63</v>
      </c>
    </row>
    <row r="3729" spans="1:2" x14ac:dyDescent="0.2">
      <c r="A3729" s="40" t="s">
        <v>2302</v>
      </c>
      <c r="B3729" s="42">
        <v>111.69</v>
      </c>
    </row>
    <row r="3730" spans="1:2" x14ac:dyDescent="0.2">
      <c r="A3730" s="40" t="s">
        <v>2303</v>
      </c>
      <c r="B3730" s="42">
        <v>110.67</v>
      </c>
    </row>
    <row r="3731" spans="1:2" x14ac:dyDescent="0.2">
      <c r="A3731" s="40" t="s">
        <v>2304</v>
      </c>
      <c r="B3731" s="42">
        <v>104.75</v>
      </c>
    </row>
    <row r="3732" spans="1:2" x14ac:dyDescent="0.2">
      <c r="A3732" s="40" t="s">
        <v>2305</v>
      </c>
      <c r="B3732" s="42">
        <v>103.26</v>
      </c>
    </row>
    <row r="3733" spans="1:2" x14ac:dyDescent="0.2">
      <c r="A3733" s="40" t="s">
        <v>2306</v>
      </c>
      <c r="B3733" s="42">
        <v>105.84</v>
      </c>
    </row>
    <row r="3734" spans="1:2" x14ac:dyDescent="0.2">
      <c r="A3734" s="40" t="s">
        <v>2307</v>
      </c>
      <c r="B3734" s="42">
        <v>101.9</v>
      </c>
    </row>
    <row r="3735" spans="1:2" x14ac:dyDescent="0.2">
      <c r="A3735" s="40" t="s">
        <v>2308</v>
      </c>
      <c r="B3735" s="42">
        <v>100.04</v>
      </c>
    </row>
    <row r="3736" spans="1:2" x14ac:dyDescent="0.2">
      <c r="A3736" s="41">
        <v>44200</v>
      </c>
      <c r="B3736" s="42">
        <v>98.97</v>
      </c>
    </row>
    <row r="3737" spans="1:2" x14ac:dyDescent="0.2">
      <c r="A3737" s="41">
        <v>44320</v>
      </c>
      <c r="B3737" s="42">
        <v>99.24</v>
      </c>
    </row>
    <row r="3738" spans="1:2" x14ac:dyDescent="0.2">
      <c r="A3738" s="41">
        <v>44351</v>
      </c>
      <c r="B3738" s="42">
        <v>99.06</v>
      </c>
    </row>
    <row r="3739" spans="1:2" x14ac:dyDescent="0.2">
      <c r="A3739" s="41">
        <v>44381</v>
      </c>
      <c r="B3739" s="42">
        <v>97.09</v>
      </c>
    </row>
    <row r="3740" spans="1:2" x14ac:dyDescent="0.2">
      <c r="A3740" s="41">
        <v>44412</v>
      </c>
      <c r="B3740" s="42">
        <v>100.72</v>
      </c>
    </row>
    <row r="3741" spans="1:2" x14ac:dyDescent="0.2">
      <c r="A3741" s="41">
        <v>44443</v>
      </c>
      <c r="B3741" s="42">
        <v>102.06</v>
      </c>
    </row>
    <row r="3742" spans="1:2" x14ac:dyDescent="0.2">
      <c r="A3742" s="41">
        <v>44534</v>
      </c>
      <c r="B3742" s="42">
        <v>102.08</v>
      </c>
    </row>
    <row r="3743" spans="1:2" x14ac:dyDescent="0.2">
      <c r="A3743" s="40" t="s">
        <v>2309</v>
      </c>
      <c r="B3743" s="42">
        <v>100.44</v>
      </c>
    </row>
    <row r="3744" spans="1:2" x14ac:dyDescent="0.2">
      <c r="A3744" s="40" t="s">
        <v>2310</v>
      </c>
      <c r="B3744" s="42">
        <v>107.47</v>
      </c>
    </row>
    <row r="3745" spans="1:2" x14ac:dyDescent="0.2">
      <c r="A3745" s="40" t="s">
        <v>2311</v>
      </c>
      <c r="B3745" s="42">
        <v>108.66</v>
      </c>
    </row>
    <row r="3746" spans="1:2" x14ac:dyDescent="0.2">
      <c r="A3746" s="40" t="s">
        <v>2312</v>
      </c>
      <c r="B3746" s="42">
        <v>107.8</v>
      </c>
    </row>
    <row r="3747" spans="1:2" x14ac:dyDescent="0.2">
      <c r="A3747" s="40" t="s">
        <v>2313</v>
      </c>
      <c r="B3747" s="42">
        <v>111.9</v>
      </c>
    </row>
    <row r="3748" spans="1:2" x14ac:dyDescent="0.2">
      <c r="A3748" s="40" t="s">
        <v>2314</v>
      </c>
      <c r="B3748" s="42">
        <v>116.37</v>
      </c>
    </row>
    <row r="3749" spans="1:2" x14ac:dyDescent="0.2">
      <c r="A3749" s="40" t="s">
        <v>2315</v>
      </c>
      <c r="B3749" s="42">
        <v>112.9</v>
      </c>
    </row>
    <row r="3750" spans="1:2" x14ac:dyDescent="0.2">
      <c r="A3750" s="40" t="s">
        <v>2316</v>
      </c>
      <c r="B3750" s="42">
        <v>116.05</v>
      </c>
    </row>
    <row r="3751" spans="1:2" x14ac:dyDescent="0.2">
      <c r="A3751" s="40" t="s">
        <v>2317</v>
      </c>
      <c r="B3751" s="42">
        <v>108.36</v>
      </c>
    </row>
    <row r="3752" spans="1:2" x14ac:dyDescent="0.2">
      <c r="A3752" s="40" t="s">
        <v>2318</v>
      </c>
      <c r="B3752" s="42">
        <v>104.01</v>
      </c>
    </row>
    <row r="3753" spans="1:2" x14ac:dyDescent="0.2">
      <c r="A3753" s="40" t="s">
        <v>2319</v>
      </c>
      <c r="B3753" s="42">
        <v>103.39</v>
      </c>
    </row>
    <row r="3754" spans="1:2" x14ac:dyDescent="0.2">
      <c r="A3754" s="40" t="s">
        <v>2320</v>
      </c>
      <c r="B3754" s="42">
        <v>104.78</v>
      </c>
    </row>
    <row r="3755" spans="1:2" x14ac:dyDescent="0.2">
      <c r="A3755" s="40" t="s">
        <v>2321</v>
      </c>
      <c r="B3755" s="42">
        <v>105.46</v>
      </c>
    </row>
    <row r="3756" spans="1:2" x14ac:dyDescent="0.2">
      <c r="A3756" s="40" t="s">
        <v>2322</v>
      </c>
      <c r="B3756" s="42">
        <v>109.22</v>
      </c>
    </row>
    <row r="3757" spans="1:2" x14ac:dyDescent="0.2">
      <c r="A3757" s="41">
        <v>44260</v>
      </c>
      <c r="B3757" s="42">
        <v>108.32</v>
      </c>
    </row>
    <row r="3758" spans="1:2" x14ac:dyDescent="0.2">
      <c r="A3758" s="41">
        <v>44291</v>
      </c>
      <c r="B3758" s="42">
        <v>111.22</v>
      </c>
    </row>
    <row r="3759" spans="1:2" x14ac:dyDescent="0.2">
      <c r="A3759" s="41">
        <v>44321</v>
      </c>
      <c r="B3759" s="42">
        <v>109.51</v>
      </c>
    </row>
    <row r="3760" spans="1:2" x14ac:dyDescent="0.2">
      <c r="A3760" s="41">
        <v>44352</v>
      </c>
      <c r="B3760" s="42">
        <v>108.39</v>
      </c>
    </row>
    <row r="3761" spans="1:2" x14ac:dyDescent="0.2">
      <c r="A3761" s="41">
        <v>44382</v>
      </c>
      <c r="B3761" s="42">
        <v>107.03</v>
      </c>
    </row>
    <row r="3762" spans="1:2" x14ac:dyDescent="0.2">
      <c r="A3762" s="41">
        <v>44474</v>
      </c>
      <c r="B3762" s="42">
        <v>114.1</v>
      </c>
    </row>
    <row r="3763" spans="1:2" x14ac:dyDescent="0.2">
      <c r="A3763" s="41">
        <v>44505</v>
      </c>
      <c r="B3763" s="42">
        <v>122.47</v>
      </c>
    </row>
    <row r="3764" spans="1:2" x14ac:dyDescent="0.2">
      <c r="A3764" s="41">
        <v>44535</v>
      </c>
      <c r="B3764" s="42">
        <v>146.28</v>
      </c>
    </row>
    <row r="3765" spans="1:2" x14ac:dyDescent="0.2">
      <c r="A3765" s="40" t="s">
        <v>2323</v>
      </c>
      <c r="B3765" s="42">
        <v>130.01</v>
      </c>
    </row>
    <row r="3766" spans="1:2" x14ac:dyDescent="0.2">
      <c r="A3766" s="40" t="s">
        <v>2324</v>
      </c>
      <c r="B3766" s="42">
        <v>117.56</v>
      </c>
    </row>
    <row r="3767" spans="1:2" x14ac:dyDescent="0.2">
      <c r="A3767" s="40" t="s">
        <v>2325</v>
      </c>
      <c r="B3767" s="42">
        <v>120.7</v>
      </c>
    </row>
    <row r="3768" spans="1:2" x14ac:dyDescent="0.2">
      <c r="A3768" s="40" t="s">
        <v>2326</v>
      </c>
      <c r="B3768" s="42">
        <v>123.93</v>
      </c>
    </row>
    <row r="3769" spans="1:2" x14ac:dyDescent="0.2">
      <c r="A3769" s="40" t="s">
        <v>2327</v>
      </c>
      <c r="B3769" s="42">
        <v>130.16999999999999</v>
      </c>
    </row>
    <row r="3770" spans="1:2" x14ac:dyDescent="0.2">
      <c r="A3770" s="40" t="s">
        <v>2328</v>
      </c>
      <c r="B3770" s="42">
        <v>126.34</v>
      </c>
    </row>
    <row r="3771" spans="1:2" x14ac:dyDescent="0.2">
      <c r="A3771" s="40" t="s">
        <v>2329</v>
      </c>
      <c r="B3771" s="42">
        <v>124.22</v>
      </c>
    </row>
    <row r="3772" spans="1:2" x14ac:dyDescent="0.2">
      <c r="A3772" s="40" t="s">
        <v>2330</v>
      </c>
      <c r="B3772" s="42">
        <v>116.12</v>
      </c>
    </row>
    <row r="3773" spans="1:2" x14ac:dyDescent="0.2">
      <c r="A3773" s="40" t="s">
        <v>2331</v>
      </c>
      <c r="B3773" s="42">
        <v>113.55</v>
      </c>
    </row>
    <row r="3774" spans="1:2" x14ac:dyDescent="0.2">
      <c r="A3774" s="40" t="s">
        <v>2332</v>
      </c>
      <c r="B3774" s="42">
        <v>106.29</v>
      </c>
    </row>
    <row r="3775" spans="1:2" x14ac:dyDescent="0.2">
      <c r="A3775" s="40" t="s">
        <v>2333</v>
      </c>
      <c r="B3775" s="42">
        <v>103.88</v>
      </c>
    </row>
    <row r="3776" spans="1:2" x14ac:dyDescent="0.2">
      <c r="A3776" s="40" t="s">
        <v>2334</v>
      </c>
      <c r="B3776" s="42">
        <v>105.41</v>
      </c>
    </row>
    <row r="3777" spans="1:2" x14ac:dyDescent="0.2">
      <c r="A3777" s="41">
        <v>44202</v>
      </c>
      <c r="B3777" s="42">
        <v>113.04</v>
      </c>
    </row>
    <row r="3778" spans="1:2" x14ac:dyDescent="0.2">
      <c r="A3778" s="41">
        <v>44233</v>
      </c>
      <c r="B3778" s="42">
        <v>112.57</v>
      </c>
    </row>
    <row r="3779" spans="1:2" x14ac:dyDescent="0.2">
      <c r="A3779" s="41">
        <v>44261</v>
      </c>
      <c r="B3779" s="42">
        <v>114.31</v>
      </c>
    </row>
    <row r="3780" spans="1:2" x14ac:dyDescent="0.2">
      <c r="A3780" s="41">
        <v>44292</v>
      </c>
      <c r="B3780" s="42">
        <v>108.16</v>
      </c>
    </row>
    <row r="3781" spans="1:2" x14ac:dyDescent="0.2">
      <c r="A3781" s="41">
        <v>44383</v>
      </c>
      <c r="B3781" s="42">
        <v>108.03</v>
      </c>
    </row>
    <row r="3782" spans="1:2" x14ac:dyDescent="0.2">
      <c r="A3782" s="41">
        <v>44414</v>
      </c>
      <c r="B3782" s="42">
        <v>109.62</v>
      </c>
    </row>
    <row r="3783" spans="1:2" x14ac:dyDescent="0.2">
      <c r="A3783" s="41">
        <v>44445</v>
      </c>
      <c r="B3783" s="42">
        <v>120.97</v>
      </c>
    </row>
    <row r="3784" spans="1:2" x14ac:dyDescent="0.2">
      <c r="A3784" s="41">
        <v>44475</v>
      </c>
      <c r="B3784" s="42">
        <v>116.76</v>
      </c>
    </row>
    <row r="3785" spans="1:2" x14ac:dyDescent="0.2">
      <c r="A3785" s="41">
        <v>44506</v>
      </c>
      <c r="B3785" s="42">
        <v>116.12</v>
      </c>
    </row>
    <row r="3786" spans="1:2" x14ac:dyDescent="0.2">
      <c r="A3786" s="40" t="s">
        <v>2335</v>
      </c>
      <c r="B3786" s="42">
        <v>119.8</v>
      </c>
    </row>
    <row r="3787" spans="1:2" x14ac:dyDescent="0.2">
      <c r="A3787" s="40" t="s">
        <v>2336</v>
      </c>
      <c r="B3787" s="42">
        <v>122.9</v>
      </c>
    </row>
    <row r="3788" spans="1:2" x14ac:dyDescent="0.2">
      <c r="A3788" s="40" t="s">
        <v>2337</v>
      </c>
      <c r="B3788" s="42">
        <v>121.57</v>
      </c>
    </row>
    <row r="3789" spans="1:2" x14ac:dyDescent="0.2">
      <c r="A3789" s="40" t="s">
        <v>2338</v>
      </c>
      <c r="B3789" s="42">
        <v>120.63</v>
      </c>
    </row>
    <row r="3790" spans="1:2" x14ac:dyDescent="0.2">
      <c r="A3790" s="40" t="s">
        <v>2339</v>
      </c>
      <c r="B3790" s="42">
        <v>128.83000000000001</v>
      </c>
    </row>
    <row r="3791" spans="1:2" x14ac:dyDescent="0.2">
      <c r="A3791" s="40" t="s">
        <v>2340</v>
      </c>
      <c r="B3791" s="42">
        <v>121.25</v>
      </c>
    </row>
    <row r="3792" spans="1:2" x14ac:dyDescent="0.2">
      <c r="A3792" s="40" t="s">
        <v>2341</v>
      </c>
      <c r="B3792" s="42">
        <v>114.01</v>
      </c>
    </row>
    <row r="3793" spans="1:2" x14ac:dyDescent="0.2">
      <c r="A3793" s="40" t="s">
        <v>2342</v>
      </c>
      <c r="B3793" s="42">
        <v>110.48</v>
      </c>
    </row>
    <row r="3794" spans="1:2" x14ac:dyDescent="0.2">
      <c r="A3794" s="40" t="s">
        <v>2343</v>
      </c>
      <c r="B3794" s="42">
        <v>107.87</v>
      </c>
    </row>
    <row r="3795" spans="1:2" x14ac:dyDescent="0.2">
      <c r="A3795" s="40" t="s">
        <v>2344</v>
      </c>
      <c r="B3795" s="42">
        <v>105.91</v>
      </c>
    </row>
    <row r="3796" spans="1:2" x14ac:dyDescent="0.2">
      <c r="A3796" s="40" t="s">
        <v>2345</v>
      </c>
      <c r="B3796" s="42">
        <v>106.32</v>
      </c>
    </row>
    <row r="3797" spans="1:2" x14ac:dyDescent="0.2">
      <c r="A3797" s="40" t="s">
        <v>2346</v>
      </c>
      <c r="B3797" s="42">
        <v>107.01</v>
      </c>
    </row>
    <row r="3798" spans="1:2" x14ac:dyDescent="0.2">
      <c r="A3798" s="40" t="s">
        <v>2347</v>
      </c>
      <c r="B3798" s="42">
        <v>106.73</v>
      </c>
    </row>
    <row r="3799" spans="1:2" x14ac:dyDescent="0.2">
      <c r="A3799" s="41">
        <v>44203</v>
      </c>
      <c r="B3799" s="42">
        <v>108.72</v>
      </c>
    </row>
    <row r="3800" spans="1:2" x14ac:dyDescent="0.2">
      <c r="A3800" s="41">
        <v>44234</v>
      </c>
      <c r="B3800" s="42">
        <v>106.11</v>
      </c>
    </row>
    <row r="3801" spans="1:2" x14ac:dyDescent="0.2">
      <c r="A3801" s="41">
        <v>44354</v>
      </c>
      <c r="B3801" s="42">
        <v>112.24</v>
      </c>
    </row>
    <row r="3802" spans="1:2" x14ac:dyDescent="0.2">
      <c r="A3802" s="41">
        <v>44384</v>
      </c>
      <c r="B3802" s="42">
        <v>112.7</v>
      </c>
    </row>
    <row r="3803" spans="1:2" x14ac:dyDescent="0.2">
      <c r="A3803" s="41">
        <v>44415</v>
      </c>
      <c r="B3803" s="42">
        <v>120.03</v>
      </c>
    </row>
    <row r="3804" spans="1:2" x14ac:dyDescent="0.2">
      <c r="A3804" s="41">
        <v>44446</v>
      </c>
      <c r="B3804" s="42">
        <v>112.62</v>
      </c>
    </row>
    <row r="3805" spans="1:2" x14ac:dyDescent="0.2">
      <c r="A3805" s="41">
        <v>44537</v>
      </c>
      <c r="B3805" s="42">
        <v>111.59</v>
      </c>
    </row>
    <row r="3806" spans="1:2" x14ac:dyDescent="0.2">
      <c r="A3806" s="40" t="s">
        <v>2348</v>
      </c>
      <c r="B3806" s="42">
        <v>116.4</v>
      </c>
    </row>
    <row r="3807" spans="1:2" x14ac:dyDescent="0.2">
      <c r="A3807" s="40" t="s">
        <v>2349</v>
      </c>
      <c r="B3807" s="42">
        <v>117.66</v>
      </c>
    </row>
    <row r="3808" spans="1:2" x14ac:dyDescent="0.2">
      <c r="A3808" s="40" t="s">
        <v>2350</v>
      </c>
      <c r="B3808" s="42">
        <v>121.03</v>
      </c>
    </row>
    <row r="3809" spans="1:2" x14ac:dyDescent="0.2">
      <c r="A3809" s="40" t="s">
        <v>2351</v>
      </c>
      <c r="B3809" s="42">
        <v>128.88999999999999</v>
      </c>
    </row>
    <row r="3810" spans="1:2" x14ac:dyDescent="0.2">
      <c r="A3810" s="40" t="s">
        <v>2352</v>
      </c>
      <c r="B3810" s="42">
        <v>139.54</v>
      </c>
    </row>
    <row r="3811" spans="1:2" x14ac:dyDescent="0.2">
      <c r="A3811" s="40" t="s">
        <v>2353</v>
      </c>
      <c r="B3811" s="42">
        <v>131.30000000000001</v>
      </c>
    </row>
    <row r="3812" spans="1:2" x14ac:dyDescent="0.2">
      <c r="A3812" s="40" t="s">
        <v>2354</v>
      </c>
      <c r="B3812" s="42">
        <v>122.53</v>
      </c>
    </row>
    <row r="3813" spans="1:2" x14ac:dyDescent="0.2">
      <c r="A3813" s="40" t="s">
        <v>2355</v>
      </c>
      <c r="B3813" s="42">
        <v>118.82</v>
      </c>
    </row>
    <row r="3814" spans="1:2" x14ac:dyDescent="0.2">
      <c r="A3814" s="40" t="s">
        <v>2356</v>
      </c>
      <c r="B3814" s="42">
        <v>114.92</v>
      </c>
    </row>
    <row r="3815" spans="1:2" x14ac:dyDescent="0.2">
      <c r="A3815" s="40" t="s">
        <v>2357</v>
      </c>
      <c r="B3815" s="42">
        <v>114.86</v>
      </c>
    </row>
    <row r="3816" spans="1:2" x14ac:dyDescent="0.2">
      <c r="A3816" s="40" t="s">
        <v>2358</v>
      </c>
      <c r="B3816" s="42">
        <v>121.11</v>
      </c>
    </row>
    <row r="3817" spans="1:2" x14ac:dyDescent="0.2">
      <c r="A3817" s="40" t="s">
        <v>2359</v>
      </c>
      <c r="B3817" s="42">
        <v>117.08</v>
      </c>
    </row>
    <row r="3818" spans="1:2" x14ac:dyDescent="0.2">
      <c r="A3818" s="40" t="s">
        <v>2360</v>
      </c>
      <c r="B3818" s="42">
        <v>114.04</v>
      </c>
    </row>
    <row r="3819" spans="1:2" x14ac:dyDescent="0.2">
      <c r="A3819" s="40" t="s">
        <v>2361</v>
      </c>
      <c r="B3819" s="42">
        <v>116.18</v>
      </c>
    </row>
    <row r="3820" spans="1:2" x14ac:dyDescent="0.2">
      <c r="A3820" s="41">
        <v>44235</v>
      </c>
      <c r="B3820" s="42">
        <v>122.85</v>
      </c>
    </row>
    <row r="3821" spans="1:2" x14ac:dyDescent="0.2">
      <c r="A3821" s="41">
        <v>44263</v>
      </c>
      <c r="B3821" s="42">
        <v>117.55</v>
      </c>
    </row>
    <row r="3822" spans="1:2" x14ac:dyDescent="0.2">
      <c r="A3822" s="41">
        <v>44294</v>
      </c>
      <c r="B3822" s="42">
        <v>116.21</v>
      </c>
    </row>
    <row r="3823" spans="1:2" x14ac:dyDescent="0.2">
      <c r="A3823" s="41">
        <v>44324</v>
      </c>
      <c r="B3823" s="42">
        <v>113.35</v>
      </c>
    </row>
    <row r="3824" spans="1:2" x14ac:dyDescent="0.2">
      <c r="A3824" s="41">
        <v>44355</v>
      </c>
      <c r="B3824" s="42">
        <v>112</v>
      </c>
    </row>
    <row r="3825" spans="1:2" x14ac:dyDescent="0.2">
      <c r="A3825" s="41">
        <v>44447</v>
      </c>
      <c r="B3825" s="42">
        <v>115.09</v>
      </c>
    </row>
    <row r="3826" spans="1:2" x14ac:dyDescent="0.2">
      <c r="A3826" s="41">
        <v>44477</v>
      </c>
      <c r="B3826" s="42">
        <v>114.15</v>
      </c>
    </row>
    <row r="3827" spans="1:2" x14ac:dyDescent="0.2">
      <c r="A3827" s="41">
        <v>44508</v>
      </c>
      <c r="B3827" s="42">
        <v>118.05</v>
      </c>
    </row>
    <row r="3828" spans="1:2" x14ac:dyDescent="0.2">
      <c r="A3828" s="41">
        <v>44538</v>
      </c>
      <c r="B3828" s="42">
        <v>117.72</v>
      </c>
    </row>
    <row r="3829" spans="1:2" x14ac:dyDescent="0.2">
      <c r="A3829" s="40" t="s">
        <v>2362</v>
      </c>
      <c r="B3829" s="42">
        <v>117.81</v>
      </c>
    </row>
    <row r="3830" spans="1:2" x14ac:dyDescent="0.2">
      <c r="A3830" s="40" t="s">
        <v>2363</v>
      </c>
      <c r="B3830" s="42">
        <v>117.69</v>
      </c>
    </row>
    <row r="3831" spans="1:2" x14ac:dyDescent="0.2">
      <c r="A3831" s="40" t="s">
        <v>2364</v>
      </c>
      <c r="B3831" s="42">
        <v>120.53</v>
      </c>
    </row>
    <row r="3832" spans="1:2" x14ac:dyDescent="0.2">
      <c r="A3832" s="40" t="s">
        <v>2365</v>
      </c>
      <c r="B3832" s="42">
        <v>128.41</v>
      </c>
    </row>
    <row r="3833" spans="1:2" x14ac:dyDescent="0.2">
      <c r="A3833" s="40" t="s">
        <v>2366</v>
      </c>
      <c r="B3833" s="42">
        <v>130.41</v>
      </c>
    </row>
    <row r="3834" spans="1:2" x14ac:dyDescent="0.2">
      <c r="A3834" s="40" t="s">
        <v>2367</v>
      </c>
      <c r="B3834" s="42">
        <v>120.51</v>
      </c>
    </row>
    <row r="3835" spans="1:2" x14ac:dyDescent="0.2">
      <c r="A3835" s="40" t="s">
        <v>2368</v>
      </c>
      <c r="B3835" s="42">
        <v>113.33</v>
      </c>
    </row>
    <row r="3836" spans="1:2" x14ac:dyDescent="0.2">
      <c r="A3836" s="40" t="s">
        <v>2369</v>
      </c>
      <c r="B3836" s="42">
        <v>111.09</v>
      </c>
    </row>
    <row r="3837" spans="1:2" x14ac:dyDescent="0.2">
      <c r="A3837" s="40" t="s">
        <v>2370</v>
      </c>
      <c r="B3837" s="42">
        <v>108.84</v>
      </c>
    </row>
    <row r="3838" spans="1:2" x14ac:dyDescent="0.2">
      <c r="A3838" s="40" t="s">
        <v>2371</v>
      </c>
      <c r="B3838" s="42">
        <v>116.6</v>
      </c>
    </row>
    <row r="3839" spans="1:2" x14ac:dyDescent="0.2">
      <c r="A3839" s="40" t="s">
        <v>2372</v>
      </c>
      <c r="B3839" s="42">
        <v>109.62</v>
      </c>
    </row>
    <row r="3840" spans="1:2" x14ac:dyDescent="0.2">
      <c r="A3840" s="40" t="s">
        <v>2373</v>
      </c>
      <c r="B3840" s="42">
        <v>107.9</v>
      </c>
    </row>
    <row r="3841" spans="1:2" x14ac:dyDescent="0.2">
      <c r="A3841" s="40" t="s">
        <v>2374</v>
      </c>
      <c r="B3841" s="42">
        <v>105.81</v>
      </c>
    </row>
    <row r="3842" spans="1:2" x14ac:dyDescent="0.2">
      <c r="A3842" s="41">
        <v>44205</v>
      </c>
      <c r="B3842" s="42">
        <v>105.2</v>
      </c>
    </row>
    <row r="3843" spans="1:2" x14ac:dyDescent="0.2">
      <c r="A3843" s="41">
        <v>44236</v>
      </c>
      <c r="B3843" s="42">
        <v>105.7</v>
      </c>
    </row>
    <row r="3844" spans="1:2" x14ac:dyDescent="0.2">
      <c r="A3844" s="41">
        <v>44264</v>
      </c>
      <c r="B3844" s="42">
        <v>105.48</v>
      </c>
    </row>
    <row r="3845" spans="1:2" x14ac:dyDescent="0.2">
      <c r="A3845" s="41">
        <v>44386</v>
      </c>
      <c r="B3845" s="42">
        <v>111.01</v>
      </c>
    </row>
    <row r="3846" spans="1:2" x14ac:dyDescent="0.2">
      <c r="A3846" s="41">
        <v>44417</v>
      </c>
      <c r="B3846" s="42">
        <v>115.06</v>
      </c>
    </row>
    <row r="3847" spans="1:2" x14ac:dyDescent="0.2">
      <c r="A3847" s="41">
        <v>44448</v>
      </c>
      <c r="B3847" s="42">
        <v>117.03</v>
      </c>
    </row>
    <row r="3848" spans="1:2" x14ac:dyDescent="0.2">
      <c r="A3848" s="41">
        <v>44478</v>
      </c>
      <c r="B3848" s="42">
        <v>124.98</v>
      </c>
    </row>
    <row r="3849" spans="1:2" x14ac:dyDescent="0.2">
      <c r="A3849" s="40" t="s">
        <v>2375</v>
      </c>
      <c r="B3849" s="42">
        <v>118.01</v>
      </c>
    </row>
    <row r="3850" spans="1:2" x14ac:dyDescent="0.2">
      <c r="A3850" s="40" t="s">
        <v>2376</v>
      </c>
      <c r="B3850" s="42">
        <v>120.37</v>
      </c>
    </row>
    <row r="3851" spans="1:2" x14ac:dyDescent="0.2">
      <c r="A3851" s="40" t="s">
        <v>2377</v>
      </c>
      <c r="B3851" s="42">
        <v>112.48</v>
      </c>
    </row>
    <row r="3852" spans="1:2" x14ac:dyDescent="0.2">
      <c r="A3852" s="40" t="s">
        <v>2378</v>
      </c>
      <c r="B3852" s="42">
        <v>112.11</v>
      </c>
    </row>
    <row r="3853" spans="1:2" x14ac:dyDescent="0.2">
      <c r="A3853" s="40" t="s">
        <v>2379</v>
      </c>
      <c r="B3853" s="42">
        <v>118.9</v>
      </c>
    </row>
    <row r="3854" spans="1:2" x14ac:dyDescent="0.2">
      <c r="A3854" s="40" t="s">
        <v>2380</v>
      </c>
      <c r="B3854" s="42">
        <v>138.93</v>
      </c>
    </row>
    <row r="3855" spans="1:2" x14ac:dyDescent="0.2">
      <c r="A3855" s="40" t="s">
        <v>2381</v>
      </c>
      <c r="B3855" s="42">
        <v>130.76</v>
      </c>
    </row>
    <row r="3856" spans="1:2" x14ac:dyDescent="0.2">
      <c r="A3856" s="40" t="s">
        <v>2382</v>
      </c>
      <c r="B3856" s="42">
        <v>117.62</v>
      </c>
    </row>
    <row r="3857" spans="1:2" x14ac:dyDescent="0.2">
      <c r="A3857" s="40" t="s">
        <v>2383</v>
      </c>
      <c r="B3857" s="42">
        <v>108.31</v>
      </c>
    </row>
    <row r="3858" spans="1:2" x14ac:dyDescent="0.2">
      <c r="A3858" s="40" t="s">
        <v>2384</v>
      </c>
      <c r="B3858" s="42">
        <v>103.07</v>
      </c>
    </row>
    <row r="3859" spans="1:2" x14ac:dyDescent="0.2">
      <c r="A3859" s="40" t="s">
        <v>2385</v>
      </c>
      <c r="B3859" s="42">
        <v>107.73</v>
      </c>
    </row>
    <row r="3860" spans="1:2" x14ac:dyDescent="0.2">
      <c r="A3860" s="40" t="s">
        <v>2386</v>
      </c>
      <c r="B3860" s="42">
        <v>121.06</v>
      </c>
    </row>
    <row r="3861" spans="1:2" x14ac:dyDescent="0.2">
      <c r="A3861" s="40" t="s">
        <v>2387</v>
      </c>
      <c r="B3861" s="42">
        <v>119.04</v>
      </c>
    </row>
    <row r="3862" spans="1:2" x14ac:dyDescent="0.2">
      <c r="A3862" s="40" t="s">
        <v>2388</v>
      </c>
      <c r="B3862" s="42">
        <v>118.01</v>
      </c>
    </row>
    <row r="3863" spans="1:2" x14ac:dyDescent="0.2">
      <c r="A3863" s="41">
        <v>44206</v>
      </c>
      <c r="B3863" s="42">
        <v>113.14</v>
      </c>
    </row>
    <row r="3864" spans="1:2" x14ac:dyDescent="0.2">
      <c r="A3864" s="41">
        <v>44296</v>
      </c>
      <c r="B3864" s="42">
        <v>117.17</v>
      </c>
    </row>
    <row r="3865" spans="1:2" x14ac:dyDescent="0.2">
      <c r="A3865" s="41">
        <v>44326</v>
      </c>
      <c r="B3865" s="42">
        <v>110.75</v>
      </c>
    </row>
    <row r="3866" spans="1:2" x14ac:dyDescent="0.2">
      <c r="A3866" s="41">
        <v>44357</v>
      </c>
      <c r="B3866" s="42">
        <v>110.92</v>
      </c>
    </row>
    <row r="3867" spans="1:2" x14ac:dyDescent="0.2">
      <c r="A3867" s="41">
        <v>44387</v>
      </c>
      <c r="B3867" s="42">
        <v>107.43</v>
      </c>
    </row>
    <row r="3868" spans="1:2" x14ac:dyDescent="0.2">
      <c r="A3868" s="41">
        <v>44418</v>
      </c>
      <c r="B3868" s="42">
        <v>107.27</v>
      </c>
    </row>
    <row r="3869" spans="1:2" x14ac:dyDescent="0.2">
      <c r="A3869" s="41">
        <v>44510</v>
      </c>
      <c r="B3869" s="42">
        <v>110.29</v>
      </c>
    </row>
    <row r="3870" spans="1:2" x14ac:dyDescent="0.2">
      <c r="A3870" s="41">
        <v>44540</v>
      </c>
      <c r="B3870" s="42">
        <v>109.12</v>
      </c>
    </row>
    <row r="3871" spans="1:2" x14ac:dyDescent="0.2">
      <c r="A3871" s="40" t="s">
        <v>2389</v>
      </c>
      <c r="B3871" s="42">
        <v>108.72</v>
      </c>
    </row>
    <row r="3872" spans="1:2" x14ac:dyDescent="0.2">
      <c r="A3872" s="40" t="s">
        <v>2390</v>
      </c>
      <c r="B3872" s="42">
        <v>107.97</v>
      </c>
    </row>
    <row r="3873" spans="1:2" x14ac:dyDescent="0.2">
      <c r="A3873" s="40" t="s">
        <v>2391</v>
      </c>
      <c r="B3873" s="42">
        <v>106.76</v>
      </c>
    </row>
    <row r="3874" spans="1:2" x14ac:dyDescent="0.2">
      <c r="A3874" s="40" t="s">
        <v>2392</v>
      </c>
      <c r="B3874" s="42">
        <v>104.37</v>
      </c>
    </row>
    <row r="3875" spans="1:2" x14ac:dyDescent="0.2">
      <c r="A3875" s="40" t="s">
        <v>2393</v>
      </c>
      <c r="B3875" s="42">
        <v>103.06</v>
      </c>
    </row>
    <row r="3876" spans="1:2" x14ac:dyDescent="0.2">
      <c r="A3876" s="40" t="s">
        <v>2394</v>
      </c>
      <c r="B3876" s="42">
        <v>101.84</v>
      </c>
    </row>
    <row r="3877" spans="1:2" x14ac:dyDescent="0.2">
      <c r="A3877" s="40" t="s">
        <v>2395</v>
      </c>
      <c r="B3877" s="42">
        <v>102.14</v>
      </c>
    </row>
    <row r="3878" spans="1:2" x14ac:dyDescent="0.2">
      <c r="A3878" s="40" t="s">
        <v>2396</v>
      </c>
      <c r="B3878" s="42">
        <v>106.08</v>
      </c>
    </row>
    <row r="3879" spans="1:2" x14ac:dyDescent="0.2">
      <c r="A3879" s="40" t="s">
        <v>2397</v>
      </c>
      <c r="B3879" s="42">
        <v>102.36</v>
      </c>
    </row>
    <row r="3880" spans="1:2" x14ac:dyDescent="0.2">
      <c r="A3880" s="40" t="s">
        <v>2398</v>
      </c>
      <c r="B3880" s="42">
        <v>103.25</v>
      </c>
    </row>
    <row r="3881" spans="1:2" x14ac:dyDescent="0.2">
      <c r="A3881" s="40" t="s">
        <v>2399</v>
      </c>
      <c r="B3881" s="42">
        <v>109.61</v>
      </c>
    </row>
    <row r="3882" spans="1:2" x14ac:dyDescent="0.2">
      <c r="A3882" s="40" t="s">
        <v>2400</v>
      </c>
      <c r="B3882" s="42">
        <v>106.28</v>
      </c>
    </row>
    <row r="3883" spans="1:2" x14ac:dyDescent="0.2">
      <c r="A3883" s="40" t="s">
        <v>2401</v>
      </c>
      <c r="B3883" s="42">
        <v>105.17</v>
      </c>
    </row>
    <row r="3884" spans="1:2" x14ac:dyDescent="0.2">
      <c r="A3884" s="41">
        <v>44207</v>
      </c>
      <c r="B3884" s="42">
        <v>106.66</v>
      </c>
    </row>
    <row r="3885" spans="1:2" x14ac:dyDescent="0.2">
      <c r="A3885" s="41">
        <v>44238</v>
      </c>
      <c r="B3885" s="42">
        <v>105.44</v>
      </c>
    </row>
    <row r="3886" spans="1:2" x14ac:dyDescent="0.2">
      <c r="A3886" s="41">
        <v>44266</v>
      </c>
      <c r="B3886" s="42">
        <v>102.25</v>
      </c>
    </row>
    <row r="3887" spans="1:2" x14ac:dyDescent="0.2">
      <c r="A3887" s="41">
        <v>44297</v>
      </c>
      <c r="B3887" s="42">
        <v>104.46</v>
      </c>
    </row>
    <row r="3888" spans="1:2" x14ac:dyDescent="0.2">
      <c r="A3888" s="41">
        <v>44327</v>
      </c>
      <c r="B3888" s="42">
        <v>110.21</v>
      </c>
    </row>
    <row r="3889" spans="1:2" x14ac:dyDescent="0.2">
      <c r="A3889" s="41">
        <v>44419</v>
      </c>
      <c r="B3889" s="42">
        <v>111.49</v>
      </c>
    </row>
    <row r="3890" spans="1:2" x14ac:dyDescent="0.2">
      <c r="A3890" s="41">
        <v>44450</v>
      </c>
      <c r="B3890" s="42">
        <v>110.55</v>
      </c>
    </row>
    <row r="3891" spans="1:2" x14ac:dyDescent="0.2">
      <c r="A3891" s="41">
        <v>44480</v>
      </c>
      <c r="B3891" s="42">
        <v>117.19</v>
      </c>
    </row>
    <row r="3892" spans="1:2" x14ac:dyDescent="0.2">
      <c r="A3892" s="41">
        <v>44511</v>
      </c>
      <c r="B3892" s="42">
        <v>114.66</v>
      </c>
    </row>
    <row r="3893" spans="1:2" x14ac:dyDescent="0.2">
      <c r="A3893" s="41">
        <v>44541</v>
      </c>
      <c r="B3893" s="42">
        <v>112.11</v>
      </c>
    </row>
    <row r="3894" spans="1:2" x14ac:dyDescent="0.2">
      <c r="A3894" s="40" t="s">
        <v>2402</v>
      </c>
      <c r="B3894" s="42">
        <v>110.66</v>
      </c>
    </row>
    <row r="3895" spans="1:2" x14ac:dyDescent="0.2">
      <c r="A3895" s="40" t="s">
        <v>2403</v>
      </c>
      <c r="B3895" s="42">
        <v>109.58</v>
      </c>
    </row>
    <row r="3896" spans="1:2" x14ac:dyDescent="0.2">
      <c r="A3896" s="40" t="s">
        <v>2404</v>
      </c>
      <c r="B3896" s="42">
        <v>111.53</v>
      </c>
    </row>
    <row r="3897" spans="1:2" x14ac:dyDescent="0.2">
      <c r="A3897" s="40" t="s">
        <v>2405</v>
      </c>
      <c r="B3897" s="42">
        <v>112.15</v>
      </c>
    </row>
    <row r="3898" spans="1:2" x14ac:dyDescent="0.2">
      <c r="A3898" s="40" t="s">
        <v>2406</v>
      </c>
      <c r="B3898" s="42">
        <v>113.74</v>
      </c>
    </row>
    <row r="3899" spans="1:2" x14ac:dyDescent="0.2">
      <c r="A3899" s="40" t="s">
        <v>2407</v>
      </c>
      <c r="B3899" s="42">
        <v>118.62</v>
      </c>
    </row>
    <row r="3900" spans="1:2" x14ac:dyDescent="0.2">
      <c r="A3900" s="40" t="s">
        <v>2408</v>
      </c>
      <c r="B3900" s="42">
        <v>115.03</v>
      </c>
    </row>
    <row r="3901" spans="1:2" x14ac:dyDescent="0.2">
      <c r="A3901" s="40" t="s">
        <v>2409</v>
      </c>
      <c r="B3901" s="42">
        <v>110.48</v>
      </c>
    </row>
    <row r="3902" spans="1:2" x14ac:dyDescent="0.2">
      <c r="A3902" s="40" t="s">
        <v>2410</v>
      </c>
      <c r="B3902" s="42">
        <v>149.74</v>
      </c>
    </row>
    <row r="3903" spans="1:2" x14ac:dyDescent="0.2">
      <c r="A3903" s="40" t="s">
        <v>2411</v>
      </c>
      <c r="B3903" s="42">
        <v>131.24</v>
      </c>
    </row>
    <row r="3904" spans="1:2" x14ac:dyDescent="0.2">
      <c r="A3904" s="40" t="s">
        <v>2412</v>
      </c>
      <c r="B3904" s="42">
        <v>142.55000000000001</v>
      </c>
    </row>
    <row r="3905" spans="1:2" x14ac:dyDescent="0.2">
      <c r="A3905" s="41">
        <v>44208</v>
      </c>
      <c r="B3905" s="42">
        <v>155.02000000000001</v>
      </c>
    </row>
    <row r="3906" spans="1:2" x14ac:dyDescent="0.2">
      <c r="A3906" s="41">
        <v>44239</v>
      </c>
      <c r="B3906" s="42">
        <v>147.31</v>
      </c>
    </row>
    <row r="3907" spans="1:2" x14ac:dyDescent="0.2">
      <c r="A3907" s="41">
        <v>44267</v>
      </c>
      <c r="B3907" s="42">
        <v>156.1</v>
      </c>
    </row>
    <row r="3908" spans="1:2" x14ac:dyDescent="0.2">
      <c r="A3908" s="41">
        <v>44359</v>
      </c>
      <c r="B3908" s="42">
        <v>138.88</v>
      </c>
    </row>
    <row r="3909" spans="1:2" x14ac:dyDescent="0.2">
      <c r="A3909" s="41">
        <v>44389</v>
      </c>
      <c r="B3909" s="42">
        <v>117.92</v>
      </c>
    </row>
    <row r="3910" spans="1:2" x14ac:dyDescent="0.2">
      <c r="A3910" s="41">
        <v>44420</v>
      </c>
      <c r="B3910" s="42">
        <v>114.29</v>
      </c>
    </row>
    <row r="3911" spans="1:2" x14ac:dyDescent="0.2">
      <c r="A3911" s="41">
        <v>44451</v>
      </c>
      <c r="B3911" s="42">
        <v>121.79</v>
      </c>
    </row>
    <row r="3912" spans="1:2" x14ac:dyDescent="0.2">
      <c r="A3912" s="41">
        <v>44481</v>
      </c>
      <c r="B3912" s="42">
        <v>113.85</v>
      </c>
    </row>
    <row r="3913" spans="1:2" x14ac:dyDescent="0.2">
      <c r="A3913" s="40" t="s">
        <v>2413</v>
      </c>
      <c r="B3913" s="42">
        <v>121.07</v>
      </c>
    </row>
    <row r="3914" spans="1:2" x14ac:dyDescent="0.2">
      <c r="A3914" s="40" t="s">
        <v>2414</v>
      </c>
      <c r="B3914" s="42">
        <v>126.57</v>
      </c>
    </row>
    <row r="3915" spans="1:2" x14ac:dyDescent="0.2">
      <c r="A3915" s="40" t="s">
        <v>2415</v>
      </c>
      <c r="B3915" s="42">
        <v>118.61</v>
      </c>
    </row>
    <row r="3916" spans="1:2" x14ac:dyDescent="0.2">
      <c r="A3916" s="40" t="s">
        <v>2416</v>
      </c>
      <c r="B3916" s="42">
        <v>128.97</v>
      </c>
    </row>
    <row r="3917" spans="1:2" x14ac:dyDescent="0.2">
      <c r="A3917" s="40" t="s">
        <v>2417</v>
      </c>
      <c r="B3917" s="42">
        <v>136.06</v>
      </c>
    </row>
    <row r="3918" spans="1:2" x14ac:dyDescent="0.2">
      <c r="A3918" s="40" t="s">
        <v>2418</v>
      </c>
      <c r="B3918" s="42">
        <v>138.66999999999999</v>
      </c>
    </row>
    <row r="3919" spans="1:2" x14ac:dyDescent="0.2">
      <c r="A3919" s="40" t="s">
        <v>2419</v>
      </c>
      <c r="B3919" s="42">
        <v>131.41</v>
      </c>
    </row>
    <row r="3920" spans="1:2" x14ac:dyDescent="0.2">
      <c r="A3920" s="40" t="s">
        <v>2420</v>
      </c>
      <c r="B3920" s="42">
        <v>122.7</v>
      </c>
    </row>
    <row r="3921" spans="1:2" x14ac:dyDescent="0.2">
      <c r="A3921" s="40" t="s">
        <v>2421</v>
      </c>
      <c r="B3921" s="42">
        <v>120.46</v>
      </c>
    </row>
    <row r="3922" spans="1:2" x14ac:dyDescent="0.2">
      <c r="A3922" s="40" t="s">
        <v>2422</v>
      </c>
      <c r="B3922" s="42">
        <v>115.92</v>
      </c>
    </row>
    <row r="3923" spans="1:2" x14ac:dyDescent="0.2">
      <c r="A3923" s="40" t="s">
        <v>2423</v>
      </c>
      <c r="B3923" s="42">
        <v>114.83</v>
      </c>
    </row>
    <row r="3924" spans="1:2" x14ac:dyDescent="0.2">
      <c r="A3924" s="40" t="s">
        <v>2424</v>
      </c>
      <c r="B3924" s="42">
        <v>109.5</v>
      </c>
    </row>
    <row r="3925" spans="1:2" x14ac:dyDescent="0.2">
      <c r="A3925" s="40" t="s">
        <v>2425</v>
      </c>
      <c r="B3925" s="42">
        <v>110.84</v>
      </c>
    </row>
    <row r="3926" spans="1:2" x14ac:dyDescent="0.2">
      <c r="A3926" s="40" t="s">
        <v>2426</v>
      </c>
      <c r="B3926" s="42">
        <v>109.67</v>
      </c>
    </row>
    <row r="3927" spans="1:2" x14ac:dyDescent="0.2">
      <c r="A3927" s="41">
        <v>44621</v>
      </c>
      <c r="B3927" s="42">
        <v>108.45</v>
      </c>
    </row>
    <row r="3928" spans="1:2" x14ac:dyDescent="0.2">
      <c r="A3928" s="41">
        <v>44652</v>
      </c>
      <c r="B3928" s="42">
        <v>109.31</v>
      </c>
    </row>
    <row r="3929" spans="1:2" x14ac:dyDescent="0.2">
      <c r="A3929" s="41">
        <v>44682</v>
      </c>
      <c r="B3929" s="42">
        <v>119.31</v>
      </c>
    </row>
    <row r="3930" spans="1:2" x14ac:dyDescent="0.2">
      <c r="A3930" s="41">
        <v>44713</v>
      </c>
      <c r="B3930" s="42">
        <v>117.82</v>
      </c>
    </row>
    <row r="3931" spans="1:2" x14ac:dyDescent="0.2">
      <c r="A3931" s="41">
        <v>44743</v>
      </c>
      <c r="B3931" s="42">
        <v>113.86</v>
      </c>
    </row>
    <row r="3932" spans="1:2" x14ac:dyDescent="0.2">
      <c r="A3932" s="41">
        <v>44835</v>
      </c>
      <c r="B3932" s="42">
        <v>113.02</v>
      </c>
    </row>
    <row r="3933" spans="1:2" x14ac:dyDescent="0.2">
      <c r="A3933" s="41">
        <v>44866</v>
      </c>
      <c r="B3933" s="42">
        <v>111.61</v>
      </c>
    </row>
    <row r="3934" spans="1:2" x14ac:dyDescent="0.2">
      <c r="A3934" s="41">
        <v>44896</v>
      </c>
      <c r="B3934" s="42">
        <v>113.94</v>
      </c>
    </row>
    <row r="3935" spans="1:2" x14ac:dyDescent="0.2">
      <c r="A3935" s="40" t="s">
        <v>2427</v>
      </c>
      <c r="B3935" s="42">
        <v>123.44</v>
      </c>
    </row>
    <row r="3936" spans="1:2" x14ac:dyDescent="0.2">
      <c r="A3936" s="40" t="s">
        <v>2428</v>
      </c>
      <c r="B3936" s="42">
        <v>117.57</v>
      </c>
    </row>
    <row r="3937" spans="1:2" x14ac:dyDescent="0.2">
      <c r="A3937" s="40" t="s">
        <v>2429</v>
      </c>
      <c r="B3937" s="42">
        <v>127.95</v>
      </c>
    </row>
    <row r="3938" spans="1:2" x14ac:dyDescent="0.2">
      <c r="A3938" s="40" t="s">
        <v>2430</v>
      </c>
      <c r="B3938" s="42">
        <v>129.85</v>
      </c>
    </row>
    <row r="3939" spans="1:2" x14ac:dyDescent="0.2">
      <c r="A3939" s="40" t="s">
        <v>2431</v>
      </c>
      <c r="B3939" s="42">
        <v>135.6</v>
      </c>
    </row>
    <row r="3940" spans="1:2" x14ac:dyDescent="0.2">
      <c r="A3940" s="40" t="s">
        <v>2432</v>
      </c>
      <c r="B3940" s="42">
        <v>149.5</v>
      </c>
    </row>
    <row r="3941" spans="1:2" x14ac:dyDescent="0.2">
      <c r="A3941" s="40" t="s">
        <v>2433</v>
      </c>
      <c r="B3941" s="42">
        <v>154.38</v>
      </c>
    </row>
    <row r="3942" spans="1:2" x14ac:dyDescent="0.2">
      <c r="A3942" s="40" t="s">
        <v>2434</v>
      </c>
      <c r="B3942" s="42">
        <v>150.80000000000001</v>
      </c>
    </row>
    <row r="3943" spans="1:2" x14ac:dyDescent="0.2">
      <c r="A3943" s="40" t="s">
        <v>2435</v>
      </c>
      <c r="B3943" s="42">
        <v>148.55000000000001</v>
      </c>
    </row>
    <row r="3944" spans="1:2" x14ac:dyDescent="0.2">
      <c r="A3944" s="40" t="s">
        <v>2436</v>
      </c>
      <c r="B3944" s="42">
        <v>141.13999999999999</v>
      </c>
    </row>
    <row r="3945" spans="1:2" x14ac:dyDescent="0.2">
      <c r="A3945" s="40" t="s">
        <v>2437</v>
      </c>
      <c r="B3945" s="42">
        <v>132.44</v>
      </c>
    </row>
    <row r="3946" spans="1:2" x14ac:dyDescent="0.2">
      <c r="A3946" s="40" t="s">
        <v>2438</v>
      </c>
      <c r="B3946" s="42">
        <v>125.06</v>
      </c>
    </row>
    <row r="3947" spans="1:2" x14ac:dyDescent="0.2">
      <c r="A3947" s="41">
        <v>44563</v>
      </c>
      <c r="B3947" s="42">
        <v>117.99</v>
      </c>
    </row>
    <row r="3948" spans="1:2" x14ac:dyDescent="0.2">
      <c r="A3948" s="41">
        <v>44594</v>
      </c>
      <c r="B3948" s="42">
        <v>119.61</v>
      </c>
    </row>
    <row r="3949" spans="1:2" x14ac:dyDescent="0.2">
      <c r="A3949" s="41">
        <v>44622</v>
      </c>
      <c r="B3949" s="42">
        <v>125.11</v>
      </c>
    </row>
    <row r="3950" spans="1:2" x14ac:dyDescent="0.2">
      <c r="A3950" s="41">
        <v>44653</v>
      </c>
      <c r="B3950" s="42">
        <v>124.89</v>
      </c>
    </row>
    <row r="3951" spans="1:2" x14ac:dyDescent="0.2">
      <c r="A3951" s="41">
        <v>44744</v>
      </c>
      <c r="B3951" s="42">
        <v>124.13</v>
      </c>
    </row>
    <row r="3952" spans="1:2" x14ac:dyDescent="0.2">
      <c r="A3952" s="41">
        <v>44775</v>
      </c>
      <c r="B3952" s="42">
        <v>118.86</v>
      </c>
    </row>
    <row r="3953" spans="1:2" x14ac:dyDescent="0.2">
      <c r="A3953" s="41">
        <v>44806</v>
      </c>
      <c r="B3953" s="42">
        <v>119.32</v>
      </c>
    </row>
    <row r="3954" spans="1:2" x14ac:dyDescent="0.2">
      <c r="A3954" s="41">
        <v>44836</v>
      </c>
      <c r="B3954" s="42">
        <v>129.1</v>
      </c>
    </row>
    <row r="3955" spans="1:2" x14ac:dyDescent="0.2">
      <c r="A3955" s="41">
        <v>44867</v>
      </c>
      <c r="B3955" s="42">
        <v>141.16999999999999</v>
      </c>
    </row>
    <row r="3956" spans="1:2" x14ac:dyDescent="0.2">
      <c r="A3956" s="40" t="s">
        <v>2439</v>
      </c>
      <c r="B3956" s="42">
        <v>140.59</v>
      </c>
    </row>
    <row r="3957" spans="1:2" x14ac:dyDescent="0.2">
      <c r="A3957" s="40" t="s">
        <v>2440</v>
      </c>
      <c r="B3957" s="42">
        <v>129.05000000000001</v>
      </c>
    </row>
    <row r="3958" spans="1:2" x14ac:dyDescent="0.2">
      <c r="A3958" s="40" t="s">
        <v>2441</v>
      </c>
      <c r="B3958" s="42">
        <v>122.58</v>
      </c>
    </row>
    <row r="3959" spans="1:2" x14ac:dyDescent="0.2">
      <c r="A3959" s="40" t="s">
        <v>2442</v>
      </c>
      <c r="B3959" s="42">
        <v>134.49</v>
      </c>
    </row>
    <row r="3960" spans="1:2" x14ac:dyDescent="0.2">
      <c r="A3960" s="40" t="s">
        <v>2443</v>
      </c>
      <c r="B3960" s="42">
        <v>133.63999999999999</v>
      </c>
    </row>
    <row r="3961" spans="1:2" x14ac:dyDescent="0.2">
      <c r="A3961" s="40" t="s">
        <v>2444</v>
      </c>
      <c r="B3961" s="42">
        <v>130.69</v>
      </c>
    </row>
    <row r="3962" spans="1:2" x14ac:dyDescent="0.2">
      <c r="A3962" s="40" t="s">
        <v>2445</v>
      </c>
      <c r="B3962" s="42">
        <v>131.24</v>
      </c>
    </row>
    <row r="3963" spans="1:2" x14ac:dyDescent="0.2">
      <c r="A3963" s="40" t="s">
        <v>2446</v>
      </c>
      <c r="B3963" s="42">
        <v>128.5</v>
      </c>
    </row>
    <row r="3964" spans="1:2" x14ac:dyDescent="0.2">
      <c r="A3964" s="40" t="s">
        <v>2447</v>
      </c>
      <c r="B3964" s="42">
        <v>117.76</v>
      </c>
    </row>
    <row r="3965" spans="1:2" x14ac:dyDescent="0.2">
      <c r="A3965" s="40" t="s">
        <v>2448</v>
      </c>
      <c r="B3965" s="42">
        <v>123.64</v>
      </c>
    </row>
    <row r="3966" spans="1:2" x14ac:dyDescent="0.2">
      <c r="A3966" s="41">
        <v>44564</v>
      </c>
      <c r="B3966" s="42">
        <v>132.80000000000001</v>
      </c>
    </row>
    <row r="3967" spans="1:2" x14ac:dyDescent="0.2">
      <c r="A3967" s="41">
        <v>44595</v>
      </c>
      <c r="B3967" s="42">
        <v>124.92</v>
      </c>
    </row>
    <row r="3968" spans="1:2" x14ac:dyDescent="0.2">
      <c r="A3968" s="41">
        <v>44623</v>
      </c>
      <c r="B3968" s="42">
        <v>122.36</v>
      </c>
    </row>
    <row r="3969" spans="1:2" x14ac:dyDescent="0.2">
      <c r="A3969" s="41">
        <v>44654</v>
      </c>
      <c r="B3969" s="42">
        <v>127.85</v>
      </c>
    </row>
    <row r="3970" spans="1:2" x14ac:dyDescent="0.2">
      <c r="A3970" s="41">
        <v>44745</v>
      </c>
      <c r="B3970" s="42">
        <v>133.66</v>
      </c>
    </row>
    <row r="3971" spans="1:2" x14ac:dyDescent="0.2">
      <c r="A3971" s="41">
        <v>44776</v>
      </c>
      <c r="B3971" s="42">
        <v>139.71</v>
      </c>
    </row>
    <row r="3972" spans="1:2" x14ac:dyDescent="0.2">
      <c r="A3972" s="41">
        <v>44807</v>
      </c>
      <c r="B3972" s="42">
        <v>130.86000000000001</v>
      </c>
    </row>
    <row r="3973" spans="1:2" x14ac:dyDescent="0.2">
      <c r="A3973" s="41">
        <v>44837</v>
      </c>
      <c r="B3973" s="42">
        <v>125.47</v>
      </c>
    </row>
    <row r="3974" spans="1:2" x14ac:dyDescent="0.2">
      <c r="A3974" s="41">
        <v>44868</v>
      </c>
      <c r="B3974" s="42">
        <v>125.58</v>
      </c>
    </row>
    <row r="3975" spans="1:2" x14ac:dyDescent="0.2">
      <c r="A3975" s="40" t="s">
        <v>2449</v>
      </c>
      <c r="B3975" s="42">
        <v>126.26</v>
      </c>
    </row>
    <row r="3976" spans="1:2" x14ac:dyDescent="0.2">
      <c r="A3976" s="40" t="s">
        <v>2450</v>
      </c>
      <c r="B3976" s="42">
        <v>122.18</v>
      </c>
    </row>
    <row r="3977" spans="1:2" x14ac:dyDescent="0.2">
      <c r="A3977" s="40" t="s">
        <v>2451</v>
      </c>
      <c r="B3977" s="42">
        <v>115.1</v>
      </c>
    </row>
    <row r="3978" spans="1:2" x14ac:dyDescent="0.2">
      <c r="A3978" s="40" t="s">
        <v>2452</v>
      </c>
      <c r="B3978" s="42">
        <v>109.25</v>
      </c>
    </row>
    <row r="3979" spans="1:2" x14ac:dyDescent="0.2">
      <c r="A3979" s="40" t="s">
        <v>2453</v>
      </c>
      <c r="B3979" s="42">
        <v>106.74</v>
      </c>
    </row>
    <row r="3980" spans="1:2" x14ac:dyDescent="0.2">
      <c r="A3980" s="40" t="s">
        <v>2454</v>
      </c>
      <c r="B3980" s="42">
        <v>108.96</v>
      </c>
    </row>
    <row r="3981" spans="1:2" x14ac:dyDescent="0.2">
      <c r="A3981" s="40" t="s">
        <v>2455</v>
      </c>
      <c r="B3981" s="42">
        <v>108.22</v>
      </c>
    </row>
    <row r="3982" spans="1:2" x14ac:dyDescent="0.2">
      <c r="A3982" s="40" t="s">
        <v>2456</v>
      </c>
      <c r="B3982" s="42">
        <v>108.77</v>
      </c>
    </row>
    <row r="3983" spans="1:2" x14ac:dyDescent="0.2">
      <c r="A3983" s="40" t="s">
        <v>2457</v>
      </c>
      <c r="B3983" s="42">
        <v>106.05</v>
      </c>
    </row>
    <row r="3984" spans="1:2" x14ac:dyDescent="0.2">
      <c r="A3984" s="40" t="s">
        <v>2458</v>
      </c>
      <c r="B3984" s="42">
        <v>109.21</v>
      </c>
    </row>
    <row r="3985" spans="1:2" x14ac:dyDescent="0.2">
      <c r="A3985" s="40" t="s">
        <v>2459</v>
      </c>
      <c r="B3985" s="42">
        <v>108.29</v>
      </c>
    </row>
    <row r="3986" spans="1:2" x14ac:dyDescent="0.2">
      <c r="A3986" s="40" t="s">
        <v>2460</v>
      </c>
      <c r="B3986" s="42">
        <v>104.35</v>
      </c>
    </row>
    <row r="3987" spans="1:2" x14ac:dyDescent="0.2">
      <c r="A3987" s="40" t="s">
        <v>2461</v>
      </c>
      <c r="B3987" s="42">
        <v>107.41</v>
      </c>
    </row>
    <row r="3988" spans="1:2" x14ac:dyDescent="0.2">
      <c r="A3988" s="40" t="s">
        <v>2462</v>
      </c>
      <c r="B3988" s="42">
        <v>111.45</v>
      </c>
    </row>
    <row r="3989" spans="1:2" x14ac:dyDescent="0.2">
      <c r="A3989" s="41">
        <v>44565</v>
      </c>
      <c r="B3989" s="42">
        <v>112.22</v>
      </c>
    </row>
    <row r="3990" spans="1:2" x14ac:dyDescent="0.2">
      <c r="A3990" s="41">
        <v>44655</v>
      </c>
      <c r="B3990" s="42">
        <v>107.11</v>
      </c>
    </row>
    <row r="3991" spans="1:2" x14ac:dyDescent="0.2">
      <c r="A3991" s="41">
        <v>44685</v>
      </c>
      <c r="B3991" s="42">
        <v>116.27</v>
      </c>
    </row>
    <row r="3992" spans="1:2" x14ac:dyDescent="0.2">
      <c r="A3992" s="41">
        <v>44716</v>
      </c>
      <c r="B3992" s="42">
        <v>114.84</v>
      </c>
    </row>
    <row r="3993" spans="1:2" x14ac:dyDescent="0.2">
      <c r="A3993" s="41">
        <v>44746</v>
      </c>
      <c r="B3993" s="42">
        <v>113.33</v>
      </c>
    </row>
    <row r="3994" spans="1:2" x14ac:dyDescent="0.2">
      <c r="A3994" s="41">
        <v>44777</v>
      </c>
      <c r="B3994" s="42">
        <v>112.14</v>
      </c>
    </row>
    <row r="3995" spans="1:2" x14ac:dyDescent="0.2">
      <c r="A3995" s="41">
        <v>44869</v>
      </c>
      <c r="B3995" s="42">
        <v>117.35</v>
      </c>
    </row>
    <row r="3996" spans="1:2" x14ac:dyDescent="0.2">
      <c r="A3996" s="41">
        <v>44899</v>
      </c>
      <c r="B3996" s="42">
        <v>117.26</v>
      </c>
    </row>
    <row r="3997" spans="1:2" x14ac:dyDescent="0.2">
      <c r="A3997" s="40" t="s">
        <v>2463</v>
      </c>
      <c r="B3997" s="42">
        <v>113.76</v>
      </c>
    </row>
    <row r="3998" spans="1:2" x14ac:dyDescent="0.2">
      <c r="A3998" s="40" t="s">
        <v>2464</v>
      </c>
      <c r="B3998" s="42">
        <v>114.75</v>
      </c>
    </row>
    <row r="3999" spans="1:2" x14ac:dyDescent="0.2">
      <c r="A3999" s="40" t="s">
        <v>2465</v>
      </c>
      <c r="B3999" s="42">
        <v>110.9</v>
      </c>
    </row>
    <row r="4000" spans="1:2" x14ac:dyDescent="0.2">
      <c r="A4000" s="40" t="s">
        <v>2466</v>
      </c>
      <c r="B4000" s="42">
        <v>106.06</v>
      </c>
    </row>
    <row r="4001" spans="1:2" x14ac:dyDescent="0.2">
      <c r="A4001" s="40" t="s">
        <v>2467</v>
      </c>
      <c r="B4001" s="42">
        <v>103.03</v>
      </c>
    </row>
    <row r="4002" spans="1:2" x14ac:dyDescent="0.2">
      <c r="A4002" s="40" t="s">
        <v>2468</v>
      </c>
      <c r="B4002" s="42">
        <v>110.93</v>
      </c>
    </row>
    <row r="4003" spans="1:2" x14ac:dyDescent="0.2">
      <c r="A4003" s="40" t="s">
        <v>2469</v>
      </c>
      <c r="B4003" s="42">
        <v>122.37</v>
      </c>
    </row>
    <row r="4004" spans="1:2" x14ac:dyDescent="0.2">
      <c r="A4004" s="40" t="s">
        <v>2470</v>
      </c>
      <c r="B4004" s="42">
        <v>116.98</v>
      </c>
    </row>
    <row r="4005" spans="1:2" x14ac:dyDescent="0.2">
      <c r="A4005" s="40" t="s">
        <v>2471</v>
      </c>
      <c r="B4005" s="42">
        <v>127.5</v>
      </c>
    </row>
    <row r="4006" spans="1:2" x14ac:dyDescent="0.2">
      <c r="A4006" s="40" t="s">
        <v>2472</v>
      </c>
      <c r="B4006" s="42">
        <v>123.71</v>
      </c>
    </row>
    <row r="4007" spans="1:2" x14ac:dyDescent="0.2">
      <c r="A4007" s="40" t="s">
        <v>2473</v>
      </c>
      <c r="B4007" s="42">
        <v>119.75</v>
      </c>
    </row>
    <row r="4008" spans="1:2" x14ac:dyDescent="0.2">
      <c r="A4008" s="40" t="s">
        <v>2474</v>
      </c>
      <c r="B4008" s="42">
        <v>121.98</v>
      </c>
    </row>
    <row r="4009" spans="1:2" x14ac:dyDescent="0.2">
      <c r="A4009" s="41">
        <v>44597</v>
      </c>
      <c r="B4009" s="42">
        <v>124.48</v>
      </c>
    </row>
    <row r="4010" spans="1:2" x14ac:dyDescent="0.2">
      <c r="A4010" s="41">
        <v>44625</v>
      </c>
      <c r="B4010" s="42">
        <v>117.55</v>
      </c>
    </row>
    <row r="4011" spans="1:2" x14ac:dyDescent="0.2">
      <c r="A4011" s="41">
        <v>44656</v>
      </c>
      <c r="B4011" s="42">
        <v>106.62</v>
      </c>
    </row>
    <row r="4012" spans="1:2" x14ac:dyDescent="0.2">
      <c r="A4012" s="41">
        <v>44686</v>
      </c>
      <c r="B4012" s="42">
        <v>119.18</v>
      </c>
    </row>
    <row r="4013" spans="1:2" x14ac:dyDescent="0.2">
      <c r="A4013" s="41">
        <v>44717</v>
      </c>
      <c r="B4013" s="42">
        <v>116.78</v>
      </c>
    </row>
    <row r="4014" spans="1:2" x14ac:dyDescent="0.2">
      <c r="A4014" s="41">
        <v>44809</v>
      </c>
      <c r="B4014" s="42">
        <v>125.93</v>
      </c>
    </row>
    <row r="4015" spans="1:2" x14ac:dyDescent="0.2">
      <c r="A4015" s="41">
        <v>44839</v>
      </c>
      <c r="B4015" s="42">
        <v>120.98</v>
      </c>
    </row>
    <row r="4016" spans="1:2" x14ac:dyDescent="0.2">
      <c r="A4016" s="41">
        <v>44870</v>
      </c>
      <c r="B4016" s="42">
        <v>125.89</v>
      </c>
    </row>
    <row r="4017" spans="1:2" x14ac:dyDescent="0.2">
      <c r="A4017" s="41">
        <v>44900</v>
      </c>
      <c r="B4017" s="42">
        <v>122.11</v>
      </c>
    </row>
    <row r="4018" spans="1:2" x14ac:dyDescent="0.2">
      <c r="A4018" s="40" t="s">
        <v>2475</v>
      </c>
      <c r="B4018" s="42">
        <v>113.89</v>
      </c>
    </row>
    <row r="4019" spans="1:2" x14ac:dyDescent="0.2">
      <c r="A4019" s="40" t="s">
        <v>2476</v>
      </c>
      <c r="B4019" s="42">
        <v>108.26</v>
      </c>
    </row>
    <row r="4020" spans="1:2" x14ac:dyDescent="0.2">
      <c r="A4020" s="40" t="s">
        <v>2477</v>
      </c>
      <c r="B4020" s="42">
        <v>101.2</v>
      </c>
    </row>
    <row r="4021" spans="1:2" x14ac:dyDescent="0.2">
      <c r="A4021" s="40" t="s">
        <v>2478</v>
      </c>
      <c r="B4021" s="42">
        <v>114.96</v>
      </c>
    </row>
    <row r="4022" spans="1:2" x14ac:dyDescent="0.2">
      <c r="A4022" s="40" t="s">
        <v>2479</v>
      </c>
      <c r="B4022" s="42">
        <v>104.89</v>
      </c>
    </row>
    <row r="4023" spans="1:2" x14ac:dyDescent="0.2">
      <c r="A4023" s="40" t="s">
        <v>2480</v>
      </c>
      <c r="B4023" s="42">
        <v>107.8</v>
      </c>
    </row>
    <row r="4024" spans="1:2" x14ac:dyDescent="0.2">
      <c r="A4024" s="40" t="s">
        <v>2481</v>
      </c>
      <c r="B4024" s="42">
        <v>102.68</v>
      </c>
    </row>
    <row r="4025" spans="1:2" x14ac:dyDescent="0.2">
      <c r="A4025" s="40" t="s">
        <v>2482</v>
      </c>
      <c r="B4025" s="42">
        <v>104.29</v>
      </c>
    </row>
    <row r="4026" spans="1:2" x14ac:dyDescent="0.2">
      <c r="A4026" s="40" t="s">
        <v>2483</v>
      </c>
      <c r="B4026" s="42">
        <v>98.79</v>
      </c>
    </row>
    <row r="4027" spans="1:2" x14ac:dyDescent="0.2">
      <c r="A4027" s="40" t="s">
        <v>2484</v>
      </c>
      <c r="B4027" s="42">
        <v>96.25</v>
      </c>
    </row>
    <row r="4028" spans="1:2" x14ac:dyDescent="0.2">
      <c r="A4028" s="40" t="s">
        <v>2485</v>
      </c>
      <c r="B4028" s="42">
        <v>93.66</v>
      </c>
    </row>
    <row r="4029" spans="1:2" x14ac:dyDescent="0.2">
      <c r="A4029" s="40" t="s">
        <v>2486</v>
      </c>
      <c r="B4029" s="42">
        <v>93.1</v>
      </c>
    </row>
    <row r="4030" spans="1:2" x14ac:dyDescent="0.2">
      <c r="A4030" s="41">
        <v>44567</v>
      </c>
      <c r="B4030" s="42">
        <v>91.39</v>
      </c>
    </row>
    <row r="4031" spans="1:2" x14ac:dyDescent="0.2">
      <c r="A4031" s="41">
        <v>44598</v>
      </c>
      <c r="B4031" s="42">
        <v>91.08</v>
      </c>
    </row>
    <row r="4032" spans="1:2" x14ac:dyDescent="0.2">
      <c r="A4032" s="41">
        <v>44626</v>
      </c>
      <c r="B4032" s="42">
        <v>90.5</v>
      </c>
    </row>
    <row r="4033" spans="1:2" x14ac:dyDescent="0.2">
      <c r="A4033" s="41">
        <v>44718</v>
      </c>
      <c r="B4033" s="42">
        <v>89.53</v>
      </c>
    </row>
    <row r="4034" spans="1:2" x14ac:dyDescent="0.2">
      <c r="A4034" s="41">
        <v>44748</v>
      </c>
      <c r="B4034" s="42">
        <v>87.82</v>
      </c>
    </row>
    <row r="4035" spans="1:2" x14ac:dyDescent="0.2">
      <c r="A4035" s="41">
        <v>44779</v>
      </c>
      <c r="B4035" s="42">
        <v>92.68</v>
      </c>
    </row>
    <row r="4036" spans="1:2" x14ac:dyDescent="0.2">
      <c r="A4036" s="41">
        <v>44810</v>
      </c>
      <c r="B4036" s="42">
        <v>98.82</v>
      </c>
    </row>
    <row r="4037" spans="1:2" x14ac:dyDescent="0.2">
      <c r="A4037" s="41">
        <v>44840</v>
      </c>
      <c r="B4037" s="42">
        <v>99.75</v>
      </c>
    </row>
    <row r="4038" spans="1:2" x14ac:dyDescent="0.2">
      <c r="A4038" s="40" t="s">
        <v>2487</v>
      </c>
      <c r="B4038" s="42">
        <v>113.72</v>
      </c>
    </row>
    <row r="4039" spans="1:2" x14ac:dyDescent="0.2">
      <c r="A4039" s="40" t="s">
        <v>2488</v>
      </c>
      <c r="B4039" s="42">
        <v>111.01</v>
      </c>
    </row>
    <row r="4040" spans="1:2" x14ac:dyDescent="0.2">
      <c r="A4040" s="40" t="s">
        <v>2489</v>
      </c>
      <c r="B4040" s="42">
        <v>105.37</v>
      </c>
    </row>
    <row r="4041" spans="1:2" x14ac:dyDescent="0.2">
      <c r="A4041" s="40" t="s">
        <v>2490</v>
      </c>
      <c r="B4041" s="42">
        <v>114.36</v>
      </c>
    </row>
    <row r="4042" spans="1:2" x14ac:dyDescent="0.2">
      <c r="A4042" s="40" t="s">
        <v>2491</v>
      </c>
      <c r="B4042" s="42">
        <v>110.06</v>
      </c>
    </row>
    <row r="4043" spans="1:2" x14ac:dyDescent="0.2">
      <c r="A4043" s="40" t="s">
        <v>2492</v>
      </c>
      <c r="B4043" s="42">
        <v>104.37</v>
      </c>
    </row>
    <row r="4044" spans="1:2" x14ac:dyDescent="0.2">
      <c r="A4044" s="40" t="s">
        <v>2493</v>
      </c>
      <c r="B4044" s="42">
        <v>99.66</v>
      </c>
    </row>
    <row r="4045" spans="1:2" x14ac:dyDescent="0.2">
      <c r="A4045" s="40" t="s">
        <v>2494</v>
      </c>
      <c r="B4045" s="42">
        <v>98.31</v>
      </c>
    </row>
    <row r="4046" spans="1:2" x14ac:dyDescent="0.2">
      <c r="A4046" s="40" t="s">
        <v>2495</v>
      </c>
      <c r="B4046" s="42">
        <v>91.34</v>
      </c>
    </row>
    <row r="4047" spans="1:2" x14ac:dyDescent="0.2">
      <c r="A4047" s="40" t="s">
        <v>2496</v>
      </c>
      <c r="B4047" s="42">
        <v>87.58</v>
      </c>
    </row>
    <row r="4048" spans="1:2" x14ac:dyDescent="0.2">
      <c r="A4048" s="40" t="s">
        <v>2497</v>
      </c>
      <c r="B4048" s="42">
        <v>90.62</v>
      </c>
    </row>
    <row r="4049" spans="1:2" x14ac:dyDescent="0.2">
      <c r="A4049" s="40" t="s">
        <v>2498</v>
      </c>
      <c r="B4049" s="42">
        <v>88.92</v>
      </c>
    </row>
    <row r="4050" spans="1:2" x14ac:dyDescent="0.2">
      <c r="A4050" s="40" t="s">
        <v>2499</v>
      </c>
      <c r="B4050" s="42">
        <v>89.39</v>
      </c>
    </row>
    <row r="4051" spans="1:2" x14ac:dyDescent="0.2">
      <c r="A4051" s="41">
        <v>44568</v>
      </c>
      <c r="B4051" s="42">
        <v>85.51</v>
      </c>
    </row>
    <row r="4052" spans="1:2" x14ac:dyDescent="0.2">
      <c r="A4052" s="41">
        <v>44688</v>
      </c>
      <c r="B4052" s="42">
        <v>87.3</v>
      </c>
    </row>
    <row r="4053" spans="1:2" x14ac:dyDescent="0.2">
      <c r="A4053" s="41">
        <v>44719</v>
      </c>
      <c r="B4053" s="42">
        <v>85.88</v>
      </c>
    </row>
    <row r="4054" spans="1:2" x14ac:dyDescent="0.2">
      <c r="A4054" s="41">
        <v>44749</v>
      </c>
      <c r="B4054" s="42">
        <v>85.88</v>
      </c>
    </row>
    <row r="4055" spans="1:2" x14ac:dyDescent="0.2">
      <c r="A4055" s="41">
        <v>44780</v>
      </c>
      <c r="B4055" s="42">
        <v>84.74</v>
      </c>
    </row>
    <row r="4056" spans="1:2" x14ac:dyDescent="0.2">
      <c r="A4056" s="41">
        <v>44872</v>
      </c>
      <c r="B4056" s="42">
        <v>88.05</v>
      </c>
    </row>
    <row r="4057" spans="1:2" x14ac:dyDescent="0.2">
      <c r="A4057" s="41">
        <v>44902</v>
      </c>
      <c r="B4057" s="42">
        <v>90.06</v>
      </c>
    </row>
    <row r="4058" spans="1:2" x14ac:dyDescent="0.2">
      <c r="A4058" s="40" t="s">
        <v>2500</v>
      </c>
      <c r="B4058" s="42">
        <v>90.49</v>
      </c>
    </row>
    <row r="4059" spans="1:2" x14ac:dyDescent="0.2">
      <c r="A4059" s="40" t="s">
        <v>2501</v>
      </c>
      <c r="B4059" s="42">
        <v>90.73</v>
      </c>
    </row>
    <row r="4060" spans="1:2" x14ac:dyDescent="0.2">
      <c r="A4060" s="40" t="s">
        <v>2502</v>
      </c>
      <c r="B4060" s="42">
        <v>89.37</v>
      </c>
    </row>
    <row r="4061" spans="1:2" x14ac:dyDescent="0.2">
      <c r="A4061" s="40" t="s">
        <v>2503</v>
      </c>
      <c r="B4061" s="42">
        <v>91.86</v>
      </c>
    </row>
    <row r="4062" spans="1:2" x14ac:dyDescent="0.2">
      <c r="A4062" s="40" t="s">
        <v>2504</v>
      </c>
      <c r="B4062" s="42">
        <v>88.61</v>
      </c>
    </row>
    <row r="4063" spans="1:2" x14ac:dyDescent="0.2">
      <c r="A4063" s="40" t="s">
        <v>2505</v>
      </c>
      <c r="B4063" s="42">
        <v>86.75</v>
      </c>
    </row>
    <row r="4064" spans="1:2" x14ac:dyDescent="0.2">
      <c r="A4064" s="40" t="s">
        <v>2506</v>
      </c>
      <c r="B4064" s="42">
        <v>85.04</v>
      </c>
    </row>
    <row r="4065" spans="1:2" x14ac:dyDescent="0.2">
      <c r="A4065" s="40" t="s">
        <v>2507</v>
      </c>
      <c r="B4065" s="42">
        <v>84.53</v>
      </c>
    </row>
    <row r="4066" spans="1:2" x14ac:dyDescent="0.2">
      <c r="A4066" s="40" t="s">
        <v>2508</v>
      </c>
      <c r="B4066" s="42">
        <v>83.82</v>
      </c>
    </row>
    <row r="4067" spans="1:2" x14ac:dyDescent="0.2">
      <c r="A4067" s="40" t="s">
        <v>2509</v>
      </c>
      <c r="B4067" s="42">
        <v>84.83</v>
      </c>
    </row>
    <row r="4068" spans="1:2" x14ac:dyDescent="0.2">
      <c r="A4068" s="40" t="s">
        <v>2510</v>
      </c>
      <c r="B4068" s="42">
        <v>81.77</v>
      </c>
    </row>
    <row r="4069" spans="1:2" x14ac:dyDescent="0.2">
      <c r="A4069" s="40" t="s">
        <v>2511</v>
      </c>
      <c r="B4069" s="42">
        <v>80.88</v>
      </c>
    </row>
    <row r="4070" spans="1:2" x14ac:dyDescent="0.2">
      <c r="A4070" s="40" t="s">
        <v>2512</v>
      </c>
      <c r="B4070" s="42">
        <v>80.290000000000006</v>
      </c>
    </row>
    <row r="4071" spans="1:2" x14ac:dyDescent="0.2">
      <c r="A4071" s="41">
        <v>44569</v>
      </c>
      <c r="B4071" s="42">
        <v>86.34</v>
      </c>
    </row>
    <row r="4072" spans="1:2" x14ac:dyDescent="0.2">
      <c r="A4072" s="41">
        <v>44600</v>
      </c>
      <c r="B4072" s="42">
        <v>88.47</v>
      </c>
    </row>
    <row r="4073" spans="1:2" x14ac:dyDescent="0.2">
      <c r="A4073" s="41">
        <v>44628</v>
      </c>
      <c r="B4073" s="42">
        <v>84.6</v>
      </c>
    </row>
    <row r="4074" spans="1:2" x14ac:dyDescent="0.2">
      <c r="A4074" s="41">
        <v>44659</v>
      </c>
      <c r="B4074" s="42">
        <v>83.69</v>
      </c>
    </row>
    <row r="4075" spans="1:2" x14ac:dyDescent="0.2">
      <c r="A4075" s="41">
        <v>44689</v>
      </c>
      <c r="B4075" s="42">
        <v>84.13</v>
      </c>
    </row>
    <row r="4076" spans="1:2" x14ac:dyDescent="0.2">
      <c r="A4076" s="41">
        <v>44781</v>
      </c>
      <c r="B4076" s="42">
        <v>86.95</v>
      </c>
    </row>
    <row r="4077" spans="1:2" x14ac:dyDescent="0.2">
      <c r="A4077" s="41">
        <v>44812</v>
      </c>
      <c r="B4077" s="42">
        <v>87.49</v>
      </c>
    </row>
    <row r="4078" spans="1:2" x14ac:dyDescent="0.2">
      <c r="A4078" s="41">
        <v>44842</v>
      </c>
      <c r="B4078" s="42">
        <v>90.04</v>
      </c>
    </row>
    <row r="4079" spans="1:2" x14ac:dyDescent="0.2">
      <c r="A4079" s="41">
        <v>44873</v>
      </c>
      <c r="B4079" s="42">
        <v>90.84</v>
      </c>
    </row>
    <row r="4080" spans="1:2" x14ac:dyDescent="0.2">
      <c r="A4080" s="41">
        <v>44903</v>
      </c>
      <c r="B4080" s="42">
        <v>91.01</v>
      </c>
    </row>
    <row r="4081" spans="1:2" x14ac:dyDescent="0.2">
      <c r="A4081" s="40" t="s">
        <v>2513</v>
      </c>
      <c r="B4081" s="42">
        <v>88.73</v>
      </c>
    </row>
    <row r="4082" spans="1:2" x14ac:dyDescent="0.2">
      <c r="A4082" s="40" t="s">
        <v>2514</v>
      </c>
      <c r="B4082" s="42">
        <v>88.05</v>
      </c>
    </row>
    <row r="4083" spans="1:2" x14ac:dyDescent="0.2">
      <c r="A4083" s="40" t="s">
        <v>2515</v>
      </c>
      <c r="B4083" s="42">
        <v>87.47</v>
      </c>
    </row>
    <row r="4084" spans="1:2" x14ac:dyDescent="0.2">
      <c r="A4084" s="40" t="s">
        <v>2516</v>
      </c>
      <c r="B4084" s="42">
        <v>86.46</v>
      </c>
    </row>
    <row r="4085" spans="1:2" x14ac:dyDescent="0.2">
      <c r="A4085" s="40" t="s">
        <v>2517</v>
      </c>
      <c r="B4085" s="42">
        <v>89.77</v>
      </c>
    </row>
    <row r="4086" spans="1:2" x14ac:dyDescent="0.2">
      <c r="A4086" s="40" t="s">
        <v>2518</v>
      </c>
      <c r="B4086" s="42">
        <v>94.75</v>
      </c>
    </row>
    <row r="4087" spans="1:2" x14ac:dyDescent="0.2">
      <c r="A4087" s="40" t="s">
        <v>2519</v>
      </c>
      <c r="B4087" s="42">
        <v>93.34</v>
      </c>
    </row>
    <row r="4088" spans="1:2" x14ac:dyDescent="0.2">
      <c r="A4088" s="40" t="s">
        <v>2520</v>
      </c>
      <c r="B4088" s="42">
        <v>86.45</v>
      </c>
    </row>
    <row r="4089" spans="1:2" x14ac:dyDescent="0.2">
      <c r="A4089" s="40" t="s">
        <v>2521</v>
      </c>
      <c r="B4089" s="42">
        <v>83.32</v>
      </c>
    </row>
    <row r="4090" spans="1:2" x14ac:dyDescent="0.2">
      <c r="A4090" s="40" t="s">
        <v>2522</v>
      </c>
      <c r="B4090" s="42">
        <v>91.66</v>
      </c>
    </row>
    <row r="4091" spans="1:2" x14ac:dyDescent="0.2">
      <c r="A4091" s="40" t="s">
        <v>2523</v>
      </c>
      <c r="B4091" s="42">
        <v>91.57</v>
      </c>
    </row>
    <row r="4092" spans="1:2" x14ac:dyDescent="0.2">
      <c r="A4092" s="40" t="s">
        <v>2524</v>
      </c>
      <c r="B4092" s="42">
        <v>91.11</v>
      </c>
    </row>
    <row r="4093" spans="1:2" x14ac:dyDescent="0.2">
      <c r="A4093" s="40" t="s">
        <v>2525</v>
      </c>
      <c r="B4093" s="42">
        <v>88.4</v>
      </c>
    </row>
    <row r="4094" spans="1:2" x14ac:dyDescent="0.2">
      <c r="A4094" s="41">
        <v>44570</v>
      </c>
      <c r="B4094" s="42">
        <v>87.74</v>
      </c>
    </row>
    <row r="4095" spans="1:2" x14ac:dyDescent="0.2">
      <c r="A4095" s="41">
        <v>44601</v>
      </c>
      <c r="B4095" s="42">
        <v>89.19</v>
      </c>
    </row>
    <row r="4096" spans="1:2" x14ac:dyDescent="0.2">
      <c r="A4096" s="41">
        <v>44721</v>
      </c>
      <c r="B4096" s="42">
        <v>94.08</v>
      </c>
    </row>
    <row r="4097" spans="1:2" x14ac:dyDescent="0.2">
      <c r="A4097" s="41">
        <v>44751</v>
      </c>
      <c r="B4097" s="42">
        <v>88.26</v>
      </c>
    </row>
    <row r="4098" spans="1:2" x14ac:dyDescent="0.2">
      <c r="A4098" s="41">
        <v>44782</v>
      </c>
      <c r="B4098" s="42">
        <v>85.57</v>
      </c>
    </row>
    <row r="4099" spans="1:2" x14ac:dyDescent="0.2">
      <c r="A4099" s="41">
        <v>44813</v>
      </c>
      <c r="B4099" s="42">
        <v>84.09</v>
      </c>
    </row>
    <row r="4100" spans="1:2" x14ac:dyDescent="0.2">
      <c r="A4100" s="41">
        <v>44904</v>
      </c>
      <c r="B4100" s="42">
        <v>84.53</v>
      </c>
    </row>
    <row r="4101" spans="1:2" x14ac:dyDescent="0.2">
      <c r="A4101" s="40" t="s">
        <v>2526</v>
      </c>
      <c r="B4101" s="42">
        <v>93.89</v>
      </c>
    </row>
    <row r="4102" spans="1:2" x14ac:dyDescent="0.2">
      <c r="A4102" s="40" t="s">
        <v>2527</v>
      </c>
      <c r="B4102" s="42">
        <v>93.58</v>
      </c>
    </row>
    <row r="4103" spans="1:2" x14ac:dyDescent="0.2">
      <c r="A4103" s="40" t="s">
        <v>2528</v>
      </c>
      <c r="B4103" s="42">
        <v>92.61</v>
      </c>
    </row>
    <row r="4104" spans="1:2" x14ac:dyDescent="0.2">
      <c r="A4104" s="40" t="s">
        <v>2529</v>
      </c>
      <c r="B4104" s="42">
        <v>92.42</v>
      </c>
    </row>
    <row r="4105" spans="1:2" x14ac:dyDescent="0.2">
      <c r="A4105" s="40" t="s">
        <v>2530</v>
      </c>
      <c r="B4105" s="42">
        <v>88.99</v>
      </c>
    </row>
    <row r="4106" spans="1:2" x14ac:dyDescent="0.2">
      <c r="A4106" s="40" t="s">
        <v>2531</v>
      </c>
      <c r="B4106" s="42">
        <v>91.12</v>
      </c>
    </row>
    <row r="4107" spans="1:2" x14ac:dyDescent="0.2">
      <c r="A4107" s="40" t="s">
        <v>2532</v>
      </c>
      <c r="B4107" s="42">
        <v>92.05</v>
      </c>
    </row>
    <row r="4108" spans="1:2" x14ac:dyDescent="0.2">
      <c r="A4108" s="40" t="s">
        <v>2533</v>
      </c>
      <c r="B4108" s="42">
        <v>89.18</v>
      </c>
    </row>
    <row r="4109" spans="1:2" x14ac:dyDescent="0.2">
      <c r="A4109" s="40" t="s">
        <v>2534</v>
      </c>
      <c r="B4109" s="42">
        <v>101.55</v>
      </c>
    </row>
    <row r="4110" spans="1:2" x14ac:dyDescent="0.2">
      <c r="A4110" s="40" t="s">
        <v>2535</v>
      </c>
      <c r="B4110" s="42">
        <v>109.09</v>
      </c>
    </row>
    <row r="4111" spans="1:2" x14ac:dyDescent="0.2">
      <c r="A4111" s="40" t="s">
        <v>2536</v>
      </c>
      <c r="B4111" s="42">
        <v>113.76</v>
      </c>
    </row>
    <row r="4112" spans="1:2" x14ac:dyDescent="0.2">
      <c r="A4112" s="40" t="s">
        <v>2537</v>
      </c>
      <c r="B4112" s="42">
        <v>105.83</v>
      </c>
    </row>
    <row r="4113" spans="1:2" x14ac:dyDescent="0.2">
      <c r="A4113" s="40" t="s">
        <v>2538</v>
      </c>
      <c r="B4113" s="42">
        <v>108.31</v>
      </c>
    </row>
    <row r="4114" spans="1:2" x14ac:dyDescent="0.2">
      <c r="A4114" s="40" t="s">
        <v>2539</v>
      </c>
      <c r="B4114" s="42">
        <v>106.19</v>
      </c>
    </row>
    <row r="4115" spans="1:2" x14ac:dyDescent="0.2">
      <c r="A4115" s="41">
        <v>44630</v>
      </c>
      <c r="B4115" s="42">
        <v>103.03</v>
      </c>
    </row>
    <row r="4116" spans="1:2" x14ac:dyDescent="0.2">
      <c r="A4116" s="41">
        <v>44661</v>
      </c>
      <c r="B4116" s="42">
        <v>96.83</v>
      </c>
    </row>
    <row r="4117" spans="1:2" x14ac:dyDescent="0.2">
      <c r="A4117" s="41">
        <v>44691</v>
      </c>
      <c r="B4117" s="42">
        <v>92.79</v>
      </c>
    </row>
    <row r="4118" spans="1:2" x14ac:dyDescent="0.2">
      <c r="A4118" s="41">
        <v>44722</v>
      </c>
      <c r="B4118" s="42">
        <v>97.73</v>
      </c>
    </row>
    <row r="4119" spans="1:2" x14ac:dyDescent="0.2">
      <c r="A4119" s="41">
        <v>44752</v>
      </c>
      <c r="B4119" s="42">
        <v>103.37</v>
      </c>
    </row>
    <row r="4120" spans="1:2" x14ac:dyDescent="0.2">
      <c r="A4120" s="41">
        <v>44844</v>
      </c>
      <c r="B4120" s="42">
        <v>107.11</v>
      </c>
    </row>
    <row r="4121" spans="1:2" x14ac:dyDescent="0.2">
      <c r="A4121" s="41">
        <v>44875</v>
      </c>
      <c r="B4121" s="42">
        <v>105.26</v>
      </c>
    </row>
    <row r="4122" spans="1:2" x14ac:dyDescent="0.2">
      <c r="A4122" s="41">
        <v>44905</v>
      </c>
      <c r="B4122" s="42">
        <v>109.19</v>
      </c>
    </row>
    <row r="4123" spans="1:2" x14ac:dyDescent="0.2">
      <c r="A4123" s="40" t="s">
        <v>2540</v>
      </c>
      <c r="B4123" s="42">
        <v>101.26</v>
      </c>
    </row>
    <row r="4124" spans="1:2" x14ac:dyDescent="0.2">
      <c r="A4124" s="40" t="s">
        <v>2541</v>
      </c>
      <c r="B4124" s="42">
        <v>101.94</v>
      </c>
    </row>
    <row r="4125" spans="1:2" x14ac:dyDescent="0.2">
      <c r="A4125" s="40" t="s">
        <v>2542</v>
      </c>
      <c r="B4125" s="42">
        <v>97.32</v>
      </c>
    </row>
    <row r="4126" spans="1:2" x14ac:dyDescent="0.2">
      <c r="A4126" s="40" t="s">
        <v>2543</v>
      </c>
      <c r="B4126" s="42">
        <v>92.3</v>
      </c>
    </row>
    <row r="4127" spans="1:2" x14ac:dyDescent="0.2">
      <c r="A4127" s="40" t="s">
        <v>2544</v>
      </c>
      <c r="B4127" s="42">
        <v>90.69</v>
      </c>
    </row>
    <row r="4128" spans="1:2" x14ac:dyDescent="0.2">
      <c r="A4128" s="40" t="s">
        <v>2545</v>
      </c>
      <c r="B4128" s="42">
        <v>88.35</v>
      </c>
    </row>
    <row r="4129" spans="1:2" x14ac:dyDescent="0.2">
      <c r="A4129" s="40" t="s">
        <v>2546</v>
      </c>
      <c r="B4129" s="42">
        <v>87.32</v>
      </c>
    </row>
    <row r="4130" spans="1:2" x14ac:dyDescent="0.2">
      <c r="A4130" s="40" t="s">
        <v>2547</v>
      </c>
      <c r="B4130" s="42">
        <v>86.06</v>
      </c>
    </row>
    <row r="4131" spans="1:2" x14ac:dyDescent="0.2">
      <c r="A4131" s="40" t="s">
        <v>2548</v>
      </c>
      <c r="B4131" s="42">
        <v>82.21</v>
      </c>
    </row>
    <row r="4132" spans="1:2" x14ac:dyDescent="0.2">
      <c r="A4132" s="40" t="s">
        <v>2549</v>
      </c>
      <c r="B4132" s="42">
        <v>80.42</v>
      </c>
    </row>
    <row r="4133" spans="1:2" x14ac:dyDescent="0.2">
      <c r="A4133" s="40" t="s">
        <v>2550</v>
      </c>
      <c r="B4133" s="42">
        <v>82.51</v>
      </c>
    </row>
    <row r="4134" spans="1:2" x14ac:dyDescent="0.2">
      <c r="A4134" s="40" t="s">
        <v>2551</v>
      </c>
      <c r="B4134" s="42">
        <v>78.12</v>
      </c>
    </row>
    <row r="4135" spans="1:2" x14ac:dyDescent="0.2">
      <c r="A4135" s="40" t="s">
        <v>2552</v>
      </c>
      <c r="B4135" s="42">
        <v>78.86</v>
      </c>
    </row>
    <row r="4136" spans="1:2" x14ac:dyDescent="0.2">
      <c r="A4136" s="41">
        <v>44572</v>
      </c>
      <c r="B4136" s="42">
        <v>80.239999999999995</v>
      </c>
    </row>
    <row r="4137" spans="1:2" x14ac:dyDescent="0.2">
      <c r="A4137" s="41">
        <v>44603</v>
      </c>
      <c r="B4137" s="42">
        <v>80.930000000000007</v>
      </c>
    </row>
    <row r="4138" spans="1:2" x14ac:dyDescent="0.2">
      <c r="A4138" s="41">
        <v>44631</v>
      </c>
      <c r="B4138" s="42">
        <v>79.17</v>
      </c>
    </row>
    <row r="4139" spans="1:2" x14ac:dyDescent="0.2">
      <c r="A4139" s="41">
        <v>44662</v>
      </c>
      <c r="B4139" s="42">
        <v>79.239999999999995</v>
      </c>
    </row>
    <row r="4140" spans="1:2" x14ac:dyDescent="0.2">
      <c r="A4140" s="41">
        <v>44753</v>
      </c>
      <c r="B4140" s="42">
        <v>79.95</v>
      </c>
    </row>
    <row r="4141" spans="1:2" x14ac:dyDescent="0.2">
      <c r="A4141" s="41">
        <v>44784</v>
      </c>
      <c r="B4141" s="42">
        <v>84.6</v>
      </c>
    </row>
    <row r="4142" spans="1:2" x14ac:dyDescent="0.2">
      <c r="A4142" s="41">
        <v>44815</v>
      </c>
      <c r="B4142" s="42">
        <v>90.11</v>
      </c>
    </row>
    <row r="4143" spans="1:2" x14ac:dyDescent="0.2">
      <c r="A4143" s="41">
        <v>44845</v>
      </c>
      <c r="B4143" s="42">
        <v>85.78</v>
      </c>
    </row>
    <row r="4144" spans="1:2" x14ac:dyDescent="0.2">
      <c r="A4144" s="41">
        <v>44876</v>
      </c>
      <c r="B4144" s="42">
        <v>85.89</v>
      </c>
    </row>
    <row r="4145" spans="1:2" x14ac:dyDescent="0.2">
      <c r="A4145" s="40" t="s">
        <v>2553</v>
      </c>
      <c r="B4145" s="42">
        <v>84.57</v>
      </c>
    </row>
    <row r="4146" spans="1:2" x14ac:dyDescent="0.2">
      <c r="A4146" s="40" t="s">
        <v>2554</v>
      </c>
      <c r="B4146" s="42">
        <v>88.31</v>
      </c>
    </row>
    <row r="4147" spans="1:2" x14ac:dyDescent="0.2">
      <c r="A4147" s="40" t="s">
        <v>2555</v>
      </c>
      <c r="B4147" s="42">
        <v>81.38</v>
      </c>
    </row>
    <row r="4148" spans="1:2" x14ac:dyDescent="0.2">
      <c r="A4148" s="40" t="s">
        <v>2556</v>
      </c>
      <c r="B4148" s="42">
        <v>81.16</v>
      </c>
    </row>
    <row r="4149" spans="1:2" x14ac:dyDescent="0.2">
      <c r="A4149" s="40" t="s">
        <v>2557</v>
      </c>
      <c r="B4149" s="42">
        <v>77.680000000000007</v>
      </c>
    </row>
    <row r="4150" spans="1:2" x14ac:dyDescent="0.2">
      <c r="A4150" s="40" t="s">
        <v>2558</v>
      </c>
      <c r="B4150" s="42">
        <v>77.11</v>
      </c>
    </row>
    <row r="4151" spans="1:2" x14ac:dyDescent="0.2">
      <c r="A4151" s="40" t="s">
        <v>2559</v>
      </c>
      <c r="B4151" s="42">
        <v>77.81</v>
      </c>
    </row>
    <row r="4152" spans="1:2" x14ac:dyDescent="0.2">
      <c r="A4152" s="40" t="s">
        <v>2560</v>
      </c>
      <c r="B4152" s="42">
        <v>81.72</v>
      </c>
    </row>
    <row r="4153" spans="1:2" x14ac:dyDescent="0.2">
      <c r="A4153" s="40" t="s">
        <v>2561</v>
      </c>
      <c r="B4153" s="42">
        <v>82.5</v>
      </c>
    </row>
    <row r="4154" spans="1:2" x14ac:dyDescent="0.2">
      <c r="A4154" s="40" t="s">
        <v>2562</v>
      </c>
      <c r="B4154" s="42">
        <v>87.33</v>
      </c>
    </row>
    <row r="4155" spans="1:2" x14ac:dyDescent="0.2">
      <c r="A4155" s="40" t="s">
        <v>2563</v>
      </c>
      <c r="B4155" s="42">
        <v>85.43</v>
      </c>
    </row>
    <row r="4156" spans="1:2" x14ac:dyDescent="0.2">
      <c r="A4156" s="40" t="s">
        <v>2564</v>
      </c>
      <c r="B4156" s="42">
        <v>81.790000000000006</v>
      </c>
    </row>
    <row r="4157" spans="1:2" x14ac:dyDescent="0.2">
      <c r="A4157" s="41">
        <v>44573</v>
      </c>
      <c r="B4157" s="42">
        <v>82.19</v>
      </c>
    </row>
    <row r="4158" spans="1:2" x14ac:dyDescent="0.2">
      <c r="A4158" s="41">
        <v>44604</v>
      </c>
      <c r="B4158" s="42">
        <v>81.569999999999993</v>
      </c>
    </row>
    <row r="4159" spans="1:2" x14ac:dyDescent="0.2">
      <c r="A4159" s="41">
        <v>44693</v>
      </c>
      <c r="B4159" s="42">
        <v>84.71</v>
      </c>
    </row>
    <row r="4160" spans="1:2" x14ac:dyDescent="0.2">
      <c r="A4160" s="41">
        <v>44724</v>
      </c>
      <c r="B4160" s="42">
        <v>86.59</v>
      </c>
    </row>
    <row r="4161" spans="1:2" x14ac:dyDescent="0.2">
      <c r="A4161" s="41">
        <v>44754</v>
      </c>
      <c r="B4161" s="42">
        <v>87.18</v>
      </c>
    </row>
    <row r="4162" spans="1:2" x14ac:dyDescent="0.2">
      <c r="A4162" s="41">
        <v>44785</v>
      </c>
      <c r="B4162" s="42">
        <v>84.9</v>
      </c>
    </row>
    <row r="4163" spans="1:2" x14ac:dyDescent="0.2">
      <c r="A4163" s="41">
        <v>44816</v>
      </c>
      <c r="B4163" s="42">
        <v>87.26</v>
      </c>
    </row>
    <row r="4164" spans="1:2" x14ac:dyDescent="0.2">
      <c r="A4164" s="41">
        <v>44907</v>
      </c>
      <c r="B4164" s="42">
        <v>91.73</v>
      </c>
    </row>
    <row r="4165" spans="1:2" x14ac:dyDescent="0.2">
      <c r="A4165" s="40" t="s">
        <v>2565</v>
      </c>
      <c r="B4165" s="42">
        <v>88.74</v>
      </c>
    </row>
    <row r="4166" spans="1:2" x14ac:dyDescent="0.2">
      <c r="A4166" s="40" t="s">
        <v>2566</v>
      </c>
      <c r="B4166" s="42">
        <v>88.35</v>
      </c>
    </row>
    <row r="4167" spans="1:2" x14ac:dyDescent="0.2">
      <c r="A4167" s="40" t="s">
        <v>2567</v>
      </c>
      <c r="B4167" s="42">
        <v>92.26</v>
      </c>
    </row>
    <row r="4168" spans="1:2" x14ac:dyDescent="0.2">
      <c r="A4168" s="40" t="s">
        <v>2568</v>
      </c>
      <c r="B4168" s="42">
        <v>89.15</v>
      </c>
    </row>
    <row r="4169" spans="1:2" x14ac:dyDescent="0.2">
      <c r="A4169" s="40" t="s">
        <v>2569</v>
      </c>
      <c r="B4169" s="42">
        <v>87.54</v>
      </c>
    </row>
    <row r="4170" spans="1:2" x14ac:dyDescent="0.2">
      <c r="A4170" s="40" t="s">
        <v>2570</v>
      </c>
      <c r="B4170" s="42">
        <v>83</v>
      </c>
    </row>
    <row r="4171" spans="1:2" x14ac:dyDescent="0.2">
      <c r="A4171" s="40" t="s">
        <v>2571</v>
      </c>
      <c r="B4171" s="42">
        <v>77.64</v>
      </c>
    </row>
    <row r="4172" spans="1:2" x14ac:dyDescent="0.2">
      <c r="A4172" s="40" t="s">
        <v>2572</v>
      </c>
      <c r="B4172" s="42">
        <v>81.94</v>
      </c>
    </row>
    <row r="4173" spans="1:2" x14ac:dyDescent="0.2">
      <c r="A4173" s="40" t="s">
        <v>2573</v>
      </c>
      <c r="B4173" s="42">
        <v>78.84</v>
      </c>
    </row>
    <row r="4174" spans="1:2" x14ac:dyDescent="0.2">
      <c r="A4174" s="40" t="s">
        <v>2574</v>
      </c>
      <c r="B4174" s="42">
        <v>78.650000000000006</v>
      </c>
    </row>
    <row r="4175" spans="1:2" x14ac:dyDescent="0.2">
      <c r="A4175" s="40" t="s">
        <v>2575</v>
      </c>
      <c r="B4175" s="42">
        <v>79.900000000000006</v>
      </c>
    </row>
    <row r="4176" spans="1:2" x14ac:dyDescent="0.2">
      <c r="A4176" s="40" t="s">
        <v>2576</v>
      </c>
      <c r="B4176" s="42">
        <v>77.28</v>
      </c>
    </row>
    <row r="4177" spans="1:2" x14ac:dyDescent="0.2">
      <c r="A4177" s="40" t="s">
        <v>2577</v>
      </c>
      <c r="B4177" s="42">
        <v>77.05</v>
      </c>
    </row>
    <row r="4178" spans="1:2" x14ac:dyDescent="0.2">
      <c r="A4178" s="41">
        <v>44986</v>
      </c>
      <c r="B4178" s="42">
        <v>80.34</v>
      </c>
    </row>
    <row r="4179" spans="1:2" x14ac:dyDescent="0.2">
      <c r="A4179" s="41">
        <v>45017</v>
      </c>
      <c r="B4179" s="42">
        <v>76.650000000000006</v>
      </c>
    </row>
    <row r="4180" spans="1:2" x14ac:dyDescent="0.2">
      <c r="A4180" s="41">
        <v>45047</v>
      </c>
      <c r="B4180" s="42">
        <v>75.959999999999994</v>
      </c>
    </row>
    <row r="4181" spans="1:2" x14ac:dyDescent="0.2">
      <c r="A4181" s="41">
        <v>45078</v>
      </c>
      <c r="B4181" s="42">
        <v>73.88</v>
      </c>
    </row>
    <row r="4182" spans="1:2" x14ac:dyDescent="0.2">
      <c r="A4182" s="41">
        <v>45170</v>
      </c>
      <c r="B4182" s="42">
        <v>77.27</v>
      </c>
    </row>
    <row r="4183" spans="1:2" x14ac:dyDescent="0.2">
      <c r="A4183" s="41">
        <v>45200</v>
      </c>
      <c r="B4183" s="42">
        <v>76.02</v>
      </c>
    </row>
    <row r="4184" spans="1:2" x14ac:dyDescent="0.2">
      <c r="A4184" s="41">
        <v>45231</v>
      </c>
      <c r="B4184" s="42">
        <v>78.94</v>
      </c>
    </row>
    <row r="4185" spans="1:2" x14ac:dyDescent="0.2">
      <c r="A4185" s="41">
        <v>45261</v>
      </c>
      <c r="B4185" s="42">
        <v>78.790000000000006</v>
      </c>
    </row>
    <row r="4186" spans="1:2" x14ac:dyDescent="0.2">
      <c r="A4186" s="40" t="s">
        <v>2578</v>
      </c>
      <c r="B4186" s="42">
        <v>80.89</v>
      </c>
    </row>
    <row r="4187" spans="1:2" x14ac:dyDescent="0.2">
      <c r="A4187" s="40" t="s">
        <v>2579</v>
      </c>
      <c r="B4187" s="42">
        <v>83.44</v>
      </c>
    </row>
    <row r="4188" spans="1:2" x14ac:dyDescent="0.2">
      <c r="A4188" s="40" t="s">
        <v>2580</v>
      </c>
      <c r="B4188" s="42">
        <v>85.33</v>
      </c>
    </row>
    <row r="4189" spans="1:2" x14ac:dyDescent="0.2">
      <c r="A4189" s="40" t="s">
        <v>2581</v>
      </c>
      <c r="B4189" s="42">
        <v>85.14</v>
      </c>
    </row>
    <row r="4190" spans="1:2" x14ac:dyDescent="0.2">
      <c r="A4190" s="40" t="s">
        <v>2582</v>
      </c>
      <c r="B4190" s="42">
        <v>81.03</v>
      </c>
    </row>
    <row r="4191" spans="1:2" x14ac:dyDescent="0.2">
      <c r="A4191" s="40" t="s">
        <v>2583</v>
      </c>
      <c r="B4191" s="42">
        <v>78.34</v>
      </c>
    </row>
    <row r="4192" spans="1:2" x14ac:dyDescent="0.2">
      <c r="A4192" s="40" t="s">
        <v>2584</v>
      </c>
      <c r="B4192" s="42">
        <v>79.37</v>
      </c>
    </row>
    <row r="4193" spans="1:2" x14ac:dyDescent="0.2">
      <c r="A4193" s="40" t="s">
        <v>2585</v>
      </c>
      <c r="B4193" s="42">
        <v>80.739999999999995</v>
      </c>
    </row>
    <row r="4194" spans="1:2" x14ac:dyDescent="0.2">
      <c r="A4194" s="40" t="s">
        <v>2586</v>
      </c>
      <c r="B4194" s="42">
        <v>81.599999999999994</v>
      </c>
    </row>
    <row r="4195" spans="1:2" x14ac:dyDescent="0.2">
      <c r="A4195" s="40" t="s">
        <v>2587</v>
      </c>
      <c r="B4195" s="42">
        <v>83.31</v>
      </c>
    </row>
    <row r="4196" spans="1:2" x14ac:dyDescent="0.2">
      <c r="A4196" s="40" t="s">
        <v>2588</v>
      </c>
      <c r="B4196" s="42">
        <v>86.13</v>
      </c>
    </row>
    <row r="4197" spans="1:2" x14ac:dyDescent="0.2">
      <c r="A4197" s="40" t="s">
        <v>2589</v>
      </c>
      <c r="B4197" s="42">
        <v>83.9</v>
      </c>
    </row>
    <row r="4198" spans="1:2" x14ac:dyDescent="0.2">
      <c r="A4198" s="41">
        <v>44928</v>
      </c>
      <c r="B4198" s="42">
        <v>81.2</v>
      </c>
    </row>
    <row r="4199" spans="1:2" x14ac:dyDescent="0.2">
      <c r="A4199" s="41">
        <v>44959</v>
      </c>
      <c r="B4199" s="42">
        <v>84.97</v>
      </c>
    </row>
    <row r="4200" spans="1:2" x14ac:dyDescent="0.2">
      <c r="A4200" s="41">
        <v>44987</v>
      </c>
      <c r="B4200" s="42">
        <v>83.49</v>
      </c>
    </row>
    <row r="4201" spans="1:2" x14ac:dyDescent="0.2">
      <c r="A4201" s="41">
        <v>45079</v>
      </c>
      <c r="B4201" s="42">
        <v>85.1</v>
      </c>
    </row>
    <row r="4202" spans="1:2" x14ac:dyDescent="0.2">
      <c r="A4202" s="41">
        <v>45109</v>
      </c>
      <c r="B4202" s="42">
        <v>84.54</v>
      </c>
    </row>
    <row r="4203" spans="1:2" x14ac:dyDescent="0.2">
      <c r="A4203" s="41">
        <v>45140</v>
      </c>
      <c r="B4203" s="42">
        <v>94.83</v>
      </c>
    </row>
    <row r="4204" spans="1:2" x14ac:dyDescent="0.2">
      <c r="A4204" s="41">
        <v>45171</v>
      </c>
      <c r="B4204" s="42">
        <v>97.96</v>
      </c>
    </row>
    <row r="4205" spans="1:2" x14ac:dyDescent="0.2">
      <c r="A4205" s="41">
        <v>45201</v>
      </c>
      <c r="B4205" s="42">
        <v>95.63</v>
      </c>
    </row>
    <row r="4206" spans="1:2" x14ac:dyDescent="0.2">
      <c r="A4206" s="40" t="s">
        <v>2590</v>
      </c>
      <c r="B4206" s="42">
        <v>93.95</v>
      </c>
    </row>
    <row r="4207" spans="1:2" x14ac:dyDescent="0.2">
      <c r="A4207" s="40" t="s">
        <v>2591</v>
      </c>
      <c r="B4207" s="42">
        <v>89.2</v>
      </c>
    </row>
    <row r="4208" spans="1:2" x14ac:dyDescent="0.2">
      <c r="A4208" s="40" t="s">
        <v>2592</v>
      </c>
      <c r="B4208" s="42">
        <v>84.81</v>
      </c>
    </row>
    <row r="4209" spans="1:2" x14ac:dyDescent="0.2">
      <c r="A4209" s="40" t="s">
        <v>2593</v>
      </c>
      <c r="B4209" s="42">
        <v>88.25</v>
      </c>
    </row>
    <row r="4210" spans="1:2" x14ac:dyDescent="0.2">
      <c r="A4210" s="40" t="s">
        <v>2594</v>
      </c>
      <c r="B4210" s="42">
        <v>87.97</v>
      </c>
    </row>
    <row r="4211" spans="1:2" x14ac:dyDescent="0.2">
      <c r="A4211" s="40" t="s">
        <v>2595</v>
      </c>
      <c r="B4211" s="42">
        <v>95.99</v>
      </c>
    </row>
    <row r="4212" spans="1:2" x14ac:dyDescent="0.2">
      <c r="A4212" s="40" t="s">
        <v>2596</v>
      </c>
      <c r="B4212" s="42">
        <v>91.24</v>
      </c>
    </row>
    <row r="4213" spans="1:2" x14ac:dyDescent="0.2">
      <c r="A4213" s="40" t="s">
        <v>2597</v>
      </c>
      <c r="B4213" s="42">
        <v>85.16</v>
      </c>
    </row>
    <row r="4214" spans="1:2" x14ac:dyDescent="0.2">
      <c r="A4214" s="40" t="s">
        <v>2598</v>
      </c>
      <c r="B4214" s="42">
        <v>85.26</v>
      </c>
    </row>
    <row r="4215" spans="1:2" x14ac:dyDescent="0.2">
      <c r="A4215" s="40" t="s">
        <v>2599</v>
      </c>
      <c r="B4215" s="42">
        <v>83.21</v>
      </c>
    </row>
    <row r="4216" spans="1:2" x14ac:dyDescent="0.2">
      <c r="A4216" s="40" t="s">
        <v>2600</v>
      </c>
      <c r="B4216" s="42">
        <v>80.760000000000005</v>
      </c>
    </row>
    <row r="4217" spans="1:2" x14ac:dyDescent="0.2">
      <c r="A4217" s="41">
        <v>44929</v>
      </c>
      <c r="B4217" s="42">
        <v>80.55</v>
      </c>
    </row>
    <row r="4218" spans="1:2" x14ac:dyDescent="0.2">
      <c r="A4218" s="41">
        <v>44960</v>
      </c>
      <c r="B4218" s="42">
        <v>77.34</v>
      </c>
    </row>
    <row r="4219" spans="1:2" x14ac:dyDescent="0.2">
      <c r="A4219" s="41">
        <v>44988</v>
      </c>
      <c r="B4219" s="42">
        <v>75.930000000000007</v>
      </c>
    </row>
    <row r="4220" spans="1:2" x14ac:dyDescent="0.2">
      <c r="A4220" s="41">
        <v>45080</v>
      </c>
      <c r="B4220" s="42">
        <v>76.41</v>
      </c>
    </row>
    <row r="4221" spans="1:2" x14ac:dyDescent="0.2">
      <c r="A4221" s="41">
        <v>45110</v>
      </c>
      <c r="B4221" s="42">
        <v>78.540000000000006</v>
      </c>
    </row>
    <row r="4222" spans="1:2" x14ac:dyDescent="0.2">
      <c r="A4222" s="41">
        <v>45141</v>
      </c>
      <c r="B4222" s="42">
        <v>74.67</v>
      </c>
    </row>
    <row r="4223" spans="1:2" x14ac:dyDescent="0.2">
      <c r="A4223" s="41">
        <v>45172</v>
      </c>
      <c r="B4223" s="42">
        <v>92.04</v>
      </c>
    </row>
    <row r="4224" spans="1:2" x14ac:dyDescent="0.2">
      <c r="A4224" s="41">
        <v>45202</v>
      </c>
      <c r="B4224" s="42">
        <v>108.62</v>
      </c>
    </row>
    <row r="4225" spans="1:2" x14ac:dyDescent="0.2">
      <c r="A4225" s="40" t="s">
        <v>2601</v>
      </c>
      <c r="B4225" s="42">
        <v>114.54</v>
      </c>
    </row>
    <row r="4226" spans="1:2" x14ac:dyDescent="0.2">
      <c r="A4226" s="40" t="s">
        <v>2602</v>
      </c>
      <c r="B4226" s="42">
        <v>104.9</v>
      </c>
    </row>
    <row r="4227" spans="1:2" x14ac:dyDescent="0.2">
      <c r="A4227" s="40" t="s">
        <v>2603</v>
      </c>
      <c r="B4227" s="42">
        <v>122.75</v>
      </c>
    </row>
    <row r="4228" spans="1:2" x14ac:dyDescent="0.2">
      <c r="A4228" s="40" t="s">
        <v>2604</v>
      </c>
      <c r="B4228" s="42">
        <v>110.77</v>
      </c>
    </row>
    <row r="4229" spans="1:2" x14ac:dyDescent="0.2">
      <c r="A4229" s="40" t="s">
        <v>2605</v>
      </c>
      <c r="B4229" s="42">
        <v>124.75</v>
      </c>
    </row>
    <row r="4230" spans="1:2" x14ac:dyDescent="0.2">
      <c r="A4230" s="40" t="s">
        <v>2606</v>
      </c>
      <c r="B4230" s="42">
        <v>110.16</v>
      </c>
    </row>
    <row r="4231" spans="1:2" x14ac:dyDescent="0.2">
      <c r="A4231" s="40" t="s">
        <v>2607</v>
      </c>
      <c r="B4231" s="42">
        <v>101.19</v>
      </c>
    </row>
    <row r="4232" spans="1:2" x14ac:dyDescent="0.2">
      <c r="A4232" s="40" t="s">
        <v>2608</v>
      </c>
      <c r="B4232" s="42">
        <v>102.64</v>
      </c>
    </row>
    <row r="4233" spans="1:2" x14ac:dyDescent="0.2">
      <c r="A4233" s="40" t="s">
        <v>2609</v>
      </c>
      <c r="B4233" s="42">
        <v>102.92</v>
      </c>
    </row>
    <row r="4234" spans="1:2" x14ac:dyDescent="0.2">
      <c r="A4234" s="40" t="s">
        <v>2610</v>
      </c>
      <c r="B4234" s="42">
        <v>99.72</v>
      </c>
    </row>
    <row r="4235" spans="1:2" x14ac:dyDescent="0.2">
      <c r="A4235" s="40" t="s">
        <v>2611</v>
      </c>
      <c r="B4235" s="42">
        <v>95.07</v>
      </c>
    </row>
    <row r="4236" spans="1:2" x14ac:dyDescent="0.2">
      <c r="A4236" s="40" t="s">
        <v>2612</v>
      </c>
      <c r="B4236" s="42">
        <v>91.41</v>
      </c>
    </row>
    <row r="4237" spans="1:2" x14ac:dyDescent="0.2">
      <c r="A4237" s="40" t="s">
        <v>2613</v>
      </c>
      <c r="B4237" s="42">
        <v>87.78</v>
      </c>
    </row>
    <row r="4238" spans="1:2" x14ac:dyDescent="0.2">
      <c r="A4238" s="40" t="s">
        <v>2614</v>
      </c>
      <c r="B4238" s="42">
        <v>85.34</v>
      </c>
    </row>
    <row r="4239" spans="1:2" x14ac:dyDescent="0.2">
      <c r="A4239" s="40" t="s">
        <v>2615</v>
      </c>
      <c r="B4239" s="42">
        <v>87.53</v>
      </c>
    </row>
    <row r="4240" spans="1:2" x14ac:dyDescent="0.2">
      <c r="A4240" s="41">
        <v>44989</v>
      </c>
      <c r="B4240" s="42">
        <v>84.07</v>
      </c>
    </row>
    <row r="4241" spans="1:2" x14ac:dyDescent="0.2">
      <c r="A4241" s="41">
        <v>45020</v>
      </c>
      <c r="B4241" s="42">
        <v>84.72</v>
      </c>
    </row>
    <row r="4242" spans="1:2" x14ac:dyDescent="0.2">
      <c r="A4242" s="41">
        <v>45050</v>
      </c>
      <c r="B4242" s="42">
        <v>85.92</v>
      </c>
    </row>
    <row r="4243" spans="1:2" x14ac:dyDescent="0.2">
      <c r="A4243" s="41">
        <v>45081</v>
      </c>
      <c r="B4243" s="42">
        <v>84.64</v>
      </c>
    </row>
    <row r="4244" spans="1:2" x14ac:dyDescent="0.2">
      <c r="A4244" s="41">
        <v>45203</v>
      </c>
      <c r="B4244" s="42">
        <v>85.94</v>
      </c>
    </row>
    <row r="4245" spans="1:2" x14ac:dyDescent="0.2">
      <c r="A4245" s="41">
        <v>45234</v>
      </c>
      <c r="B4245" s="42">
        <v>85.92</v>
      </c>
    </row>
    <row r="4246" spans="1:2" x14ac:dyDescent="0.2">
      <c r="A4246" s="41">
        <v>45264</v>
      </c>
      <c r="B4246" s="42">
        <v>87.06</v>
      </c>
    </row>
    <row r="4247" spans="1:2" x14ac:dyDescent="0.2">
      <c r="A4247" s="40" t="s">
        <v>2616</v>
      </c>
      <c r="B4247" s="42">
        <v>84.73</v>
      </c>
    </row>
    <row r="4248" spans="1:2" x14ac:dyDescent="0.2">
      <c r="A4248" s="40" t="s">
        <v>2617</v>
      </c>
      <c r="B4248" s="42">
        <v>84.01</v>
      </c>
    </row>
    <row r="4249" spans="1:2" x14ac:dyDescent="0.2">
      <c r="A4249" s="40" t="s">
        <v>2618</v>
      </c>
      <c r="B4249" s="42">
        <v>83.15</v>
      </c>
    </row>
    <row r="4250" spans="1:2" x14ac:dyDescent="0.2">
      <c r="A4250" s="40" t="s">
        <v>2619</v>
      </c>
      <c r="B4250" s="42">
        <v>88.01</v>
      </c>
    </row>
    <row r="4251" spans="1:2" x14ac:dyDescent="0.2">
      <c r="A4251" s="40" t="s">
        <v>2620</v>
      </c>
      <c r="B4251" s="42">
        <v>95.04</v>
      </c>
    </row>
    <row r="4252" spans="1:2" x14ac:dyDescent="0.2">
      <c r="A4252" s="40" t="s">
        <v>2621</v>
      </c>
      <c r="B4252" s="42">
        <v>98.46</v>
      </c>
    </row>
    <row r="4253" spans="1:2" x14ac:dyDescent="0.2">
      <c r="A4253" s="40" t="s">
        <v>2622</v>
      </c>
      <c r="B4253" s="42">
        <v>96.94</v>
      </c>
    </row>
    <row r="4254" spans="1:2" x14ac:dyDescent="0.2">
      <c r="A4254" s="40" t="s">
        <v>2623</v>
      </c>
      <c r="B4254" s="42">
        <v>93.96</v>
      </c>
    </row>
    <row r="4255" spans="1:2" x14ac:dyDescent="0.2">
      <c r="A4255" s="40" t="s">
        <v>2624</v>
      </c>
      <c r="B4255" s="42">
        <v>94.35</v>
      </c>
    </row>
    <row r="4256" spans="1:2" x14ac:dyDescent="0.2">
      <c r="A4256" s="40" t="s">
        <v>2625</v>
      </c>
      <c r="B4256" s="42">
        <v>90.65</v>
      </c>
    </row>
    <row r="4257" spans="1:2" x14ac:dyDescent="0.2">
      <c r="A4257" s="40" t="s">
        <v>2626</v>
      </c>
      <c r="B4257" s="42">
        <v>85.79</v>
      </c>
    </row>
    <row r="4258" spans="1:2" x14ac:dyDescent="0.2">
      <c r="A4258" s="40" t="s">
        <v>2627</v>
      </c>
      <c r="B4258" s="42">
        <v>86.9</v>
      </c>
    </row>
    <row r="4259" spans="1:2" x14ac:dyDescent="0.2">
      <c r="A4259" s="41">
        <v>44931</v>
      </c>
      <c r="B4259" s="42">
        <v>88.21</v>
      </c>
    </row>
    <row r="4260" spans="1:2" x14ac:dyDescent="0.2">
      <c r="A4260" s="41">
        <v>44962</v>
      </c>
      <c r="B4260" s="42">
        <v>91.46</v>
      </c>
    </row>
    <row r="4261" spans="1:2" x14ac:dyDescent="0.2">
      <c r="A4261" s="41">
        <v>44990</v>
      </c>
      <c r="B4261" s="42">
        <v>91.54</v>
      </c>
    </row>
    <row r="4262" spans="1:2" x14ac:dyDescent="0.2">
      <c r="A4262" s="41">
        <v>45021</v>
      </c>
      <c r="B4262" s="42">
        <v>98.74</v>
      </c>
    </row>
    <row r="4263" spans="1:2" x14ac:dyDescent="0.2">
      <c r="A4263" s="41">
        <v>45051</v>
      </c>
      <c r="B4263" s="42">
        <v>91.8</v>
      </c>
    </row>
    <row r="4264" spans="1:2" x14ac:dyDescent="0.2">
      <c r="A4264" s="41">
        <v>45143</v>
      </c>
      <c r="B4264" s="42">
        <v>91.98</v>
      </c>
    </row>
    <row r="4265" spans="1:2" x14ac:dyDescent="0.2">
      <c r="A4265" s="41">
        <v>45174</v>
      </c>
      <c r="B4265" s="42">
        <v>92.45</v>
      </c>
    </row>
    <row r="4266" spans="1:2" x14ac:dyDescent="0.2">
      <c r="A4266" s="41">
        <v>45204</v>
      </c>
      <c r="B4266" s="42">
        <v>97.53</v>
      </c>
    </row>
    <row r="4267" spans="1:2" x14ac:dyDescent="0.2">
      <c r="A4267" s="41">
        <v>45235</v>
      </c>
      <c r="B4267" s="42">
        <v>97.32</v>
      </c>
    </row>
    <row r="4268" spans="1:2" x14ac:dyDescent="0.2">
      <c r="A4268" s="41">
        <v>45265</v>
      </c>
      <c r="B4268" s="42">
        <v>100.54</v>
      </c>
    </row>
    <row r="4269" spans="1:2" x14ac:dyDescent="0.2">
      <c r="A4269" s="40" t="s">
        <v>2628</v>
      </c>
      <c r="B4269" s="42">
        <v>94.65</v>
      </c>
    </row>
    <row r="4270" spans="1:2" x14ac:dyDescent="0.2">
      <c r="A4270" s="40" t="s">
        <v>2629</v>
      </c>
      <c r="B4270" s="42">
        <v>97.63</v>
      </c>
    </row>
    <row r="4271" spans="1:2" x14ac:dyDescent="0.2">
      <c r="A4271" s="40" t="s">
        <v>2630</v>
      </c>
      <c r="B4271" s="42">
        <v>92.76</v>
      </c>
    </row>
    <row r="4272" spans="1:2" x14ac:dyDescent="0.2">
      <c r="A4272" s="40" t="s">
        <v>2631</v>
      </c>
      <c r="B4272" s="42">
        <v>89.06</v>
      </c>
    </row>
    <row r="4273" spans="1:2" x14ac:dyDescent="0.2">
      <c r="A4273" s="40" t="s">
        <v>2632</v>
      </c>
      <c r="B4273" s="42">
        <v>94.77</v>
      </c>
    </row>
    <row r="4274" spans="1:2" x14ac:dyDescent="0.2">
      <c r="A4274" s="40" t="s">
        <v>2633</v>
      </c>
      <c r="B4274" s="42">
        <v>97.64</v>
      </c>
    </row>
    <row r="4275" spans="1:2" x14ac:dyDescent="0.2">
      <c r="A4275" s="40" t="s">
        <v>2634</v>
      </c>
      <c r="B4275" s="42">
        <v>101.91</v>
      </c>
    </row>
    <row r="4276" spans="1:2" x14ac:dyDescent="0.2">
      <c r="A4276" s="40" t="s">
        <v>2635</v>
      </c>
      <c r="B4276" s="42">
        <v>106.52</v>
      </c>
    </row>
    <row r="4277" spans="1:2" x14ac:dyDescent="0.2">
      <c r="A4277" s="40" t="s">
        <v>2636</v>
      </c>
      <c r="B4277" s="42">
        <v>103.88</v>
      </c>
    </row>
    <row r="4278" spans="1:2" x14ac:dyDescent="0.2">
      <c r="A4278" s="40" t="s">
        <v>2637</v>
      </c>
      <c r="B4278" s="42">
        <v>97.57</v>
      </c>
    </row>
    <row r="4279" spans="1:2" x14ac:dyDescent="0.2">
      <c r="A4279" s="40" t="s">
        <v>2638</v>
      </c>
      <c r="B4279" s="42">
        <v>91.91</v>
      </c>
    </row>
    <row r="4280" spans="1:2" x14ac:dyDescent="0.2">
      <c r="A4280" s="40" t="s">
        <v>2639</v>
      </c>
      <c r="B4280" s="42">
        <v>91.39</v>
      </c>
    </row>
    <row r="4281" spans="1:2" x14ac:dyDescent="0.2">
      <c r="A4281" s="41">
        <v>44932</v>
      </c>
      <c r="B4281" s="42">
        <v>85.07</v>
      </c>
    </row>
    <row r="4282" spans="1:2" x14ac:dyDescent="0.2">
      <c r="A4282" s="41">
        <v>44963</v>
      </c>
      <c r="B4282" s="42">
        <v>86.16</v>
      </c>
    </row>
    <row r="4283" spans="1:2" x14ac:dyDescent="0.2">
      <c r="A4283" s="41">
        <v>45052</v>
      </c>
      <c r="B4283" s="42">
        <v>85.77</v>
      </c>
    </row>
    <row r="4284" spans="1:2" x14ac:dyDescent="0.2">
      <c r="A4284" s="41">
        <v>45083</v>
      </c>
      <c r="B4284" s="42">
        <v>85.74</v>
      </c>
    </row>
    <row r="4285" spans="1:2" x14ac:dyDescent="0.2">
      <c r="A4285" s="41">
        <v>45113</v>
      </c>
      <c r="B4285" s="42">
        <v>84</v>
      </c>
    </row>
    <row r="4286" spans="1:2" x14ac:dyDescent="0.2">
      <c r="A4286" s="41">
        <v>45144</v>
      </c>
      <c r="B4286" s="42">
        <v>87.63</v>
      </c>
    </row>
    <row r="4287" spans="1:2" x14ac:dyDescent="0.2">
      <c r="A4287" s="41">
        <v>45175</v>
      </c>
      <c r="B4287" s="42">
        <v>89.7</v>
      </c>
    </row>
    <row r="4288" spans="1:2" x14ac:dyDescent="0.2">
      <c r="A4288" s="41">
        <v>45266</v>
      </c>
      <c r="B4288" s="42">
        <v>92.83</v>
      </c>
    </row>
    <row r="4289" spans="1:2" x14ac:dyDescent="0.2">
      <c r="A4289" s="40" t="s">
        <v>2640</v>
      </c>
      <c r="B4289" s="42">
        <v>92.1</v>
      </c>
    </row>
    <row r="4290" spans="1:2" x14ac:dyDescent="0.2">
      <c r="A4290" s="40" t="s">
        <v>2641</v>
      </c>
      <c r="B4290" s="42">
        <v>91.91</v>
      </c>
    </row>
    <row r="4291" spans="1:2" x14ac:dyDescent="0.2">
      <c r="A4291" s="40" t="s">
        <v>2642</v>
      </c>
      <c r="B4291" s="42">
        <v>93.95</v>
      </c>
    </row>
    <row r="4292" spans="1:2" x14ac:dyDescent="0.2">
      <c r="A4292" s="40" t="s">
        <v>2643</v>
      </c>
      <c r="B4292" s="42">
        <v>90.69</v>
      </c>
    </row>
    <row r="4293" spans="1:2" x14ac:dyDescent="0.2">
      <c r="A4293" s="40" t="s">
        <v>2644</v>
      </c>
      <c r="B4293" s="42">
        <v>96.26</v>
      </c>
    </row>
    <row r="4294" spans="1:2" x14ac:dyDescent="0.2">
      <c r="A4294" s="40" t="s">
        <v>2645</v>
      </c>
      <c r="B4294" s="42">
        <v>92.73</v>
      </c>
    </row>
    <row r="4295" spans="1:2" x14ac:dyDescent="0.2">
      <c r="A4295" s="40" t="s">
        <v>2646</v>
      </c>
      <c r="B4295" s="42">
        <v>90.64</v>
      </c>
    </row>
    <row r="4296" spans="1:2" x14ac:dyDescent="0.2">
      <c r="A4296" s="40" t="s">
        <v>2647</v>
      </c>
      <c r="B4296" s="42">
        <v>92.34</v>
      </c>
    </row>
    <row r="4297" spans="1:2" x14ac:dyDescent="0.2">
      <c r="A4297" s="40" t="s">
        <v>2648</v>
      </c>
      <c r="B4297" s="42">
        <v>95.42</v>
      </c>
    </row>
    <row r="4298" spans="1:2" x14ac:dyDescent="0.2">
      <c r="A4298" s="40" t="s">
        <v>2649</v>
      </c>
      <c r="B4298" s="42">
        <v>91.33</v>
      </c>
    </row>
    <row r="4299" spans="1:2" x14ac:dyDescent="0.2">
      <c r="A4299" s="40" t="s">
        <v>2650</v>
      </c>
      <c r="B4299" s="42">
        <v>85.79</v>
      </c>
    </row>
    <row r="4300" spans="1:2" x14ac:dyDescent="0.2">
      <c r="A4300" s="40" t="s">
        <v>2651</v>
      </c>
      <c r="B4300" s="42">
        <v>85.26</v>
      </c>
    </row>
    <row r="4301" spans="1:2" x14ac:dyDescent="0.2">
      <c r="A4301" s="40" t="s">
        <v>2652</v>
      </c>
      <c r="B4301" s="42">
        <v>83.11</v>
      </c>
    </row>
    <row r="4302" spans="1:2" x14ac:dyDescent="0.2">
      <c r="A4302" s="41">
        <v>44992</v>
      </c>
      <c r="B4302" s="42">
        <v>84.17</v>
      </c>
    </row>
    <row r="4303" spans="1:2" x14ac:dyDescent="0.2">
      <c r="A4303" s="41">
        <v>45053</v>
      </c>
      <c r="B4303" s="42">
        <v>87.76</v>
      </c>
    </row>
    <row r="4304" spans="1:2" x14ac:dyDescent="0.2">
      <c r="A4304" s="41">
        <v>45084</v>
      </c>
      <c r="B4304" s="42">
        <v>95.3</v>
      </c>
    </row>
    <row r="4305" spans="1:2" x14ac:dyDescent="0.2">
      <c r="A4305" s="41">
        <v>45114</v>
      </c>
      <c r="B4305" s="42">
        <v>94.49</v>
      </c>
    </row>
    <row r="4306" spans="1:2" x14ac:dyDescent="0.2">
      <c r="A4306" s="41">
        <v>45206</v>
      </c>
      <c r="B4306" s="42">
        <v>95.33</v>
      </c>
    </row>
    <row r="4307" spans="1:2" x14ac:dyDescent="0.2">
      <c r="A4307" s="41">
        <v>45237</v>
      </c>
      <c r="B4307" s="42">
        <v>95.21</v>
      </c>
    </row>
    <row r="4308" spans="1:2" x14ac:dyDescent="0.2">
      <c r="A4308" s="41">
        <v>45267</v>
      </c>
      <c r="B4308" s="42">
        <v>95.85</v>
      </c>
    </row>
    <row r="4309" spans="1:2" x14ac:dyDescent="0.2">
      <c r="A4309" s="40" t="s">
        <v>2653</v>
      </c>
      <c r="B4309" s="42">
        <v>96.43</v>
      </c>
    </row>
    <row r="4310" spans="1:2" x14ac:dyDescent="0.2">
      <c r="A4310" s="40" t="s">
        <v>2654</v>
      </c>
      <c r="B4310" s="42">
        <v>94.89</v>
      </c>
    </row>
    <row r="4311" spans="1:2" x14ac:dyDescent="0.2">
      <c r="A4311" s="40" t="s">
        <v>2655</v>
      </c>
      <c r="B4311" s="42">
        <v>95.98</v>
      </c>
    </row>
    <row r="4312" spans="1:2" x14ac:dyDescent="0.2">
      <c r="A4312" s="40" t="s">
        <v>2656</v>
      </c>
      <c r="B4312" s="42">
        <v>92.99</v>
      </c>
    </row>
    <row r="4313" spans="1:2" x14ac:dyDescent="0.2">
      <c r="A4313" s="40" t="s">
        <v>2657</v>
      </c>
      <c r="B4313" s="42">
        <v>93.57</v>
      </c>
    </row>
    <row r="4314" spans="1:2" x14ac:dyDescent="0.2">
      <c r="A4314" s="40" t="s">
        <v>2658</v>
      </c>
      <c r="B4314" s="42">
        <v>94.06</v>
      </c>
    </row>
    <row r="4315" spans="1:2" x14ac:dyDescent="0.2">
      <c r="A4315" s="40" t="s">
        <v>2659</v>
      </c>
      <c r="B4315" s="42">
        <v>93.36</v>
      </c>
    </row>
    <row r="4316" spans="1:2" x14ac:dyDescent="0.2">
      <c r="A4316" s="40" t="s">
        <v>2660</v>
      </c>
      <c r="B4316" s="42">
        <v>91.74</v>
      </c>
    </row>
    <row r="4317" spans="1:2" x14ac:dyDescent="0.2">
      <c r="A4317" s="40" t="s">
        <v>2661</v>
      </c>
      <c r="B4317" s="42">
        <v>90</v>
      </c>
    </row>
    <row r="4318" spans="1:2" x14ac:dyDescent="0.2">
      <c r="A4318" s="40" t="s">
        <v>2662</v>
      </c>
      <c r="B4318" s="42">
        <v>85.38</v>
      </c>
    </row>
    <row r="4319" spans="1:2" x14ac:dyDescent="0.2">
      <c r="A4319" s="40" t="s">
        <v>2663</v>
      </c>
      <c r="B4319" s="42">
        <v>94.05</v>
      </c>
    </row>
    <row r="4320" spans="1:2" x14ac:dyDescent="0.2">
      <c r="A4320" s="40" t="s">
        <v>2664</v>
      </c>
      <c r="B4320" s="42">
        <v>87.38</v>
      </c>
    </row>
    <row r="4321" spans="1:2" x14ac:dyDescent="0.2">
      <c r="A4321" s="40" t="s">
        <v>2665</v>
      </c>
      <c r="B4321" s="42">
        <v>86.68</v>
      </c>
    </row>
    <row r="4322" spans="1:2" x14ac:dyDescent="0.2">
      <c r="A4322" s="41">
        <v>44934</v>
      </c>
      <c r="B4322" s="42">
        <v>87.49</v>
      </c>
    </row>
    <row r="4323" spans="1:2" x14ac:dyDescent="0.2">
      <c r="A4323" s="41">
        <v>44965</v>
      </c>
      <c r="B4323" s="42">
        <v>96.2</v>
      </c>
    </row>
    <row r="4324" spans="1:2" x14ac:dyDescent="0.2">
      <c r="A4324" s="41">
        <v>44993</v>
      </c>
      <c r="B4324" s="42">
        <v>94.04</v>
      </c>
    </row>
    <row r="4325" spans="1:2" x14ac:dyDescent="0.2">
      <c r="A4325" s="41">
        <v>45024</v>
      </c>
      <c r="B4325" s="42">
        <v>99.63</v>
      </c>
    </row>
    <row r="4326" spans="1:2" x14ac:dyDescent="0.2">
      <c r="A4326" s="41">
        <v>45115</v>
      </c>
      <c r="B4326" s="42">
        <v>92.99</v>
      </c>
    </row>
    <row r="4327" spans="1:2" x14ac:dyDescent="0.2">
      <c r="A4327" s="41">
        <v>45146</v>
      </c>
      <c r="B4327" s="42">
        <v>94.91</v>
      </c>
    </row>
    <row r="4328" spans="1:2" x14ac:dyDescent="0.2">
      <c r="A4328" s="41">
        <v>45177</v>
      </c>
      <c r="B4328" s="42">
        <v>97.43</v>
      </c>
    </row>
    <row r="4329" spans="1:2" x14ac:dyDescent="0.2">
      <c r="A4329" s="41">
        <v>45207</v>
      </c>
      <c r="B4329" s="42">
        <v>99.78</v>
      </c>
    </row>
    <row r="4330" spans="1:2" x14ac:dyDescent="0.2">
      <c r="A4330" s="41">
        <v>45238</v>
      </c>
      <c r="B4330" s="42">
        <v>96.68</v>
      </c>
    </row>
    <row r="4331" spans="1:2" x14ac:dyDescent="0.2">
      <c r="A4331" s="40" t="s">
        <v>2666</v>
      </c>
      <c r="B4331" s="42">
        <v>95.33</v>
      </c>
    </row>
    <row r="4332" spans="1:2" x14ac:dyDescent="0.2">
      <c r="A4332" s="40" t="s">
        <v>2667</v>
      </c>
      <c r="B4332" s="42">
        <v>103.28</v>
      </c>
    </row>
    <row r="4333" spans="1:2" x14ac:dyDescent="0.2">
      <c r="A4333" s="40" t="s">
        <v>2668</v>
      </c>
      <c r="B4333" s="42">
        <v>104.54</v>
      </c>
    </row>
    <row r="4334" spans="1:2" x14ac:dyDescent="0.2">
      <c r="A4334" s="40" t="s">
        <v>2669</v>
      </c>
      <c r="B4334" s="42">
        <v>106.74</v>
      </c>
    </row>
    <row r="4335" spans="1:2" x14ac:dyDescent="0.2">
      <c r="A4335" s="40" t="s">
        <v>2670</v>
      </c>
      <c r="B4335" s="42">
        <v>97.28</v>
      </c>
    </row>
    <row r="4336" spans="1:2" x14ac:dyDescent="0.2">
      <c r="A4336" s="40" t="s">
        <v>2671</v>
      </c>
      <c r="B4336" s="42">
        <v>95.24</v>
      </c>
    </row>
    <row r="4337" spans="1:2" x14ac:dyDescent="0.2">
      <c r="A4337" s="40" t="s">
        <v>2672</v>
      </c>
      <c r="B4337" s="42">
        <v>92.62</v>
      </c>
    </row>
    <row r="4338" spans="1:2" x14ac:dyDescent="0.2">
      <c r="A4338" s="40" t="s">
        <v>2673</v>
      </c>
      <c r="B4338" s="42">
        <v>88.99</v>
      </c>
    </row>
    <row r="4339" spans="1:2" x14ac:dyDescent="0.2">
      <c r="A4339" s="40" t="s">
        <v>2674</v>
      </c>
      <c r="B4339" s="42">
        <v>92.17</v>
      </c>
    </row>
    <row r="4340" spans="1:2" x14ac:dyDescent="0.2">
      <c r="A4340" s="40" t="s">
        <v>2675</v>
      </c>
      <c r="B4340" s="42">
        <v>84.32</v>
      </c>
    </row>
    <row r="4341" spans="1:2" x14ac:dyDescent="0.2">
      <c r="A4341" s="40" t="s">
        <v>2676</v>
      </c>
      <c r="B4341" s="42">
        <v>82.23</v>
      </c>
    </row>
    <row r="4342" spans="1:2" x14ac:dyDescent="0.2">
      <c r="A4342" s="40" t="s">
        <v>2677</v>
      </c>
      <c r="B4342" s="42">
        <v>79.05</v>
      </c>
    </row>
    <row r="4343" spans="1:2" x14ac:dyDescent="0.2">
      <c r="A4343" s="40" t="s">
        <v>2678</v>
      </c>
      <c r="B4343" s="42">
        <v>78.63</v>
      </c>
    </row>
    <row r="4344" spans="1:2" x14ac:dyDescent="0.2">
      <c r="A4344" s="40" t="s">
        <v>2679</v>
      </c>
      <c r="B4344" s="42">
        <v>80.8</v>
      </c>
    </row>
    <row r="4345" spans="1:2" x14ac:dyDescent="0.2">
      <c r="A4345" s="41">
        <v>44935</v>
      </c>
      <c r="B4345" s="42">
        <v>82.65</v>
      </c>
    </row>
    <row r="4346" spans="1:2" x14ac:dyDescent="0.2">
      <c r="A4346" s="41">
        <v>45055</v>
      </c>
      <c r="B4346" s="42">
        <v>86.43</v>
      </c>
    </row>
    <row r="4347" spans="1:2" x14ac:dyDescent="0.2">
      <c r="A4347" s="41">
        <v>45086</v>
      </c>
      <c r="B4347" s="42">
        <v>87.85</v>
      </c>
    </row>
    <row r="4348" spans="1:2" x14ac:dyDescent="0.2">
      <c r="A4348" s="41">
        <v>45116</v>
      </c>
      <c r="B4348" s="42">
        <v>87.65</v>
      </c>
    </row>
    <row r="4349" spans="1:2" x14ac:dyDescent="0.2">
      <c r="A4349" s="41">
        <v>45147</v>
      </c>
      <c r="B4349" s="42">
        <v>85.27</v>
      </c>
    </row>
    <row r="4350" spans="1:2" x14ac:dyDescent="0.2">
      <c r="A4350" s="41">
        <v>45239</v>
      </c>
      <c r="B4350" s="42">
        <v>85.19</v>
      </c>
    </row>
    <row r="4351" spans="1:2" x14ac:dyDescent="0.2">
      <c r="A4351" s="41">
        <v>45269</v>
      </c>
      <c r="B4351" s="42">
        <v>85.63</v>
      </c>
    </row>
    <row r="4352" spans="1:2" x14ac:dyDescent="0.2">
      <c r="A4352" s="40" t="s">
        <v>2680</v>
      </c>
      <c r="B4352" s="42">
        <v>84.97</v>
      </c>
    </row>
    <row r="4353" spans="1:2" x14ac:dyDescent="0.2">
      <c r="A4353" s="40" t="s">
        <v>2681</v>
      </c>
      <c r="B4353" s="42">
        <v>82.48</v>
      </c>
    </row>
    <row r="4354" spans="1:2" x14ac:dyDescent="0.2">
      <c r="A4354" s="40" t="s">
        <v>2682</v>
      </c>
      <c r="B4354" s="42">
        <v>84.84</v>
      </c>
    </row>
    <row r="4355" spans="1:2" x14ac:dyDescent="0.2">
      <c r="A4355" s="40" t="s">
        <v>2683</v>
      </c>
      <c r="B4355" s="42">
        <v>84.77</v>
      </c>
    </row>
    <row r="4356" spans="1:2" x14ac:dyDescent="0.2">
      <c r="A4356" s="40" t="s">
        <v>2684</v>
      </c>
      <c r="B4356" s="42">
        <v>83.54</v>
      </c>
    </row>
    <row r="4357" spans="1:2" x14ac:dyDescent="0.2">
      <c r="A4357" s="40" t="s">
        <v>2685</v>
      </c>
      <c r="B4357" s="42">
        <v>88.05</v>
      </c>
    </row>
    <row r="4358" spans="1:2" x14ac:dyDescent="0.2">
      <c r="A4358" s="40" t="s">
        <v>2686</v>
      </c>
      <c r="B4358" s="42">
        <v>94.44</v>
      </c>
    </row>
    <row r="4359" spans="1:2" x14ac:dyDescent="0.2">
      <c r="A4359" s="40" t="s">
        <v>2687</v>
      </c>
      <c r="B4359" s="42">
        <v>90.54</v>
      </c>
    </row>
    <row r="4360" spans="1:2" x14ac:dyDescent="0.2">
      <c r="A4360" s="40" t="s">
        <v>2688</v>
      </c>
      <c r="B4360" s="42">
        <v>91.74</v>
      </c>
    </row>
    <row r="4361" spans="1:2" x14ac:dyDescent="0.2">
      <c r="A4361" s="40" t="s">
        <v>2689</v>
      </c>
      <c r="B4361" s="42">
        <v>103.04</v>
      </c>
    </row>
    <row r="4362" spans="1:2" x14ac:dyDescent="0.2">
      <c r="A4362" s="40" t="s">
        <v>2690</v>
      </c>
      <c r="B4362" s="42">
        <v>97.09</v>
      </c>
    </row>
    <row r="4363" spans="1:2" x14ac:dyDescent="0.2">
      <c r="A4363" s="40" t="s">
        <v>2691</v>
      </c>
      <c r="B4363" s="42">
        <v>93.72</v>
      </c>
    </row>
    <row r="4364" spans="1:2" x14ac:dyDescent="0.2">
      <c r="A4364" s="40" t="s">
        <v>2692</v>
      </c>
      <c r="B4364" s="42">
        <v>94.1</v>
      </c>
    </row>
    <row r="4365" spans="1:2" x14ac:dyDescent="0.2">
      <c r="A4365" s="41">
        <v>44967</v>
      </c>
      <c r="B4365" s="42">
        <v>95.39</v>
      </c>
    </row>
    <row r="4366" spans="1:2" x14ac:dyDescent="0.2">
      <c r="A4366" s="41">
        <v>44995</v>
      </c>
      <c r="B4366" s="42">
        <v>104.39</v>
      </c>
    </row>
    <row r="4367" spans="1:2" x14ac:dyDescent="0.2">
      <c r="A4367" s="41">
        <v>45026</v>
      </c>
      <c r="B4367" s="42">
        <v>95.58</v>
      </c>
    </row>
    <row r="4368" spans="1:2" x14ac:dyDescent="0.2">
      <c r="A4368" s="41">
        <v>45056</v>
      </c>
      <c r="B4368" s="42">
        <v>95.59</v>
      </c>
    </row>
    <row r="4369" spans="1:2" x14ac:dyDescent="0.2">
      <c r="A4369" s="41">
        <v>45087</v>
      </c>
      <c r="B4369" s="42">
        <v>91.16</v>
      </c>
    </row>
    <row r="4370" spans="1:2" x14ac:dyDescent="0.2">
      <c r="A4370" s="41">
        <v>45179</v>
      </c>
      <c r="B4370" s="42">
        <v>92.03</v>
      </c>
    </row>
    <row r="4371" spans="1:2" x14ac:dyDescent="0.2">
      <c r="A4371" s="41">
        <v>45209</v>
      </c>
      <c r="B4371" s="42">
        <v>90.1</v>
      </c>
    </row>
    <row r="4372" spans="1:2" x14ac:dyDescent="0.2">
      <c r="A4372" s="41">
        <v>45240</v>
      </c>
      <c r="B4372" s="42">
        <v>90.57</v>
      </c>
    </row>
    <row r="4373" spans="1:2" x14ac:dyDescent="0.2">
      <c r="A4373" s="41">
        <v>45270</v>
      </c>
      <c r="B4373" s="42">
        <v>91.87</v>
      </c>
    </row>
    <row r="4374" spans="1:2" x14ac:dyDescent="0.2">
      <c r="A4374" s="40" t="s">
        <v>2693</v>
      </c>
      <c r="B4374" s="42">
        <v>108.1</v>
      </c>
    </row>
    <row r="4375" spans="1:2" x14ac:dyDescent="0.2">
      <c r="A4375" s="40" t="s">
        <v>2694</v>
      </c>
      <c r="B4375" s="42">
        <v>95.69</v>
      </c>
    </row>
    <row r="4376" spans="1:2" x14ac:dyDescent="0.2">
      <c r="A4376" s="40" t="s">
        <v>2695</v>
      </c>
      <c r="B4376" s="42">
        <v>95.8</v>
      </c>
    </row>
    <row r="4377" spans="1:2" x14ac:dyDescent="0.2">
      <c r="A4377" s="40" t="s">
        <v>2696</v>
      </c>
      <c r="B4377" s="42">
        <v>105.89</v>
      </c>
    </row>
    <row r="4378" spans="1:2" x14ac:dyDescent="0.2">
      <c r="A4378" s="40" t="s">
        <v>2697</v>
      </c>
      <c r="B4378" s="42">
        <v>116.47</v>
      </c>
    </row>
    <row r="4379" spans="1:2" x14ac:dyDescent="0.2">
      <c r="A4379" s="40" t="s">
        <v>2698</v>
      </c>
      <c r="B4379" s="42">
        <v>115.43</v>
      </c>
    </row>
    <row r="4380" spans="1:2" x14ac:dyDescent="0.2">
      <c r="A4380" s="40" t="s">
        <v>2699</v>
      </c>
      <c r="B4380" s="42">
        <v>109</v>
      </c>
    </row>
    <row r="4381" spans="1:2" x14ac:dyDescent="0.2">
      <c r="A4381" s="40" t="s">
        <v>2700</v>
      </c>
      <c r="B4381" s="42">
        <v>98.54</v>
      </c>
    </row>
    <row r="4382" spans="1:2" x14ac:dyDescent="0.2">
      <c r="A4382" s="40" t="s">
        <v>2701</v>
      </c>
      <c r="B4382" s="42">
        <v>102.92</v>
      </c>
    </row>
    <row r="4383" spans="1:2" x14ac:dyDescent="0.2">
      <c r="A4383" s="40" t="s">
        <v>2702</v>
      </c>
      <c r="B4383" s="42">
        <v>101.97</v>
      </c>
    </row>
    <row r="4384" spans="1:2" x14ac:dyDescent="0.2">
      <c r="A4384" s="40" t="s">
        <v>2703</v>
      </c>
      <c r="B4384" s="42">
        <v>102.04</v>
      </c>
    </row>
    <row r="4385" spans="1:2" x14ac:dyDescent="0.2">
      <c r="A4385" s="40" t="s">
        <v>2704</v>
      </c>
      <c r="B4385" s="42">
        <v>95.23</v>
      </c>
    </row>
    <row r="4386" spans="1:2" x14ac:dyDescent="0.2">
      <c r="A4386" s="40" t="s">
        <v>2705</v>
      </c>
      <c r="B4386" s="42">
        <v>87.94</v>
      </c>
    </row>
    <row r="4387" spans="1:2" x14ac:dyDescent="0.2">
      <c r="A4387" s="41">
        <v>44937</v>
      </c>
      <c r="B4387" s="42">
        <v>85.08</v>
      </c>
    </row>
    <row r="4388" spans="1:2" x14ac:dyDescent="0.2">
      <c r="A4388" s="41">
        <v>44968</v>
      </c>
      <c r="B4388" s="42">
        <v>83.24</v>
      </c>
    </row>
    <row r="4389" spans="1:2" x14ac:dyDescent="0.2">
      <c r="A4389" s="41">
        <v>44996</v>
      </c>
      <c r="B4389" s="42">
        <v>82.83</v>
      </c>
    </row>
    <row r="4390" spans="1:2" x14ac:dyDescent="0.2">
      <c r="A4390" s="41">
        <v>45088</v>
      </c>
      <c r="B4390" s="42">
        <v>84.33</v>
      </c>
    </row>
    <row r="4391" spans="1:2" x14ac:dyDescent="0.2">
      <c r="A4391" s="41">
        <v>45118</v>
      </c>
      <c r="B4391" s="42">
        <v>83.43</v>
      </c>
    </row>
    <row r="4392" spans="1:2" x14ac:dyDescent="0.2">
      <c r="A4392" s="41">
        <v>45149</v>
      </c>
      <c r="B4392" s="42">
        <v>85.04</v>
      </c>
    </row>
    <row r="4393" spans="1:2" x14ac:dyDescent="0.2">
      <c r="A4393" s="41">
        <v>45180</v>
      </c>
      <c r="B4393" s="42">
        <v>88.74</v>
      </c>
    </row>
    <row r="4394" spans="1:2" x14ac:dyDescent="0.2">
      <c r="A4394" s="41">
        <v>45210</v>
      </c>
      <c r="B4394" s="42">
        <v>85.66</v>
      </c>
    </row>
    <row r="4395" spans="1:2" x14ac:dyDescent="0.2">
      <c r="A4395" s="40" t="s">
        <v>2706</v>
      </c>
      <c r="B4395" s="42">
        <v>85.51</v>
      </c>
    </row>
    <row r="4396" spans="1:2" x14ac:dyDescent="0.2">
      <c r="A4396" s="40" t="s">
        <v>2707</v>
      </c>
      <c r="B4396" s="42">
        <v>83.77</v>
      </c>
    </row>
    <row r="4397" spans="1:2" x14ac:dyDescent="0.2">
      <c r="A4397" s="40" t="s">
        <v>2708</v>
      </c>
      <c r="B4397" s="42">
        <v>84.91</v>
      </c>
    </row>
    <row r="4398" spans="1:2" x14ac:dyDescent="0.2">
      <c r="A4398" s="40" t="s">
        <v>2709</v>
      </c>
      <c r="B4398" s="42">
        <v>83.23</v>
      </c>
    </row>
    <row r="4399" spans="1:2" x14ac:dyDescent="0.2">
      <c r="A4399" s="40" t="s">
        <v>2710</v>
      </c>
      <c r="B4399" s="42">
        <v>81.83</v>
      </c>
    </row>
    <row r="4400" spans="1:2" x14ac:dyDescent="0.2">
      <c r="A4400" s="40" t="s">
        <v>2711</v>
      </c>
      <c r="B4400" s="42">
        <v>81.81</v>
      </c>
    </row>
    <row r="4401" spans="1:2" x14ac:dyDescent="0.2">
      <c r="A4401" s="40" t="s">
        <v>2712</v>
      </c>
      <c r="B4401" s="42">
        <v>81.77</v>
      </c>
    </row>
    <row r="4402" spans="1:2" x14ac:dyDescent="0.2">
      <c r="A4402" s="40" t="s">
        <v>2713</v>
      </c>
      <c r="B4402" s="42">
        <v>83.38</v>
      </c>
    </row>
    <row r="4403" spans="1:2" x14ac:dyDescent="0.2">
      <c r="A4403" s="40" t="s">
        <v>2714</v>
      </c>
      <c r="B4403" s="42">
        <v>83</v>
      </c>
    </row>
    <row r="4404" spans="1:2" x14ac:dyDescent="0.2">
      <c r="A4404" s="40" t="s">
        <v>2715</v>
      </c>
      <c r="B4404" s="42">
        <v>85.15</v>
      </c>
    </row>
    <row r="4405" spans="1:2" x14ac:dyDescent="0.2">
      <c r="A4405" s="40" t="s">
        <v>2716</v>
      </c>
      <c r="B4405" s="42">
        <v>85.14</v>
      </c>
    </row>
    <row r="4406" spans="1:2" x14ac:dyDescent="0.2">
      <c r="A4406" s="40" t="s">
        <v>2717</v>
      </c>
      <c r="B4406" s="42">
        <v>87.79</v>
      </c>
    </row>
    <row r="4407" spans="1:2" x14ac:dyDescent="0.2">
      <c r="A4407" s="40" t="s">
        <v>2718</v>
      </c>
      <c r="B4407" s="42">
        <v>86.71</v>
      </c>
    </row>
    <row r="4408" spans="1:2" x14ac:dyDescent="0.2">
      <c r="A4408" s="41">
        <v>44938</v>
      </c>
      <c r="B4408" s="42">
        <v>85.9</v>
      </c>
    </row>
    <row r="4409" spans="1:2" x14ac:dyDescent="0.2">
      <c r="A4409" s="41">
        <v>45028</v>
      </c>
      <c r="B4409" s="42">
        <v>87.76</v>
      </c>
    </row>
    <row r="4410" spans="1:2" x14ac:dyDescent="0.2">
      <c r="A4410" s="41">
        <v>45058</v>
      </c>
      <c r="B4410" s="42">
        <v>85.76</v>
      </c>
    </row>
    <row r="4411" spans="1:2" x14ac:dyDescent="0.2">
      <c r="A4411" s="41">
        <v>45089</v>
      </c>
      <c r="B4411" s="42">
        <v>86.85</v>
      </c>
    </row>
    <row r="4412" spans="1:2" x14ac:dyDescent="0.2">
      <c r="A4412" s="41">
        <v>45119</v>
      </c>
      <c r="B4412" s="42">
        <v>86</v>
      </c>
    </row>
    <row r="4413" spans="1:2" x14ac:dyDescent="0.2">
      <c r="A4413" s="41">
        <v>45150</v>
      </c>
      <c r="B4413" s="42">
        <v>81.11</v>
      </c>
    </row>
    <row r="4414" spans="1:2" x14ac:dyDescent="0.2">
      <c r="A4414" s="41">
        <v>45242</v>
      </c>
      <c r="B4414" s="42">
        <v>82.35</v>
      </c>
    </row>
    <row r="4415" spans="1:2" x14ac:dyDescent="0.2">
      <c r="A4415" s="41">
        <v>45272</v>
      </c>
      <c r="B4415" s="42">
        <v>83.54</v>
      </c>
    </row>
    <row r="4416" spans="1:2" x14ac:dyDescent="0.2">
      <c r="A4416" s="40" t="s">
        <v>2719</v>
      </c>
      <c r="B4416" s="42">
        <v>80.83</v>
      </c>
    </row>
    <row r="4417" spans="1:2" x14ac:dyDescent="0.2">
      <c r="A4417" s="40" t="s">
        <v>2720</v>
      </c>
      <c r="B4417" s="42">
        <v>80.83</v>
      </c>
    </row>
    <row r="4418" spans="1:2" x14ac:dyDescent="0.2">
      <c r="A4418" s="40" t="s">
        <v>2721</v>
      </c>
      <c r="B4418" s="42">
        <v>88.04</v>
      </c>
    </row>
    <row r="4419" spans="1:2" x14ac:dyDescent="0.2">
      <c r="A4419" s="40" t="s">
        <v>2722</v>
      </c>
      <c r="B4419" s="42">
        <v>88.67</v>
      </c>
    </row>
    <row r="4420" spans="1:2" x14ac:dyDescent="0.2">
      <c r="A4420" s="40" t="s">
        <v>2723</v>
      </c>
      <c r="B4420" s="42">
        <v>88.77</v>
      </c>
    </row>
    <row r="4421" spans="1:2" x14ac:dyDescent="0.2">
      <c r="A4421" s="40" t="s">
        <v>2724</v>
      </c>
      <c r="B4421" s="42">
        <v>92.18</v>
      </c>
    </row>
    <row r="4422" spans="1:2" x14ac:dyDescent="0.2">
      <c r="A4422" s="40" t="s">
        <v>2725</v>
      </c>
      <c r="B4422" s="42">
        <v>89.85</v>
      </c>
    </row>
    <row r="4423" spans="1:2" x14ac:dyDescent="0.2">
      <c r="A4423" s="40" t="s">
        <v>2726</v>
      </c>
      <c r="B4423" s="42">
        <v>88.62</v>
      </c>
    </row>
    <row r="4424" spans="1:2" x14ac:dyDescent="0.2">
      <c r="A4424" s="40" t="s">
        <v>2727</v>
      </c>
      <c r="B4424" s="42">
        <v>88.87</v>
      </c>
    </row>
    <row r="4425" spans="1:2" x14ac:dyDescent="0.2">
      <c r="A4425" s="40" t="s">
        <v>2728</v>
      </c>
      <c r="B4425" s="42">
        <v>86.22</v>
      </c>
    </row>
    <row r="4426" spans="1:2" x14ac:dyDescent="0.2">
      <c r="A4426" s="40" t="s">
        <v>2729</v>
      </c>
      <c r="B4426" s="42">
        <v>86.69</v>
      </c>
    </row>
    <row r="4427" spans="1:2" x14ac:dyDescent="0.2">
      <c r="A4427" s="40" t="s">
        <v>2730</v>
      </c>
      <c r="B4427" s="42">
        <v>86.96</v>
      </c>
    </row>
    <row r="4428" spans="1:2" x14ac:dyDescent="0.2">
      <c r="A4428" s="41">
        <v>45323</v>
      </c>
      <c r="B4428" s="42">
        <v>88.09</v>
      </c>
    </row>
    <row r="4429" spans="1:2" x14ac:dyDescent="0.2">
      <c r="A4429" s="41">
        <v>45352</v>
      </c>
      <c r="B4429" s="42">
        <v>89.65</v>
      </c>
    </row>
    <row r="4430" spans="1:2" x14ac:dyDescent="0.2">
      <c r="A4430" s="41">
        <v>45383</v>
      </c>
      <c r="B4430" s="42">
        <v>87.59</v>
      </c>
    </row>
    <row r="4431" spans="1:2" x14ac:dyDescent="0.2">
      <c r="A4431" s="41">
        <v>45413</v>
      </c>
      <c r="B4431" s="42">
        <v>82.87</v>
      </c>
    </row>
    <row r="4432" spans="1:2" x14ac:dyDescent="0.2">
      <c r="A4432" s="41">
        <v>45505</v>
      </c>
      <c r="B4432" s="42">
        <v>81.260000000000005</v>
      </c>
    </row>
    <row r="4433" spans="1:2" x14ac:dyDescent="0.2">
      <c r="A4433" s="41">
        <v>45536</v>
      </c>
      <c r="B4433" s="42">
        <v>78.59</v>
      </c>
    </row>
    <row r="4434" spans="1:2" x14ac:dyDescent="0.2">
      <c r="A4434" s="41">
        <v>45566</v>
      </c>
      <c r="B4434" s="42">
        <v>77.09</v>
      </c>
    </row>
    <row r="4435" spans="1:2" x14ac:dyDescent="0.2">
      <c r="A4435" s="41">
        <v>45597</v>
      </c>
      <c r="B4435" s="42">
        <v>75.540000000000006</v>
      </c>
    </row>
    <row r="4436" spans="1:2" x14ac:dyDescent="0.2">
      <c r="A4436" s="41">
        <v>45627</v>
      </c>
      <c r="B4436" s="42">
        <v>86.07</v>
      </c>
    </row>
    <row r="4437" spans="1:2" x14ac:dyDescent="0.2">
      <c r="A4437" s="40" t="s">
        <v>2731</v>
      </c>
      <c r="B4437" s="42">
        <v>89.59</v>
      </c>
    </row>
    <row r="4438" spans="1:2" x14ac:dyDescent="0.2">
      <c r="A4438" s="40" t="s">
        <v>2732</v>
      </c>
      <c r="B4438" s="42">
        <v>91.36</v>
      </c>
    </row>
    <row r="4439" spans="1:2" x14ac:dyDescent="0.2">
      <c r="A4439" s="40" t="s">
        <v>2733</v>
      </c>
      <c r="B4439" s="42">
        <v>86.34</v>
      </c>
    </row>
    <row r="4440" spans="1:2" x14ac:dyDescent="0.2">
      <c r="A4440" s="40" t="s">
        <v>2734</v>
      </c>
      <c r="B4440" s="42">
        <v>81.95</v>
      </c>
    </row>
    <row r="4441" spans="1:2" x14ac:dyDescent="0.2">
      <c r="A4441" s="40" t="s">
        <v>2735</v>
      </c>
      <c r="B4441" s="42">
        <v>79.17</v>
      </c>
    </row>
    <row r="4442" spans="1:2" x14ac:dyDescent="0.2">
      <c r="A4442" s="40" t="s">
        <v>2736</v>
      </c>
      <c r="B4442" s="42">
        <v>76.67</v>
      </c>
    </row>
    <row r="4443" spans="1:2" x14ac:dyDescent="0.2">
      <c r="A4443" s="40" t="s">
        <v>2737</v>
      </c>
      <c r="B4443" s="42">
        <v>80.94</v>
      </c>
    </row>
    <row r="4444" spans="1:2" x14ac:dyDescent="0.2">
      <c r="A4444" s="40" t="s">
        <v>2738</v>
      </c>
      <c r="B4444" s="42">
        <v>81.39</v>
      </c>
    </row>
    <row r="4445" spans="1:2" x14ac:dyDescent="0.2">
      <c r="A4445" s="40" t="s">
        <v>2739</v>
      </c>
      <c r="B4445" s="42">
        <v>82.2</v>
      </c>
    </row>
    <row r="4446" spans="1:2" x14ac:dyDescent="0.2">
      <c r="A4446" s="40" t="s">
        <v>2740</v>
      </c>
      <c r="B4446" s="42">
        <v>83.4</v>
      </c>
    </row>
    <row r="4447" spans="1:2" x14ac:dyDescent="0.2">
      <c r="A4447" s="40" t="s">
        <v>2741</v>
      </c>
      <c r="B4447" s="42">
        <v>82.24</v>
      </c>
    </row>
    <row r="4448" spans="1:2" x14ac:dyDescent="0.2">
      <c r="A4448" s="40" t="s">
        <v>2742</v>
      </c>
      <c r="B4448" s="42">
        <v>87.56</v>
      </c>
    </row>
    <row r="4449" spans="1:2" x14ac:dyDescent="0.2">
      <c r="A4449" s="41">
        <v>45293</v>
      </c>
      <c r="B4449" s="42">
        <v>84.83</v>
      </c>
    </row>
    <row r="4450" spans="1:2" x14ac:dyDescent="0.2">
      <c r="A4450" s="41">
        <v>45324</v>
      </c>
      <c r="B4450" s="42">
        <v>83.31</v>
      </c>
    </row>
    <row r="4451" spans="1:2" x14ac:dyDescent="0.2">
      <c r="A4451" s="41">
        <v>45414</v>
      </c>
      <c r="B4451" s="42">
        <v>79.58</v>
      </c>
    </row>
    <row r="4452" spans="1:2" x14ac:dyDescent="0.2">
      <c r="A4452" s="41">
        <v>45445</v>
      </c>
      <c r="B4452" s="42">
        <v>76.97</v>
      </c>
    </row>
    <row r="4453" spans="1:2" x14ac:dyDescent="0.2">
      <c r="A4453" s="41">
        <v>45475</v>
      </c>
      <c r="B4453" s="42">
        <v>80.540000000000006</v>
      </c>
    </row>
    <row r="4454" spans="1:2" x14ac:dyDescent="0.2">
      <c r="A4454" s="41">
        <v>45506</v>
      </c>
      <c r="B4454" s="42">
        <v>83.07</v>
      </c>
    </row>
    <row r="4455" spans="1:2" x14ac:dyDescent="0.2">
      <c r="A4455" s="41">
        <v>45537</v>
      </c>
      <c r="B4455" s="42">
        <v>81.94</v>
      </c>
    </row>
    <row r="4456" spans="1:2" x14ac:dyDescent="0.2">
      <c r="A4456" s="41">
        <v>45628</v>
      </c>
      <c r="B4456" s="42">
        <v>84.63</v>
      </c>
    </row>
    <row r="4457" spans="1:2" x14ac:dyDescent="0.2">
      <c r="A4457" s="40" t="s">
        <v>2743</v>
      </c>
      <c r="B4457" s="42">
        <v>93.19</v>
      </c>
    </row>
    <row r="4458" spans="1:2" x14ac:dyDescent="0.2">
      <c r="A4458" s="40" t="s">
        <v>2744</v>
      </c>
      <c r="B4458" s="42">
        <v>83.17</v>
      </c>
    </row>
    <row r="4459" spans="1:2" x14ac:dyDescent="0.2">
      <c r="A4459" s="40" t="s">
        <v>2745</v>
      </c>
      <c r="B4459" s="42">
        <v>82.4</v>
      </c>
    </row>
    <row r="4460" spans="1:2" x14ac:dyDescent="0.2">
      <c r="A4460" s="40" t="s">
        <v>2746</v>
      </c>
      <c r="B4460" s="42">
        <v>82.63</v>
      </c>
    </row>
    <row r="4461" spans="1:2" x14ac:dyDescent="0.2">
      <c r="A4461" s="40" t="s">
        <v>2747</v>
      </c>
      <c r="B4461" s="42">
        <v>86.1</v>
      </c>
    </row>
    <row r="4462" spans="1:2" x14ac:dyDescent="0.2">
      <c r="A4462" s="40" t="s">
        <v>2748</v>
      </c>
      <c r="B4462" s="42">
        <v>84.66</v>
      </c>
    </row>
    <row r="4463" spans="1:2" x14ac:dyDescent="0.2">
      <c r="A4463" s="40" t="s">
        <v>2749</v>
      </c>
      <c r="B4463" s="42">
        <v>80.88</v>
      </c>
    </row>
    <row r="4464" spans="1:2" x14ac:dyDescent="0.2">
      <c r="A4464" s="40" t="s">
        <v>2750</v>
      </c>
      <c r="B4464" s="42">
        <v>78.86</v>
      </c>
    </row>
    <row r="4465" spans="1:2" x14ac:dyDescent="0.2">
      <c r="A4465" s="40" t="s">
        <v>2751</v>
      </c>
      <c r="B4465" s="42">
        <v>80.5</v>
      </c>
    </row>
    <row r="4466" spans="1:2" x14ac:dyDescent="0.2">
      <c r="A4466" s="40" t="s">
        <v>2752</v>
      </c>
      <c r="B4466" s="42">
        <v>78.540000000000006</v>
      </c>
    </row>
    <row r="4467" spans="1:2" x14ac:dyDescent="0.2">
      <c r="A4467" s="40" t="s">
        <v>2753</v>
      </c>
      <c r="B4467" s="42">
        <v>80.36</v>
      </c>
    </row>
    <row r="4468" spans="1:2" x14ac:dyDescent="0.2">
      <c r="A4468" s="40" t="s">
        <v>2754</v>
      </c>
      <c r="B4468" s="42">
        <v>77.45</v>
      </c>
    </row>
    <row r="4469" spans="1:2" x14ac:dyDescent="0.2">
      <c r="A4469" s="41">
        <v>45294</v>
      </c>
      <c r="B4469" s="42">
        <v>77.680000000000007</v>
      </c>
    </row>
    <row r="4470" spans="1:2" x14ac:dyDescent="0.2">
      <c r="A4470" s="41">
        <v>45385</v>
      </c>
      <c r="B4470" s="42">
        <v>79.41</v>
      </c>
    </row>
    <row r="4471" spans="1:2" x14ac:dyDescent="0.2">
      <c r="A4471" s="41">
        <v>45415</v>
      </c>
      <c r="B4471" s="42">
        <v>83.91</v>
      </c>
    </row>
    <row r="4472" spans="1:2" x14ac:dyDescent="0.2">
      <c r="A4472" s="41">
        <v>45446</v>
      </c>
      <c r="B4472" s="42">
        <v>83.11</v>
      </c>
    </row>
    <row r="4473" spans="1:2" x14ac:dyDescent="0.2">
      <c r="A4473" s="41">
        <v>45476</v>
      </c>
      <c r="B4473" s="42">
        <v>82.13</v>
      </c>
    </row>
    <row r="4474" spans="1:2" x14ac:dyDescent="0.2">
      <c r="A4474" s="41">
        <v>45507</v>
      </c>
      <c r="B4474" s="42">
        <v>86.56</v>
      </c>
    </row>
    <row r="4475" spans="1:2" x14ac:dyDescent="0.2">
      <c r="A4475" s="41">
        <v>45599</v>
      </c>
      <c r="B4475" s="42">
        <v>88.97</v>
      </c>
    </row>
    <row r="4476" spans="1:2" x14ac:dyDescent="0.2">
      <c r="A4476" s="41">
        <v>45629</v>
      </c>
      <c r="B4476" s="42">
        <v>83.76</v>
      </c>
    </row>
    <row r="4477" spans="1:2" x14ac:dyDescent="0.2">
      <c r="A4477" s="40" t="s">
        <v>2755</v>
      </c>
      <c r="B4477" s="42">
        <v>86.27</v>
      </c>
    </row>
    <row r="4478" spans="1:2" x14ac:dyDescent="0.2">
      <c r="A4478" s="40" t="s">
        <v>2756</v>
      </c>
      <c r="B4478" s="42">
        <v>88.75</v>
      </c>
    </row>
    <row r="4479" spans="1:2" x14ac:dyDescent="0.2">
      <c r="A4479" s="40" t="s">
        <v>2757</v>
      </c>
      <c r="B4479" s="42">
        <v>92.17</v>
      </c>
    </row>
    <row r="4480" spans="1:2" x14ac:dyDescent="0.2">
      <c r="A4480" s="40" t="s">
        <v>2758</v>
      </c>
      <c r="B4480" s="42">
        <v>86.78</v>
      </c>
    </row>
    <row r="4481" spans="1:2" x14ac:dyDescent="0.2">
      <c r="A4481" s="40" t="s">
        <v>2759</v>
      </c>
      <c r="B4481" s="42">
        <v>83.9</v>
      </c>
    </row>
    <row r="4482" spans="1:2" x14ac:dyDescent="0.2">
      <c r="A4482" s="40" t="s">
        <v>2760</v>
      </c>
      <c r="B4482" s="42">
        <v>78.87</v>
      </c>
    </row>
    <row r="4483" spans="1:2" x14ac:dyDescent="0.2">
      <c r="A4483" s="40" t="s">
        <v>2761</v>
      </c>
      <c r="B4483" s="42">
        <v>77.3</v>
      </c>
    </row>
    <row r="4484" spans="1:2" x14ac:dyDescent="0.2">
      <c r="A4484" s="40" t="s">
        <v>2762</v>
      </c>
      <c r="B4484" s="42">
        <v>76.489999999999995</v>
      </c>
    </row>
    <row r="4485" spans="1:2" x14ac:dyDescent="0.2">
      <c r="A4485" s="40" t="s">
        <v>2763</v>
      </c>
      <c r="B4485" s="42">
        <v>76.599999999999994</v>
      </c>
    </row>
    <row r="4486" spans="1:2" x14ac:dyDescent="0.2">
      <c r="A4486" s="40" t="s">
        <v>2764</v>
      </c>
      <c r="B4486" s="42">
        <v>76.77</v>
      </c>
    </row>
    <row r="4487" spans="1:2" x14ac:dyDescent="0.2">
      <c r="A4487" s="40" t="s">
        <v>2765</v>
      </c>
      <c r="B4487" s="42">
        <v>76</v>
      </c>
    </row>
    <row r="4488" spans="1:2" x14ac:dyDescent="0.2">
      <c r="A4488" s="40" t="s">
        <v>2766</v>
      </c>
      <c r="B4488" s="42">
        <v>76.569999999999993</v>
      </c>
    </row>
    <row r="4489" spans="1:2" x14ac:dyDescent="0.2">
      <c r="A4489" s="41">
        <v>45295</v>
      </c>
      <c r="B4489" s="42">
        <v>78.45</v>
      </c>
    </row>
    <row r="4490" spans="1:2" x14ac:dyDescent="0.2">
      <c r="A4490" s="41">
        <v>45326</v>
      </c>
      <c r="B4490" s="42">
        <v>82.76</v>
      </c>
    </row>
    <row r="4491" spans="1:2" x14ac:dyDescent="0.2">
      <c r="A4491" s="41">
        <v>45355</v>
      </c>
      <c r="B4491" s="42">
        <v>81.08</v>
      </c>
    </row>
    <row r="4492" spans="1:2" x14ac:dyDescent="0.2">
      <c r="A4492" s="41">
        <v>45386</v>
      </c>
      <c r="B4492" s="42">
        <v>90.04</v>
      </c>
    </row>
    <row r="4493" spans="1:2" x14ac:dyDescent="0.2">
      <c r="A4493" s="41">
        <v>45416</v>
      </c>
      <c r="B4493" s="42">
        <v>90.58</v>
      </c>
    </row>
    <row r="4494" spans="1:2" x14ac:dyDescent="0.2">
      <c r="A4494" s="41">
        <v>45508</v>
      </c>
      <c r="B4494" s="42">
        <v>86.26</v>
      </c>
    </row>
    <row r="4495" spans="1:2" x14ac:dyDescent="0.2">
      <c r="A4495" s="41">
        <v>45539</v>
      </c>
      <c r="B4495" s="42">
        <v>84.45</v>
      </c>
    </row>
    <row r="4496" spans="1:2" x14ac:dyDescent="0.2">
      <c r="A4496" s="41">
        <v>45569</v>
      </c>
      <c r="B4496" s="42">
        <v>91.76</v>
      </c>
    </row>
    <row r="4497" spans="1:2" x14ac:dyDescent="0.2">
      <c r="A4497" s="41">
        <v>45600</v>
      </c>
      <c r="B4497" s="42">
        <v>89.4</v>
      </c>
    </row>
    <row r="4498" spans="1:2" x14ac:dyDescent="0.2">
      <c r="A4498" s="41">
        <v>45630</v>
      </c>
      <c r="B4498" s="42">
        <v>102.72</v>
      </c>
    </row>
    <row r="4499" spans="1:2" x14ac:dyDescent="0.2">
      <c r="A4499" s="40" t="s">
        <v>2767</v>
      </c>
      <c r="B4499" s="42">
        <v>109.64</v>
      </c>
    </row>
    <row r="4500" spans="1:2" x14ac:dyDescent="0.2">
      <c r="A4500" s="40" t="s">
        <v>2768</v>
      </c>
      <c r="B4500" s="42">
        <v>99.25</v>
      </c>
    </row>
    <row r="4501" spans="1:2" x14ac:dyDescent="0.2">
      <c r="A4501" s="40" t="s">
        <v>2769</v>
      </c>
      <c r="B4501" s="42">
        <v>98.76</v>
      </c>
    </row>
    <row r="4502" spans="1:2" x14ac:dyDescent="0.2">
      <c r="A4502" s="40" t="s">
        <v>2770</v>
      </c>
      <c r="B4502" s="42">
        <v>95.99</v>
      </c>
    </row>
    <row r="4503" spans="1:2" x14ac:dyDescent="0.2">
      <c r="A4503" s="40" t="s">
        <v>2771</v>
      </c>
      <c r="B4503" s="42">
        <v>99.09</v>
      </c>
    </row>
    <row r="4504" spans="1:2" x14ac:dyDescent="0.2">
      <c r="A4504" s="40" t="s">
        <v>2772</v>
      </c>
      <c r="B4504" s="42">
        <v>89.54</v>
      </c>
    </row>
    <row r="4505" spans="1:2" x14ac:dyDescent="0.2">
      <c r="A4505" s="40" t="s">
        <v>2773</v>
      </c>
      <c r="B4505" s="42">
        <v>82.36</v>
      </c>
    </row>
    <row r="4506" spans="1:2" x14ac:dyDescent="0.2">
      <c r="A4506" s="40" t="s">
        <v>2774</v>
      </c>
      <c r="B4506" s="42">
        <v>83.61</v>
      </c>
    </row>
    <row r="4507" spans="1:2" x14ac:dyDescent="0.2">
      <c r="A4507" s="40" t="s">
        <v>2775</v>
      </c>
      <c r="B4507" s="42">
        <v>82.54</v>
      </c>
    </row>
    <row r="4508" spans="1:2" x14ac:dyDescent="0.2">
      <c r="A4508" s="40" t="s">
        <v>2776</v>
      </c>
      <c r="B4508" s="42">
        <v>79.56</v>
      </c>
    </row>
    <row r="4509" spans="1:2" x14ac:dyDescent="0.2">
      <c r="A4509" s="40" t="s">
        <v>2777</v>
      </c>
      <c r="B4509" s="42">
        <v>78.22</v>
      </c>
    </row>
    <row r="4510" spans="1:2" x14ac:dyDescent="0.2">
      <c r="A4510" s="40" t="s">
        <v>2778</v>
      </c>
      <c r="B4510" s="42">
        <v>81.819999999999993</v>
      </c>
    </row>
    <row r="4511" spans="1:2" x14ac:dyDescent="0.2">
      <c r="A4511" s="41">
        <v>45296</v>
      </c>
      <c r="B4511" s="42">
        <v>81.93</v>
      </c>
    </row>
    <row r="4512" spans="1:2" x14ac:dyDescent="0.2">
      <c r="A4512" s="41">
        <v>45327</v>
      </c>
      <c r="B4512" s="42">
        <v>78.59</v>
      </c>
    </row>
    <row r="4513" spans="1:2" x14ac:dyDescent="0.2">
      <c r="A4513" s="41">
        <v>45356</v>
      </c>
      <c r="B4513" s="42">
        <v>74.569999999999993</v>
      </c>
    </row>
    <row r="4514" spans="1:2" x14ac:dyDescent="0.2">
      <c r="A4514" s="41">
        <v>45448</v>
      </c>
      <c r="B4514" s="42">
        <v>73.459999999999994</v>
      </c>
    </row>
    <row r="4515" spans="1:2" x14ac:dyDescent="0.2">
      <c r="A4515" s="41">
        <v>45478</v>
      </c>
      <c r="B4515" s="42">
        <v>74.540000000000006</v>
      </c>
    </row>
    <row r="4516" spans="1:2" x14ac:dyDescent="0.2">
      <c r="A4516" s="41">
        <v>45509</v>
      </c>
      <c r="B4516" s="42">
        <v>74.5</v>
      </c>
    </row>
    <row r="4517" spans="1:2" x14ac:dyDescent="0.2">
      <c r="A4517" s="41">
        <v>45540</v>
      </c>
      <c r="B4517" s="42">
        <v>73.77</v>
      </c>
    </row>
    <row r="4518" spans="1:2" x14ac:dyDescent="0.2">
      <c r="A4518" s="41">
        <v>45570</v>
      </c>
      <c r="B4518" s="42">
        <v>73.260000000000005</v>
      </c>
    </row>
    <row r="4519" spans="1:2" x14ac:dyDescent="0.2">
      <c r="A4519" s="40" t="s">
        <v>2779</v>
      </c>
      <c r="B4519" s="42">
        <v>77.55</v>
      </c>
    </row>
    <row r="4520" spans="1:2" x14ac:dyDescent="0.2">
      <c r="A4520" s="40" t="s">
        <v>2780</v>
      </c>
      <c r="B4520" s="42">
        <v>77.650000000000006</v>
      </c>
    </row>
    <row r="4521" spans="1:2" x14ac:dyDescent="0.2">
      <c r="A4521" s="40" t="s">
        <v>2781</v>
      </c>
      <c r="B4521" s="42">
        <v>76.31</v>
      </c>
    </row>
    <row r="4522" spans="1:2" x14ac:dyDescent="0.2">
      <c r="A4522" s="40" t="s">
        <v>2782</v>
      </c>
      <c r="B4522" s="42">
        <v>77.739999999999995</v>
      </c>
    </row>
    <row r="4523" spans="1:2" x14ac:dyDescent="0.2">
      <c r="A4523" s="40" t="s">
        <v>2783</v>
      </c>
      <c r="B4523" s="42">
        <v>78.430000000000007</v>
      </c>
    </row>
    <row r="4524" spans="1:2" x14ac:dyDescent="0.2">
      <c r="A4524" s="40" t="s">
        <v>2784</v>
      </c>
      <c r="B4524" s="42">
        <v>79.45</v>
      </c>
    </row>
    <row r="4525" spans="1:2" x14ac:dyDescent="0.2">
      <c r="A4525" s="40" t="s">
        <v>2785</v>
      </c>
      <c r="B4525" s="42">
        <v>77.62</v>
      </c>
    </row>
    <row r="4526" spans="1:2" x14ac:dyDescent="0.2">
      <c r="A4526" s="40" t="s">
        <v>2786</v>
      </c>
      <c r="B4526" s="42">
        <v>79.959999999999994</v>
      </c>
    </row>
    <row r="4527" spans="1:2" x14ac:dyDescent="0.2">
      <c r="A4527" s="40" t="s">
        <v>2787</v>
      </c>
      <c r="B4527" s="42">
        <v>84.62</v>
      </c>
    </row>
    <row r="4528" spans="1:2" x14ac:dyDescent="0.2">
      <c r="A4528" s="40" t="s">
        <v>2788</v>
      </c>
      <c r="B4528" s="42">
        <v>79.09</v>
      </c>
    </row>
    <row r="4529" spans="1:2" x14ac:dyDescent="0.2">
      <c r="A4529" s="40" t="s">
        <v>2789</v>
      </c>
      <c r="B4529" s="42">
        <v>81.64</v>
      </c>
    </row>
    <row r="4530" spans="1:2" x14ac:dyDescent="0.2">
      <c r="A4530" s="40" t="s">
        <v>2790</v>
      </c>
      <c r="B4530" s="42">
        <v>83.79</v>
      </c>
    </row>
    <row r="4531" spans="1:2" x14ac:dyDescent="0.2">
      <c r="A4531" s="40" t="s">
        <v>2791</v>
      </c>
      <c r="B4531" s="42">
        <v>83.44</v>
      </c>
    </row>
    <row r="4532" spans="1:2" x14ac:dyDescent="0.2">
      <c r="A4532" s="40" t="s">
        <v>2792</v>
      </c>
      <c r="B4532" s="42">
        <v>78.27</v>
      </c>
    </row>
    <row r="4533" spans="1:2" x14ac:dyDescent="0.2">
      <c r="A4533" s="41">
        <v>45357</v>
      </c>
      <c r="B4533" s="42">
        <v>78.790000000000006</v>
      </c>
    </row>
    <row r="4534" spans="1:2" x14ac:dyDescent="0.2">
      <c r="A4534" s="41">
        <v>45388</v>
      </c>
      <c r="B4534" s="42">
        <v>77.650000000000006</v>
      </c>
    </row>
    <row r="4535" spans="1:2" x14ac:dyDescent="0.2">
      <c r="A4535" s="41">
        <v>45418</v>
      </c>
      <c r="B4535" s="42">
        <v>75.239999999999995</v>
      </c>
    </row>
    <row r="4536" spans="1:2" x14ac:dyDescent="0.2">
      <c r="A4536" s="41">
        <v>45449</v>
      </c>
      <c r="B4536" s="42">
        <v>77.91</v>
      </c>
    </row>
    <row r="4537" spans="1:2" x14ac:dyDescent="0.2">
      <c r="A4537" s="41">
        <v>45479</v>
      </c>
      <c r="B4537" s="42">
        <v>76.650000000000006</v>
      </c>
    </row>
    <row r="4538" spans="1:2" x14ac:dyDescent="0.2">
      <c r="A4538" s="41">
        <v>45571</v>
      </c>
      <c r="B4538" s="42">
        <v>78.97</v>
      </c>
    </row>
    <row r="4539" spans="1:2" x14ac:dyDescent="0.2">
      <c r="A4539" s="41">
        <v>45602</v>
      </c>
      <c r="B4539" s="42">
        <v>79.95</v>
      </c>
    </row>
    <row r="4540" spans="1:2" x14ac:dyDescent="0.2">
      <c r="A4540" s="41">
        <v>45632</v>
      </c>
      <c r="B4540" s="42">
        <v>77.599999999999994</v>
      </c>
    </row>
    <row r="4541" spans="1:2" x14ac:dyDescent="0.2">
      <c r="A4541" s="40" t="s">
        <v>2793</v>
      </c>
      <c r="B4541" s="42">
        <v>78.2</v>
      </c>
    </row>
    <row r="4542" spans="1:2" x14ac:dyDescent="0.2">
      <c r="A4542" s="40" t="s">
        <v>2794</v>
      </c>
      <c r="B4542" s="42">
        <v>83.72</v>
      </c>
    </row>
    <row r="4543" spans="1:2" x14ac:dyDescent="0.2">
      <c r="A4543" s="40" t="s">
        <v>2795</v>
      </c>
      <c r="B4543" s="42">
        <v>83.34</v>
      </c>
    </row>
    <row r="4544" spans="1:2" x14ac:dyDescent="0.2">
      <c r="A4544" s="40" t="s">
        <v>2796</v>
      </c>
      <c r="B4544" s="42">
        <v>80.63</v>
      </c>
    </row>
    <row r="4545" spans="1:2" x14ac:dyDescent="0.2">
      <c r="A4545" s="40" t="s">
        <v>2797</v>
      </c>
      <c r="B4545" s="42">
        <v>85.72</v>
      </c>
    </row>
    <row r="4546" spans="1:2" x14ac:dyDescent="0.2">
      <c r="A4546" s="40" t="s">
        <v>2798</v>
      </c>
      <c r="B4546" s="42">
        <v>83.31</v>
      </c>
    </row>
    <row r="4547" spans="1:2" x14ac:dyDescent="0.2">
      <c r="A4547" s="40" t="s">
        <v>2799</v>
      </c>
      <c r="B4547" s="42">
        <v>84.8</v>
      </c>
    </row>
    <row r="4548" spans="1:2" x14ac:dyDescent="0.2">
      <c r="A4548" s="40" t="s">
        <v>2800</v>
      </c>
      <c r="B4548" s="42">
        <v>82.87</v>
      </c>
    </row>
    <row r="4549" spans="1:2" x14ac:dyDescent="0.2">
      <c r="A4549" s="40" t="s">
        <v>2801</v>
      </c>
      <c r="B4549" s="42">
        <v>81.45</v>
      </c>
    </row>
    <row r="4550" spans="1:2" x14ac:dyDescent="0.2">
      <c r="A4550" s="40" t="s">
        <v>2802</v>
      </c>
      <c r="B4550" s="42">
        <v>79.5</v>
      </c>
    </row>
    <row r="4551" spans="1:2" x14ac:dyDescent="0.2">
      <c r="A4551" s="40" t="s">
        <v>2803</v>
      </c>
      <c r="B4551" s="42">
        <v>79.48</v>
      </c>
    </row>
    <row r="4552" spans="1:2" x14ac:dyDescent="0.2">
      <c r="A4552" s="41">
        <v>45298</v>
      </c>
      <c r="B4552" s="42">
        <v>76.05</v>
      </c>
    </row>
    <row r="4553" spans="1:2" x14ac:dyDescent="0.2">
      <c r="A4553" s="41">
        <v>45329</v>
      </c>
      <c r="B4553" s="42">
        <v>77.06</v>
      </c>
    </row>
    <row r="4554" spans="1:2" x14ac:dyDescent="0.2">
      <c r="A4554" s="41">
        <v>45358</v>
      </c>
      <c r="B4554" s="42">
        <v>78.069999999999993</v>
      </c>
    </row>
    <row r="4555" spans="1:2" x14ac:dyDescent="0.2">
      <c r="A4555" s="41">
        <v>45419</v>
      </c>
      <c r="B4555" s="42">
        <v>78.8</v>
      </c>
    </row>
    <row r="4556" spans="1:2" x14ac:dyDescent="0.2">
      <c r="A4556" s="41">
        <v>45511</v>
      </c>
      <c r="B4556" s="42">
        <v>78.59</v>
      </c>
    </row>
    <row r="4557" spans="1:2" x14ac:dyDescent="0.2">
      <c r="A4557" s="41">
        <v>45542</v>
      </c>
      <c r="B4557" s="42">
        <v>78.58</v>
      </c>
    </row>
    <row r="4558" spans="1:2" x14ac:dyDescent="0.2">
      <c r="A4558" s="41">
        <v>45572</v>
      </c>
      <c r="B4558" s="42">
        <v>83.41</v>
      </c>
    </row>
    <row r="4559" spans="1:2" x14ac:dyDescent="0.2">
      <c r="A4559" s="41">
        <v>45603</v>
      </c>
      <c r="B4559" s="42">
        <v>84.47</v>
      </c>
    </row>
    <row r="4560" spans="1:2" x14ac:dyDescent="0.2">
      <c r="A4560" s="41">
        <v>45633</v>
      </c>
      <c r="B4560" s="42">
        <v>81.61</v>
      </c>
    </row>
    <row r="4561" spans="1:2" x14ac:dyDescent="0.2">
      <c r="A4561" s="40" t="s">
        <v>2804</v>
      </c>
      <c r="B4561" s="42">
        <v>83.86</v>
      </c>
    </row>
    <row r="4562" spans="1:2" x14ac:dyDescent="0.2">
      <c r="A4562" s="40" t="s">
        <v>2805</v>
      </c>
      <c r="B4562" s="42">
        <v>82.4</v>
      </c>
    </row>
    <row r="4563" spans="1:2" x14ac:dyDescent="0.2">
      <c r="A4563" s="40" t="s">
        <v>2806</v>
      </c>
      <c r="B4563" s="42">
        <v>88.28</v>
      </c>
    </row>
    <row r="4564" spans="1:2" x14ac:dyDescent="0.2">
      <c r="A4564" s="40" t="s">
        <v>2807</v>
      </c>
      <c r="B4564" s="42">
        <v>94.71</v>
      </c>
    </row>
    <row r="4565" spans="1:2" x14ac:dyDescent="0.2">
      <c r="A4565" s="40" t="s">
        <v>2808</v>
      </c>
      <c r="B4565" s="42">
        <v>97.93</v>
      </c>
    </row>
    <row r="4566" spans="1:2" x14ac:dyDescent="0.2">
      <c r="A4566" s="40" t="s">
        <v>2809</v>
      </c>
      <c r="B4566" s="42">
        <v>93.66</v>
      </c>
    </row>
    <row r="4567" spans="1:2" x14ac:dyDescent="0.2">
      <c r="A4567" s="40" t="s">
        <v>2810</v>
      </c>
      <c r="B4567" s="42">
        <v>88.51</v>
      </c>
    </row>
    <row r="4568" spans="1:2" x14ac:dyDescent="0.2">
      <c r="A4568" s="40" t="s">
        <v>2811</v>
      </c>
      <c r="B4568" s="42">
        <v>106.12</v>
      </c>
    </row>
    <row r="4569" spans="1:2" x14ac:dyDescent="0.2">
      <c r="A4569" s="40" t="s">
        <v>2812</v>
      </c>
      <c r="B4569" s="42">
        <v>104.38</v>
      </c>
    </row>
    <row r="4570" spans="1:2" x14ac:dyDescent="0.2">
      <c r="A4570" s="40" t="s">
        <v>2813</v>
      </c>
      <c r="B4570" s="42">
        <v>94.61</v>
      </c>
    </row>
    <row r="4571" spans="1:2" x14ac:dyDescent="0.2">
      <c r="A4571" s="40" t="s">
        <v>2814</v>
      </c>
      <c r="B4571" s="42">
        <v>93.51</v>
      </c>
    </row>
    <row r="4572" spans="1:2" x14ac:dyDescent="0.2">
      <c r="A4572" s="40" t="s">
        <v>2815</v>
      </c>
      <c r="B4572" s="42">
        <v>99.97</v>
      </c>
    </row>
    <row r="4573" spans="1:2" x14ac:dyDescent="0.2">
      <c r="A4573" s="40" t="s">
        <v>2816</v>
      </c>
      <c r="B4573" s="42">
        <v>94.25</v>
      </c>
    </row>
    <row r="4574" spans="1:2" x14ac:dyDescent="0.2">
      <c r="A4574" s="41">
        <v>45299</v>
      </c>
      <c r="B4574" s="42">
        <v>111.18</v>
      </c>
    </row>
    <row r="4575" spans="1:2" x14ac:dyDescent="0.2">
      <c r="A4575" s="41">
        <v>45330</v>
      </c>
      <c r="B4575" s="42">
        <v>136.81</v>
      </c>
    </row>
    <row r="4576" spans="1:2" x14ac:dyDescent="0.2">
      <c r="A4576" s="41">
        <v>45420</v>
      </c>
      <c r="B4576" s="42">
        <v>173.32</v>
      </c>
    </row>
    <row r="4577" spans="1:2" x14ac:dyDescent="0.2">
      <c r="A4577" s="41">
        <v>45451</v>
      </c>
      <c r="B4577" s="42">
        <v>150.09</v>
      </c>
    </row>
    <row r="4578" spans="1:2" x14ac:dyDescent="0.2">
      <c r="A4578" s="41">
        <v>45481</v>
      </c>
      <c r="B4578" s="42">
        <v>151.24</v>
      </c>
    </row>
    <row r="4579" spans="1:2" x14ac:dyDescent="0.2">
      <c r="A4579" s="41">
        <v>45512</v>
      </c>
      <c r="B4579" s="42">
        <v>134.34</v>
      </c>
    </row>
    <row r="4580" spans="1:2" x14ac:dyDescent="0.2">
      <c r="A4580" s="41">
        <v>45543</v>
      </c>
      <c r="B4580" s="42">
        <v>114.63</v>
      </c>
    </row>
    <row r="4581" spans="1:2" x14ac:dyDescent="0.2">
      <c r="A4581" s="41">
        <v>45634</v>
      </c>
      <c r="B4581" s="42">
        <v>121.94</v>
      </c>
    </row>
    <row r="4582" spans="1:2" x14ac:dyDescent="0.2">
      <c r="A4582" s="40" t="s">
        <v>2817</v>
      </c>
      <c r="B4582" s="42">
        <v>113.89</v>
      </c>
    </row>
    <row r="4583" spans="1:2" x14ac:dyDescent="0.2">
      <c r="A4583" s="40" t="s">
        <v>2818</v>
      </c>
      <c r="B4583" s="42">
        <v>107.81</v>
      </c>
    </row>
    <row r="4584" spans="1:2" x14ac:dyDescent="0.2">
      <c r="A4584" s="40" t="s">
        <v>2819</v>
      </c>
      <c r="B4584" s="42">
        <v>105.42</v>
      </c>
    </row>
    <row r="4585" spans="1:2" x14ac:dyDescent="0.2">
      <c r="A4585" s="40" t="s">
        <v>2820</v>
      </c>
      <c r="B4585" s="42">
        <v>103.42</v>
      </c>
    </row>
    <row r="4586" spans="1:2" x14ac:dyDescent="0.2">
      <c r="A4586" s="40" t="s">
        <v>2821</v>
      </c>
      <c r="B4586" s="42">
        <v>98.82</v>
      </c>
    </row>
    <row r="4587" spans="1:2" x14ac:dyDescent="0.2">
      <c r="A4587" s="40" t="s">
        <v>2822</v>
      </c>
      <c r="B4587" s="42">
        <v>101.74</v>
      </c>
    </row>
    <row r="4588" spans="1:2" x14ac:dyDescent="0.2">
      <c r="A4588" s="40" t="s">
        <v>2823</v>
      </c>
      <c r="B4588" s="42">
        <v>106.72</v>
      </c>
    </row>
    <row r="4589" spans="1:2" x14ac:dyDescent="0.2">
      <c r="A4589" s="40" t="s">
        <v>2824</v>
      </c>
      <c r="B4589" s="42">
        <v>112.53</v>
      </c>
    </row>
    <row r="4590" spans="1:2" x14ac:dyDescent="0.2">
      <c r="A4590" s="40" t="s">
        <v>2825</v>
      </c>
      <c r="B4590" s="42">
        <v>99.22</v>
      </c>
    </row>
    <row r="4591" spans="1:2" x14ac:dyDescent="0.2">
      <c r="A4591" s="40" t="s">
        <v>2826</v>
      </c>
      <c r="B4591" s="42">
        <v>100.68</v>
      </c>
    </row>
    <row r="4592" spans="1:2" x14ac:dyDescent="0.2">
      <c r="A4592" s="40" t="s">
        <v>2827</v>
      </c>
      <c r="B4592" s="42">
        <v>93.45</v>
      </c>
    </row>
    <row r="4593" spans="1:2" x14ac:dyDescent="0.2">
      <c r="A4593" s="40" t="s">
        <v>2828</v>
      </c>
      <c r="B4593" s="42">
        <v>106.32</v>
      </c>
    </row>
    <row r="4594" spans="1:2" x14ac:dyDescent="0.2">
      <c r="A4594" s="40" t="s">
        <v>2829</v>
      </c>
      <c r="B4594" s="42">
        <v>97.08</v>
      </c>
    </row>
    <row r="4595" spans="1:2" x14ac:dyDescent="0.2">
      <c r="A4595" s="40" t="s">
        <v>2830</v>
      </c>
      <c r="B4595" s="42">
        <v>93.73</v>
      </c>
    </row>
    <row r="4596" spans="1:2" x14ac:dyDescent="0.2">
      <c r="A4596" s="41">
        <v>45360</v>
      </c>
      <c r="B4596" s="42">
        <v>129.79</v>
      </c>
    </row>
    <row r="4597" spans="1:2" x14ac:dyDescent="0.2">
      <c r="A4597" s="41">
        <v>45391</v>
      </c>
      <c r="B4597" s="42">
        <v>123.47</v>
      </c>
    </row>
    <row r="4598" spans="1:2" x14ac:dyDescent="0.2">
      <c r="A4598" s="41">
        <v>45421</v>
      </c>
      <c r="B4598" s="42">
        <v>115.01</v>
      </c>
    </row>
    <row r="4599" spans="1:2" x14ac:dyDescent="0.2">
      <c r="A4599" s="41">
        <v>45452</v>
      </c>
      <c r="B4599" s="42">
        <v>119.33</v>
      </c>
    </row>
    <row r="4600" spans="1:2" x14ac:dyDescent="0.2">
      <c r="A4600" s="41">
        <v>45544</v>
      </c>
      <c r="B4600" s="42">
        <v>110.85</v>
      </c>
    </row>
    <row r="4601" spans="1:2" x14ac:dyDescent="0.2">
      <c r="A4601" s="41">
        <v>45574</v>
      </c>
      <c r="B4601" s="42">
        <v>107.2</v>
      </c>
    </row>
    <row r="4602" spans="1:2" x14ac:dyDescent="0.2">
      <c r="A4602" s="41">
        <v>45605</v>
      </c>
      <c r="B4602" s="42">
        <v>102.9</v>
      </c>
    </row>
    <row r="4603" spans="1:2" x14ac:dyDescent="0.2">
      <c r="A4603" s="41">
        <v>45635</v>
      </c>
      <c r="B4603" s="42">
        <v>103.94</v>
      </c>
    </row>
    <row r="4604" spans="1:2" x14ac:dyDescent="0.2">
      <c r="A4604" s="40" t="s">
        <v>2831</v>
      </c>
      <c r="B4604" s="42">
        <v>101.88</v>
      </c>
    </row>
    <row r="4605" spans="1:2" x14ac:dyDescent="0.2">
      <c r="A4605" s="40" t="s">
        <v>2832</v>
      </c>
      <c r="B4605" s="42">
        <v>106.67</v>
      </c>
    </row>
    <row r="4606" spans="1:2" x14ac:dyDescent="0.2">
      <c r="A4606" s="40" t="s">
        <v>2833</v>
      </c>
      <c r="B4606" s="42">
        <v>107.19</v>
      </c>
    </row>
    <row r="4607" spans="1:2" x14ac:dyDescent="0.2">
      <c r="A4607" s="40" t="s">
        <v>2834</v>
      </c>
      <c r="B4607" s="42">
        <v>105.43</v>
      </c>
    </row>
    <row r="4608" spans="1:2" x14ac:dyDescent="0.2">
      <c r="A4608" s="40" t="s">
        <v>2835</v>
      </c>
      <c r="B4608" s="42">
        <v>97.46</v>
      </c>
    </row>
    <row r="4609" spans="1:2" x14ac:dyDescent="0.2">
      <c r="A4609" s="40" t="s">
        <v>2836</v>
      </c>
      <c r="B4609" s="42">
        <v>94.27</v>
      </c>
    </row>
    <row r="4610" spans="1:2" x14ac:dyDescent="0.2">
      <c r="A4610" s="40" t="s">
        <v>2837</v>
      </c>
      <c r="B4610" s="42">
        <v>94.41</v>
      </c>
    </row>
    <row r="4611" spans="1:2" x14ac:dyDescent="0.2">
      <c r="A4611" s="40" t="s">
        <v>2838</v>
      </c>
      <c r="B4611" s="42">
        <v>90.93</v>
      </c>
    </row>
    <row r="4612" spans="1:2" x14ac:dyDescent="0.2">
      <c r="A4612" s="40" t="s">
        <v>2839</v>
      </c>
      <c r="B4612" s="42">
        <v>90.48</v>
      </c>
    </row>
    <row r="4613" spans="1:2" x14ac:dyDescent="0.2">
      <c r="A4613" s="40" t="s">
        <v>2840</v>
      </c>
      <c r="B4613" s="42">
        <v>89.86</v>
      </c>
    </row>
    <row r="4614" spans="1:2" x14ac:dyDescent="0.2">
      <c r="A4614" s="40" t="s">
        <v>2841</v>
      </c>
      <c r="B4614" s="42">
        <v>101.34</v>
      </c>
    </row>
    <row r="4615" spans="1:2" x14ac:dyDescent="0.2">
      <c r="A4615" s="40" t="s">
        <v>2842</v>
      </c>
      <c r="B4615" s="42">
        <v>99.34</v>
      </c>
    </row>
    <row r="4616" spans="1:2" x14ac:dyDescent="0.2">
      <c r="A4616" s="41">
        <v>45301</v>
      </c>
      <c r="B4616" s="42">
        <v>110.14</v>
      </c>
    </row>
    <row r="4617" spans="1:2" x14ac:dyDescent="0.2">
      <c r="A4617" s="41">
        <v>45332</v>
      </c>
      <c r="B4617" s="42">
        <v>107.97</v>
      </c>
    </row>
    <row r="4618" spans="1:2" x14ac:dyDescent="0.2">
      <c r="A4618" s="41">
        <v>45361</v>
      </c>
      <c r="B4618" s="42">
        <v>115.64</v>
      </c>
    </row>
    <row r="4619" spans="1:2" x14ac:dyDescent="0.2">
      <c r="A4619" s="41">
        <v>45392</v>
      </c>
      <c r="B4619" s="42">
        <v>110.63</v>
      </c>
    </row>
    <row r="4620" spans="1:2" x14ac:dyDescent="0.2">
      <c r="A4620" s="41">
        <v>45483</v>
      </c>
      <c r="B4620" s="42">
        <v>122.58</v>
      </c>
    </row>
    <row r="4621" spans="1:2" x14ac:dyDescent="0.2">
      <c r="A4621" s="41">
        <v>45514</v>
      </c>
      <c r="B4621" s="42">
        <v>114.82</v>
      </c>
    </row>
    <row r="4622" spans="1:2" x14ac:dyDescent="0.2">
      <c r="A4622" s="41">
        <v>45545</v>
      </c>
      <c r="B4622" s="42">
        <v>119.36</v>
      </c>
    </row>
    <row r="4623" spans="1:2" x14ac:dyDescent="0.2">
      <c r="A4623" s="41">
        <v>45575</v>
      </c>
      <c r="B4623" s="42">
        <v>117.43</v>
      </c>
    </row>
    <row r="4624" spans="1:2" x14ac:dyDescent="0.2">
      <c r="A4624" s="41">
        <v>45606</v>
      </c>
      <c r="B4624" s="42">
        <v>113.99</v>
      </c>
    </row>
    <row r="4625" spans="1:2" x14ac:dyDescent="0.2">
      <c r="A4625" s="40" t="s">
        <v>2843</v>
      </c>
      <c r="B4625" s="42">
        <v>107.22</v>
      </c>
    </row>
    <row r="4626" spans="1:2" x14ac:dyDescent="0.2">
      <c r="A4626" s="40" t="s">
        <v>2844</v>
      </c>
      <c r="B4626" s="42">
        <v>112.9</v>
      </c>
    </row>
    <row r="4627" spans="1:2" x14ac:dyDescent="0.2">
      <c r="A4627" s="40" t="s">
        <v>2845</v>
      </c>
      <c r="B4627" s="42">
        <v>111.62</v>
      </c>
    </row>
    <row r="4628" spans="1:2" x14ac:dyDescent="0.2">
      <c r="A4628" s="40" t="s">
        <v>2846</v>
      </c>
      <c r="B4628" s="42">
        <v>105.89</v>
      </c>
    </row>
    <row r="4629" spans="1:2" x14ac:dyDescent="0.2">
      <c r="A4629" s="40" t="s">
        <v>2847</v>
      </c>
      <c r="B4629" s="42">
        <v>100.95</v>
      </c>
    </row>
    <row r="4630" spans="1:2" x14ac:dyDescent="0.2">
      <c r="A4630" s="40" t="s">
        <v>2848</v>
      </c>
      <c r="B4630" s="42">
        <v>102.96</v>
      </c>
    </row>
    <row r="4631" spans="1:2" x14ac:dyDescent="0.2">
      <c r="A4631" s="40" t="s">
        <v>2849</v>
      </c>
      <c r="B4631" s="42">
        <v>100.5</v>
      </c>
    </row>
    <row r="4632" spans="1:2" x14ac:dyDescent="0.2">
      <c r="A4632" s="40" t="s">
        <v>2850</v>
      </c>
      <c r="B4632" s="42">
        <v>108.11</v>
      </c>
    </row>
    <row r="4633" spans="1:2" x14ac:dyDescent="0.2">
      <c r="A4633" s="40" t="s">
        <v>2851</v>
      </c>
      <c r="B4633" s="42">
        <v>109.84</v>
      </c>
    </row>
    <row r="4634" spans="1:2" x14ac:dyDescent="0.2">
      <c r="A4634" s="40" t="s">
        <v>2852</v>
      </c>
      <c r="B4634" s="42">
        <v>117.5</v>
      </c>
    </row>
    <row r="4635" spans="1:2" x14ac:dyDescent="0.2">
      <c r="A4635" s="40" t="s">
        <v>2853</v>
      </c>
      <c r="B4635" s="42">
        <v>112.23</v>
      </c>
    </row>
    <row r="4636" spans="1:2" x14ac:dyDescent="0.2">
      <c r="A4636" s="40" t="s">
        <v>2854</v>
      </c>
      <c r="B4636" s="42">
        <v>108.7</v>
      </c>
    </row>
    <row r="4637" spans="1:2" x14ac:dyDescent="0.2">
      <c r="A4637" s="40" t="s">
        <v>2855</v>
      </c>
      <c r="B4637" s="42">
        <v>112.77</v>
      </c>
    </row>
    <row r="4638" spans="1:2" x14ac:dyDescent="0.2">
      <c r="A4638" s="40" t="s">
        <v>2856</v>
      </c>
      <c r="B4638" s="42">
        <v>121.89</v>
      </c>
    </row>
    <row r="4639" spans="1:2" x14ac:dyDescent="0.2">
      <c r="A4639" s="41">
        <v>45302</v>
      </c>
      <c r="B4639" s="42">
        <v>119.12</v>
      </c>
    </row>
    <row r="4640" spans="1:2" x14ac:dyDescent="0.2">
      <c r="A4640" s="41">
        <v>45393</v>
      </c>
      <c r="B4640" s="42">
        <v>121.8</v>
      </c>
    </row>
    <row r="4641" spans="1:2" x14ac:dyDescent="0.2">
      <c r="A4641" s="41">
        <v>45423</v>
      </c>
      <c r="B4641" s="42">
        <v>114.32</v>
      </c>
    </row>
    <row r="4642" spans="1:2" x14ac:dyDescent="0.2">
      <c r="A4642" s="41">
        <v>45454</v>
      </c>
      <c r="B4642" s="42">
        <v>97.24</v>
      </c>
    </row>
    <row r="4643" spans="1:2" x14ac:dyDescent="0.2">
      <c r="A4643" s="41">
        <v>45484</v>
      </c>
      <c r="B4643" s="42">
        <v>88.6</v>
      </c>
    </row>
    <row r="4644" spans="1:2" x14ac:dyDescent="0.2">
      <c r="A4644" s="41">
        <v>45515</v>
      </c>
      <c r="B4644" s="42">
        <v>87.76</v>
      </c>
    </row>
    <row r="4645" spans="1:2" x14ac:dyDescent="0.2">
      <c r="A4645" s="41">
        <v>45607</v>
      </c>
      <c r="B4645" s="42">
        <v>90.73</v>
      </c>
    </row>
    <row r="4646" spans="1:2" x14ac:dyDescent="0.2">
      <c r="A4646" s="41">
        <v>45637</v>
      </c>
      <c r="B4646" s="42">
        <v>89.45</v>
      </c>
    </row>
    <row r="4647" spans="1:2" x14ac:dyDescent="0.2">
      <c r="A4647" s="40" t="s">
        <v>2857</v>
      </c>
      <c r="B4647" s="42">
        <v>91.76</v>
      </c>
    </row>
    <row r="4648" spans="1:2" x14ac:dyDescent="0.2">
      <c r="A4648" s="40" t="s">
        <v>2858</v>
      </c>
      <c r="B4648" s="42">
        <v>90.43</v>
      </c>
    </row>
    <row r="4649" spans="1:2" x14ac:dyDescent="0.2">
      <c r="A4649" s="40" t="s">
        <v>2859</v>
      </c>
      <c r="B4649" s="42">
        <v>98.93</v>
      </c>
    </row>
    <row r="4650" spans="1:2" x14ac:dyDescent="0.2">
      <c r="A4650" s="40" t="s">
        <v>2860</v>
      </c>
      <c r="B4650" s="42">
        <v>93.81</v>
      </c>
    </row>
    <row r="4651" spans="1:2" x14ac:dyDescent="0.2">
      <c r="A4651" s="40" t="s">
        <v>2861</v>
      </c>
      <c r="B4651" s="42">
        <v>97.37</v>
      </c>
    </row>
    <row r="4652" spans="1:2" x14ac:dyDescent="0.2">
      <c r="A4652" s="40" t="s">
        <v>2862</v>
      </c>
      <c r="B4652" s="42">
        <v>102.2</v>
      </c>
    </row>
    <row r="4653" spans="1:2" x14ac:dyDescent="0.2">
      <c r="A4653" s="40" t="s">
        <v>2863</v>
      </c>
      <c r="B4653" s="42">
        <v>101.3</v>
      </c>
    </row>
    <row r="4654" spans="1:2" x14ac:dyDescent="0.2">
      <c r="A4654" s="40" t="s">
        <v>2864</v>
      </c>
      <c r="B4654" s="42">
        <v>95.13</v>
      </c>
    </row>
    <row r="4655" spans="1:2" x14ac:dyDescent="0.2">
      <c r="A4655" s="40" t="s">
        <v>2865</v>
      </c>
      <c r="B4655" s="42">
        <v>88.79</v>
      </c>
    </row>
    <row r="4656" spans="1:2" x14ac:dyDescent="0.2">
      <c r="A4656" s="40" t="s">
        <v>2866</v>
      </c>
      <c r="B4656" s="42">
        <v>87.71</v>
      </c>
    </row>
    <row r="4657" spans="1:2" x14ac:dyDescent="0.2">
      <c r="A4657" s="40" t="s">
        <v>2867</v>
      </c>
      <c r="B4657" s="42">
        <v>88.36</v>
      </c>
    </row>
    <row r="4658" spans="1:2" x14ac:dyDescent="0.2">
      <c r="A4658" s="40" t="s">
        <v>2868</v>
      </c>
      <c r="B4658" s="42">
        <v>86.32</v>
      </c>
    </row>
    <row r="4659" spans="1:2" x14ac:dyDescent="0.2">
      <c r="A4659" s="41">
        <v>45334</v>
      </c>
      <c r="B4659" s="42">
        <v>87.11</v>
      </c>
    </row>
    <row r="4660" spans="1:2" x14ac:dyDescent="0.2">
      <c r="A4660" s="41">
        <v>45363</v>
      </c>
      <c r="B4660" s="42">
        <v>86.43</v>
      </c>
    </row>
    <row r="4661" spans="1:2" x14ac:dyDescent="0.2">
      <c r="A4661" s="41">
        <v>45394</v>
      </c>
      <c r="B4661" s="42">
        <v>86.48</v>
      </c>
    </row>
    <row r="4662" spans="1:2" x14ac:dyDescent="0.2">
      <c r="A4662" s="41">
        <v>45424</v>
      </c>
      <c r="B4662" s="42">
        <v>86.95</v>
      </c>
    </row>
    <row r="4663" spans="1:2" x14ac:dyDescent="0.2">
      <c r="A4663" s="41">
        <v>45455</v>
      </c>
      <c r="B4663" s="42">
        <v>87.38</v>
      </c>
    </row>
    <row r="4664" spans="1:2" x14ac:dyDescent="0.2">
      <c r="A4664" s="41">
        <v>45547</v>
      </c>
      <c r="B4664" s="42">
        <v>93.84</v>
      </c>
    </row>
    <row r="4665" spans="1:2" x14ac:dyDescent="0.2">
      <c r="A4665" s="41">
        <v>45577</v>
      </c>
      <c r="B4665" s="42">
        <v>94.35</v>
      </c>
    </row>
    <row r="4666" spans="1:2" x14ac:dyDescent="0.2">
      <c r="A4666" s="41">
        <v>45608</v>
      </c>
      <c r="B4666" s="42">
        <v>98.12</v>
      </c>
    </row>
    <row r="4667" spans="1:2" x14ac:dyDescent="0.2">
      <c r="A4667" s="41">
        <v>45638</v>
      </c>
      <c r="B4667" s="42">
        <v>99.43</v>
      </c>
    </row>
    <row r="4668" spans="1:2" x14ac:dyDescent="0.2">
      <c r="A4668" s="40" t="s">
        <v>2869</v>
      </c>
      <c r="B4668" s="42">
        <v>96.5</v>
      </c>
    </row>
    <row r="4669" spans="1:2" x14ac:dyDescent="0.2">
      <c r="A4669" s="40" t="s">
        <v>2870</v>
      </c>
      <c r="B4669" s="42">
        <v>98.35</v>
      </c>
    </row>
    <row r="4670" spans="1:2" x14ac:dyDescent="0.2">
      <c r="A4670" s="40" t="s">
        <v>2871</v>
      </c>
      <c r="B4670" s="42">
        <v>100.73</v>
      </c>
    </row>
    <row r="4671" spans="1:2" x14ac:dyDescent="0.2">
      <c r="A4671" s="40" t="s">
        <v>2872</v>
      </c>
      <c r="B4671" s="42">
        <v>129.79</v>
      </c>
    </row>
    <row r="4672" spans="1:2" x14ac:dyDescent="0.2">
      <c r="A4672" s="40" t="s">
        <v>2873</v>
      </c>
      <c r="B4672" s="42">
        <v>136.29</v>
      </c>
    </row>
    <row r="4673" spans="1:2" x14ac:dyDescent="0.2">
      <c r="A4673" s="40" t="s">
        <v>2874</v>
      </c>
      <c r="B4673" s="42">
        <v>114.01</v>
      </c>
    </row>
    <row r="4674" spans="1:2" x14ac:dyDescent="0.2">
      <c r="A4674" s="40" t="s">
        <v>2875</v>
      </c>
      <c r="B4674" s="42">
        <v>102.34</v>
      </c>
    </row>
    <row r="4675" spans="1:2" x14ac:dyDescent="0.2">
      <c r="A4675" s="40" t="s">
        <v>2876</v>
      </c>
      <c r="B4675" s="42">
        <v>91.05</v>
      </c>
    </row>
    <row r="4676" spans="1:2" x14ac:dyDescent="0.2">
      <c r="A4676" s="40" t="s">
        <v>2877</v>
      </c>
      <c r="B4676" s="42">
        <v>92.77</v>
      </c>
    </row>
    <row r="4677" spans="1:2" x14ac:dyDescent="0.2">
      <c r="A4677" s="40" t="s">
        <v>2878</v>
      </c>
      <c r="B4677" s="42">
        <v>98.81</v>
      </c>
    </row>
    <row r="4678" spans="1:2" x14ac:dyDescent="0.2">
      <c r="A4678" s="40" t="s">
        <v>2879</v>
      </c>
      <c r="B4678" s="42">
        <v>103.05</v>
      </c>
    </row>
    <row r="4679" spans="1:2" x14ac:dyDescent="0.2">
      <c r="A4679" s="40" t="s">
        <v>2880</v>
      </c>
      <c r="B4679" s="42">
        <v>104.33</v>
      </c>
    </row>
    <row r="4680" spans="1:2" x14ac:dyDescent="0.2">
      <c r="A4680" s="41">
        <v>45689</v>
      </c>
      <c r="B4680" s="42">
        <v>106.59</v>
      </c>
    </row>
    <row r="4681" spans="1:2" x14ac:dyDescent="0.2">
      <c r="A4681" s="41">
        <v>45717</v>
      </c>
      <c r="B4681" s="42">
        <v>94.36</v>
      </c>
    </row>
    <row r="4682" spans="1:2" x14ac:dyDescent="0.2">
      <c r="A4682" s="41">
        <v>45809</v>
      </c>
      <c r="B4682" s="42">
        <v>95.89</v>
      </c>
    </row>
    <row r="4683" spans="1:2" x14ac:dyDescent="0.2">
      <c r="A4683" s="41">
        <v>45839</v>
      </c>
      <c r="B4683" s="42">
        <v>106.37</v>
      </c>
    </row>
    <row r="4684" spans="1:2" x14ac:dyDescent="0.2">
      <c r="A4684" s="41">
        <v>45870</v>
      </c>
      <c r="B4684" s="42">
        <v>103.93</v>
      </c>
    </row>
    <row r="4685" spans="1:2" x14ac:dyDescent="0.2">
      <c r="A4685" s="41">
        <v>45931</v>
      </c>
      <c r="B4685" s="42">
        <v>115.49</v>
      </c>
    </row>
    <row r="4686" spans="1:2" x14ac:dyDescent="0.2">
      <c r="A4686" s="40" t="s">
        <v>2881</v>
      </c>
      <c r="B4686" s="42">
        <v>110.94</v>
      </c>
    </row>
    <row r="4687" spans="1:2" x14ac:dyDescent="0.2">
      <c r="A4687" s="40" t="s">
        <v>2882</v>
      </c>
      <c r="B4687" s="42">
        <v>107.93</v>
      </c>
    </row>
    <row r="4688" spans="1:2" x14ac:dyDescent="0.2">
      <c r="A4688" s="40" t="s">
        <v>2883</v>
      </c>
      <c r="B4688" s="42">
        <v>97.79</v>
      </c>
    </row>
    <row r="4689" spans="1:2" x14ac:dyDescent="0.2">
      <c r="A4689" s="40" t="s">
        <v>2884</v>
      </c>
      <c r="B4689" s="42">
        <v>99.84</v>
      </c>
    </row>
    <row r="4690" spans="1:2" x14ac:dyDescent="0.2">
      <c r="A4690" s="40" t="s">
        <v>2885</v>
      </c>
      <c r="B4690" s="42">
        <v>101.61</v>
      </c>
    </row>
    <row r="4691" spans="1:2" x14ac:dyDescent="0.2">
      <c r="A4691" s="40" t="s">
        <v>2886</v>
      </c>
      <c r="B4691" s="42">
        <v>98.26</v>
      </c>
    </row>
    <row r="4692" spans="1:2" x14ac:dyDescent="0.2">
      <c r="A4692" s="40" t="s">
        <v>2887</v>
      </c>
      <c r="B4692" s="42">
        <v>100.56</v>
      </c>
    </row>
    <row r="4693" spans="1:2" x14ac:dyDescent="0.2">
      <c r="A4693" s="40" t="s">
        <v>2888</v>
      </c>
      <c r="B4693" s="42">
        <v>99.52</v>
      </c>
    </row>
    <row r="4694" spans="1:2" x14ac:dyDescent="0.2">
      <c r="A4694" s="40" t="s">
        <v>2889</v>
      </c>
      <c r="B4694" s="42">
        <v>100.41</v>
      </c>
    </row>
    <row r="4695" spans="1:2" x14ac:dyDescent="0.2">
      <c r="A4695" s="40" t="s">
        <v>2890</v>
      </c>
      <c r="B4695" s="42">
        <v>110.31</v>
      </c>
    </row>
    <row r="4696" spans="1:2" x14ac:dyDescent="0.2">
      <c r="A4696" s="40" t="s">
        <v>2891</v>
      </c>
      <c r="B4696" s="42">
        <v>103.74</v>
      </c>
    </row>
    <row r="4697" spans="1:2" x14ac:dyDescent="0.2">
      <c r="A4697" s="40" t="s">
        <v>2892</v>
      </c>
      <c r="B4697" s="42">
        <v>101.68</v>
      </c>
    </row>
    <row r="4698" spans="1:2" x14ac:dyDescent="0.2">
      <c r="A4698" s="40" t="s">
        <v>2893</v>
      </c>
      <c r="B4698" s="42">
        <v>98.32</v>
      </c>
    </row>
    <row r="4699" spans="1:2" x14ac:dyDescent="0.2">
      <c r="A4699" s="40" t="s">
        <v>2894</v>
      </c>
      <c r="B4699" s="42">
        <v>101.5</v>
      </c>
    </row>
    <row r="4700" spans="1:2" x14ac:dyDescent="0.2">
      <c r="A4700" s="41">
        <v>45718</v>
      </c>
      <c r="B4700" s="42">
        <v>109.01</v>
      </c>
    </row>
    <row r="4701" spans="1:2" x14ac:dyDescent="0.2">
      <c r="A4701" s="41">
        <v>45749</v>
      </c>
      <c r="B4701" s="42">
        <v>100.88</v>
      </c>
    </row>
    <row r="4702" spans="1:2" x14ac:dyDescent="0.2">
      <c r="A4702" s="41">
        <v>45779</v>
      </c>
      <c r="B4702" s="42">
        <v>97.29</v>
      </c>
    </row>
    <row r="4703" spans="1:2" x14ac:dyDescent="0.2">
      <c r="A4703" s="41">
        <v>45810</v>
      </c>
      <c r="B4703" s="42">
        <v>96.77</v>
      </c>
    </row>
    <row r="4704" spans="1:2" x14ac:dyDescent="0.2">
      <c r="A4704" s="41">
        <v>45840</v>
      </c>
      <c r="B4704" s="42">
        <v>101.49</v>
      </c>
    </row>
    <row r="4705" spans="1:2" x14ac:dyDescent="0.2">
      <c r="A4705" s="41">
        <v>45932</v>
      </c>
      <c r="B4705" s="42">
        <v>99.15</v>
      </c>
    </row>
  </sheetData>
  <sortState xmlns:xlrd2="http://schemas.microsoft.com/office/spreadsheetml/2017/richdata2" ref="E2:F1009">
    <sortCondition descending="1" ref="E2:E100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C2F6-990D-5D43-9393-1A621276621F}">
  <dimension ref="A1:W3548"/>
  <sheetViews>
    <sheetView tabSelected="1" topLeftCell="L1" workbookViewId="0">
      <selection activeCell="Y5" sqref="Y5"/>
    </sheetView>
  </sheetViews>
  <sheetFormatPr baseColWidth="10" defaultRowHeight="16" x14ac:dyDescent="0.2"/>
  <cols>
    <col min="1" max="9" width="10.83203125" style="40"/>
    <col min="10" max="10" width="13" style="40" customWidth="1"/>
    <col min="12" max="15" width="10.83203125" style="40"/>
    <col min="19" max="19" width="10.5" style="40" bestFit="1" customWidth="1"/>
    <col min="20" max="16384" width="10.83203125" style="40"/>
  </cols>
  <sheetData>
    <row r="1" spans="1:23" x14ac:dyDescent="0.2">
      <c r="A1" s="40" t="s">
        <v>46</v>
      </c>
      <c r="B1" s="40" t="s">
        <v>2895</v>
      </c>
      <c r="C1" s="40" t="s">
        <v>2896</v>
      </c>
      <c r="D1" s="40" t="s">
        <v>2897</v>
      </c>
      <c r="E1" s="40" t="s">
        <v>2898</v>
      </c>
      <c r="K1" s="40"/>
      <c r="L1" s="40" t="s">
        <v>2900</v>
      </c>
      <c r="M1" s="40" t="s">
        <v>2901</v>
      </c>
      <c r="N1" s="40" t="s">
        <v>2902</v>
      </c>
      <c r="O1" s="40" t="s">
        <v>2903</v>
      </c>
      <c r="P1" s="40"/>
      <c r="Q1" s="40"/>
      <c r="R1" s="40"/>
      <c r="U1" s="40" t="s">
        <v>2905</v>
      </c>
      <c r="V1" s="40" t="s">
        <v>2904</v>
      </c>
    </row>
    <row r="2" spans="1:23" x14ac:dyDescent="0.2">
      <c r="A2" s="41">
        <v>40634</v>
      </c>
      <c r="B2" s="40">
        <v>16.059999999999999</v>
      </c>
      <c r="C2" s="40">
        <v>16.059999999999999</v>
      </c>
      <c r="D2" s="40">
        <v>16.059999999999999</v>
      </c>
      <c r="E2" s="40">
        <v>16.059999999999999</v>
      </c>
      <c r="G2" s="36">
        <v>45693</v>
      </c>
      <c r="H2" s="40">
        <v>13.76</v>
      </c>
      <c r="I2" s="40">
        <v>124.83</v>
      </c>
      <c r="J2" s="44"/>
      <c r="K2" s="40"/>
      <c r="L2" s="45">
        <v>13.76</v>
      </c>
      <c r="M2" s="46">
        <v>124.83</v>
      </c>
      <c r="N2" s="40">
        <f>LN(L2/L3)</f>
        <v>-6.4038759649692745E-2</v>
      </c>
      <c r="O2" s="40">
        <f>LN(M2/M3)</f>
        <v>5.0774828781187074E-2</v>
      </c>
      <c r="P2" s="40">
        <f>(M2-M3)/M3</f>
        <v>5.208596713021485E-2</v>
      </c>
      <c r="Q2" s="40">
        <f>CORREL(N2:N1005,O2:O1005)</f>
        <v>5.7062990938828856E-2</v>
      </c>
      <c r="R2" s="40">
        <f>_xlfn.STDEV.S(O2:O1005)</f>
        <v>3.3707813578821272E-2</v>
      </c>
      <c r="S2" s="47">
        <v>45840</v>
      </c>
      <c r="T2">
        <v>4.25</v>
      </c>
      <c r="U2" s="40">
        <f>LN(T2/T3)</f>
        <v>0</v>
      </c>
      <c r="V2" s="40">
        <f>IF(T2=0, 0.001, T2)</f>
        <v>4.25</v>
      </c>
      <c r="W2" s="40">
        <f>LN(V2/V3)</f>
        <v>0</v>
      </c>
    </row>
    <row r="3" spans="1:23" x14ac:dyDescent="0.2">
      <c r="A3" s="41">
        <v>40664</v>
      </c>
      <c r="B3" s="40">
        <v>15.57</v>
      </c>
      <c r="C3" s="40">
        <v>15.57</v>
      </c>
      <c r="D3" s="40">
        <v>15.57</v>
      </c>
      <c r="E3" s="40">
        <v>15.57</v>
      </c>
      <c r="G3" s="36">
        <v>45692</v>
      </c>
      <c r="H3" s="40">
        <v>14.67</v>
      </c>
      <c r="I3" s="40">
        <v>118.65</v>
      </c>
      <c r="J3" s="44"/>
      <c r="K3" s="40"/>
      <c r="L3" s="45">
        <v>14.67</v>
      </c>
      <c r="M3" s="46">
        <v>118.65</v>
      </c>
      <c r="N3" s="40">
        <f t="shared" ref="N3:N66" si="0">LN(L3/L4)</f>
        <v>3.6089968065643671E-2</v>
      </c>
      <c r="O3" s="40">
        <f t="shared" ref="O3:O66" si="1">LN(M3/M4)</f>
        <v>1.6914261556281014E-2</v>
      </c>
      <c r="P3" s="40">
        <f t="shared" ref="P3:P66" si="2">(M3-M4)/M4</f>
        <v>1.7058117606720463E-2</v>
      </c>
      <c r="Q3" s="40"/>
      <c r="R3" s="40"/>
      <c r="S3" s="47">
        <v>45810</v>
      </c>
      <c r="T3">
        <v>4.25</v>
      </c>
      <c r="U3" s="40">
        <f t="shared" ref="U3:U66" si="3">LN(T3/T4)</f>
        <v>4.7169898781388667E-3</v>
      </c>
      <c r="V3" s="40">
        <f t="shared" ref="V3:V66" si="4">IF(T3=0, 0.001,T3)</f>
        <v>4.25</v>
      </c>
      <c r="W3" s="40">
        <f t="shared" ref="W3:W66" si="5">LN(V3/V4)</f>
        <v>4.7169898781388667E-3</v>
      </c>
    </row>
    <row r="4" spans="1:23" x14ac:dyDescent="0.2">
      <c r="A4" s="41">
        <v>40695</v>
      </c>
      <c r="B4" s="40">
        <v>15.71</v>
      </c>
      <c r="C4" s="40">
        <v>15.71</v>
      </c>
      <c r="D4" s="40">
        <v>15.71</v>
      </c>
      <c r="E4" s="40">
        <v>15.71</v>
      </c>
      <c r="G4" s="36">
        <v>45691</v>
      </c>
      <c r="H4" s="40">
        <v>14.15</v>
      </c>
      <c r="I4" s="40">
        <v>116.66</v>
      </c>
      <c r="J4" s="44"/>
      <c r="K4" s="40"/>
      <c r="L4" s="45">
        <v>14.15</v>
      </c>
      <c r="M4" s="46">
        <v>116.66</v>
      </c>
      <c r="N4" s="40">
        <f t="shared" si="0"/>
        <v>-5.0303405315699191E-2</v>
      </c>
      <c r="O4" s="40">
        <f t="shared" si="1"/>
        <v>-2.8811184717135074E-2</v>
      </c>
      <c r="P4" s="40">
        <f t="shared" si="2"/>
        <v>-2.8400099941700646E-2</v>
      </c>
      <c r="Q4" s="40"/>
      <c r="R4" s="40"/>
      <c r="S4" s="47">
        <v>45779</v>
      </c>
      <c r="T4">
        <v>4.2300000000000004</v>
      </c>
      <c r="U4" s="40">
        <f t="shared" si="3"/>
        <v>-2.3612761856797088E-3</v>
      </c>
      <c r="V4" s="40">
        <f t="shared" si="4"/>
        <v>4.2300000000000004</v>
      </c>
      <c r="W4" s="40">
        <f t="shared" si="5"/>
        <v>-2.3612761856797088E-3</v>
      </c>
    </row>
    <row r="5" spans="1:23" x14ac:dyDescent="0.2">
      <c r="A5" s="41">
        <v>40725</v>
      </c>
      <c r="B5" s="40">
        <v>15.01</v>
      </c>
      <c r="C5" s="40">
        <v>15.01</v>
      </c>
      <c r="D5" s="40">
        <v>15.01</v>
      </c>
      <c r="E5" s="40">
        <v>15.01</v>
      </c>
      <c r="G5" s="36">
        <v>45688</v>
      </c>
      <c r="H5" s="40">
        <v>14.88</v>
      </c>
      <c r="I5" s="40">
        <v>120.07</v>
      </c>
      <c r="J5" s="44"/>
      <c r="K5" s="40"/>
      <c r="L5" s="45">
        <v>14.88</v>
      </c>
      <c r="M5" s="46">
        <v>120.07</v>
      </c>
      <c r="N5" s="40">
        <f t="shared" si="0"/>
        <v>-0.13319531465127019</v>
      </c>
      <c r="O5" s="40">
        <f t="shared" si="1"/>
        <v>-3.743490392694037E-2</v>
      </c>
      <c r="P5" s="40">
        <f t="shared" si="2"/>
        <v>-3.6742880064179799E-2</v>
      </c>
      <c r="Q5" s="40"/>
      <c r="R5" s="40"/>
      <c r="S5" s="47">
        <v>45749</v>
      </c>
      <c r="T5">
        <v>4.24</v>
      </c>
      <c r="U5" s="40">
        <f t="shared" si="3"/>
        <v>-2.3557136924590365E-3</v>
      </c>
      <c r="V5" s="40">
        <f t="shared" si="4"/>
        <v>4.24</v>
      </c>
      <c r="W5" s="40">
        <f t="shared" si="5"/>
        <v>-2.3557136924590365E-3</v>
      </c>
    </row>
    <row r="6" spans="1:23" x14ac:dyDescent="0.2">
      <c r="A6" s="41">
        <v>40817</v>
      </c>
      <c r="B6" s="40">
        <v>15.81</v>
      </c>
      <c r="C6" s="40">
        <v>15.81</v>
      </c>
      <c r="D6" s="40">
        <v>15.81</v>
      </c>
      <c r="E6" s="40">
        <v>15.81</v>
      </c>
      <c r="G6" s="36">
        <v>45687</v>
      </c>
      <c r="H6" s="40">
        <v>17</v>
      </c>
      <c r="I6" s="40">
        <v>124.65</v>
      </c>
      <c r="J6" s="44"/>
      <c r="K6" s="40"/>
      <c r="L6" s="45">
        <v>17</v>
      </c>
      <c r="M6" s="46">
        <v>124.65</v>
      </c>
      <c r="N6" s="40">
        <f t="shared" si="0"/>
        <v>-0.13102826240640403</v>
      </c>
      <c r="O6" s="40">
        <f t="shared" si="1"/>
        <v>7.6505305711246667E-3</v>
      </c>
      <c r="P6" s="40">
        <f t="shared" si="2"/>
        <v>7.6798706548100474E-3</v>
      </c>
      <c r="Q6" s="40"/>
      <c r="R6" s="40"/>
      <c r="S6" s="47">
        <v>45718</v>
      </c>
      <c r="T6">
        <v>4.25</v>
      </c>
      <c r="U6" s="40">
        <f t="shared" si="3"/>
        <v>-2.3501773449535156E-3</v>
      </c>
      <c r="V6" s="40">
        <f t="shared" si="4"/>
        <v>4.25</v>
      </c>
      <c r="W6" s="40">
        <f t="shared" si="5"/>
        <v>-2.3501773449535156E-3</v>
      </c>
    </row>
    <row r="7" spans="1:23" x14ac:dyDescent="0.2">
      <c r="A7" s="41">
        <v>40848</v>
      </c>
      <c r="B7" s="40">
        <v>14.93</v>
      </c>
      <c r="C7" s="40">
        <v>14.93</v>
      </c>
      <c r="D7" s="40">
        <v>14.93</v>
      </c>
      <c r="E7" s="40">
        <v>14.93</v>
      </c>
      <c r="G7" s="36">
        <v>45686</v>
      </c>
      <c r="H7" s="40">
        <v>19.38</v>
      </c>
      <c r="I7" s="40">
        <v>123.7</v>
      </c>
      <c r="J7" s="44"/>
      <c r="K7" s="40"/>
      <c r="L7" s="45">
        <v>19.38</v>
      </c>
      <c r="M7" s="46">
        <v>123.7</v>
      </c>
      <c r="N7" s="40">
        <f t="shared" si="0"/>
        <v>0.20107210613933044</v>
      </c>
      <c r="O7" s="40">
        <f t="shared" si="1"/>
        <v>-4.1875602578602553E-2</v>
      </c>
      <c r="P7" s="40">
        <f t="shared" si="2"/>
        <v>-4.1010931079928724E-2</v>
      </c>
      <c r="Q7" s="40"/>
      <c r="R7" s="40"/>
      <c r="S7" t="s">
        <v>2894</v>
      </c>
      <c r="T7">
        <v>4.26</v>
      </c>
      <c r="U7" s="40">
        <f t="shared" si="3"/>
        <v>2.3501773449534514E-3</v>
      </c>
      <c r="V7" s="40">
        <f t="shared" si="4"/>
        <v>4.26</v>
      </c>
      <c r="W7" s="40">
        <f t="shared" si="5"/>
        <v>2.3501773449534514E-3</v>
      </c>
    </row>
    <row r="8" spans="1:23" x14ac:dyDescent="0.2">
      <c r="A8" s="41">
        <v>40878</v>
      </c>
      <c r="B8" s="40">
        <v>14.82</v>
      </c>
      <c r="C8" s="40">
        <v>14.82</v>
      </c>
      <c r="D8" s="40">
        <v>14.82</v>
      </c>
      <c r="E8" s="40">
        <v>14.82</v>
      </c>
      <c r="G8" s="36">
        <v>45685</v>
      </c>
      <c r="H8" s="40">
        <v>15.85</v>
      </c>
      <c r="I8" s="40">
        <v>128.99</v>
      </c>
      <c r="J8" s="44"/>
      <c r="K8" s="40"/>
      <c r="L8" s="45">
        <v>15.85</v>
      </c>
      <c r="M8" s="46">
        <v>128.99</v>
      </c>
      <c r="N8" s="40">
        <f t="shared" si="0"/>
        <v>5.6453522234216229E-2</v>
      </c>
      <c r="O8" s="40">
        <f t="shared" si="1"/>
        <v>8.5497254873414752E-2</v>
      </c>
      <c r="P8" s="40">
        <f t="shared" si="2"/>
        <v>8.9258571187299504E-2</v>
      </c>
      <c r="Q8" s="40"/>
      <c r="R8" s="40"/>
      <c r="S8" t="s">
        <v>2893</v>
      </c>
      <c r="T8">
        <v>4.25</v>
      </c>
      <c r="U8" s="40">
        <f t="shared" si="3"/>
        <v>-2.3501773449535156E-3</v>
      </c>
      <c r="V8" s="40">
        <f t="shared" si="4"/>
        <v>4.25</v>
      </c>
      <c r="W8" s="40">
        <f t="shared" si="5"/>
        <v>-2.3501773449535156E-3</v>
      </c>
    </row>
    <row r="9" spans="1:23" x14ac:dyDescent="0.2">
      <c r="A9" s="40" t="s">
        <v>753</v>
      </c>
      <c r="B9" s="40">
        <v>14.92</v>
      </c>
      <c r="C9" s="40">
        <v>14.92</v>
      </c>
      <c r="D9" s="40">
        <v>14.92</v>
      </c>
      <c r="E9" s="40">
        <v>14.92</v>
      </c>
      <c r="G9" s="36">
        <v>45684</v>
      </c>
      <c r="H9" s="40">
        <v>14.98</v>
      </c>
      <c r="I9" s="40">
        <v>118.42</v>
      </c>
      <c r="J9" s="44"/>
      <c r="K9" s="40"/>
      <c r="L9" s="45">
        <v>14.98</v>
      </c>
      <c r="M9" s="46">
        <v>118.42</v>
      </c>
      <c r="N9" s="40">
        <f t="shared" si="0"/>
        <v>-9.1174927012926149E-2</v>
      </c>
      <c r="O9" s="40">
        <f t="shared" si="1"/>
        <v>-0.18594612349652748</v>
      </c>
      <c r="P9" s="40">
        <f t="shared" si="2"/>
        <v>-0.1696816715748142</v>
      </c>
      <c r="Q9" s="40"/>
      <c r="R9" s="40"/>
      <c r="S9" t="s">
        <v>2892</v>
      </c>
      <c r="T9">
        <v>4.26</v>
      </c>
      <c r="U9" s="40">
        <f t="shared" si="3"/>
        <v>-2.3446669592541345E-3</v>
      </c>
      <c r="V9" s="40">
        <f t="shared" si="4"/>
        <v>4.26</v>
      </c>
      <c r="W9" s="40">
        <f t="shared" si="5"/>
        <v>-2.3446669592541345E-3</v>
      </c>
    </row>
    <row r="10" spans="1:23" x14ac:dyDescent="0.2">
      <c r="A10" s="40" t="s">
        <v>754</v>
      </c>
      <c r="B10" s="40">
        <v>14.3</v>
      </c>
      <c r="C10" s="40">
        <v>14.3</v>
      </c>
      <c r="D10" s="40">
        <v>14.3</v>
      </c>
      <c r="E10" s="40">
        <v>14.3</v>
      </c>
      <c r="G10" s="36">
        <v>45681</v>
      </c>
      <c r="H10" s="40">
        <v>16.41</v>
      </c>
      <c r="I10" s="40">
        <v>142.62</v>
      </c>
      <c r="J10" s="44"/>
      <c r="K10" s="40"/>
      <c r="L10" s="45">
        <v>16.41</v>
      </c>
      <c r="M10" s="46">
        <v>142.62</v>
      </c>
      <c r="N10" s="40">
        <f t="shared" si="0"/>
        <v>-1.391853029106304E-2</v>
      </c>
      <c r="O10" s="40">
        <f t="shared" si="1"/>
        <v>-3.1744316030402252E-2</v>
      </c>
      <c r="P10" s="40">
        <f t="shared" si="2"/>
        <v>-3.1245754652900384E-2</v>
      </c>
      <c r="Q10" s="40"/>
      <c r="R10" s="40"/>
      <c r="S10" t="s">
        <v>2891</v>
      </c>
      <c r="T10">
        <v>4.2699999999999996</v>
      </c>
      <c r="U10" s="40">
        <f t="shared" si="3"/>
        <v>2.3446669592540547E-3</v>
      </c>
      <c r="V10" s="40">
        <f t="shared" si="4"/>
        <v>4.2699999999999996</v>
      </c>
      <c r="W10" s="40">
        <f t="shared" si="5"/>
        <v>2.3446669592540547E-3</v>
      </c>
    </row>
    <row r="11" spans="1:23" x14ac:dyDescent="0.2">
      <c r="A11" s="40" t="s">
        <v>755</v>
      </c>
      <c r="B11" s="40">
        <v>16.34</v>
      </c>
      <c r="C11" s="40">
        <v>16.34</v>
      </c>
      <c r="D11" s="40">
        <v>16.34</v>
      </c>
      <c r="E11" s="40">
        <v>16.34</v>
      </c>
      <c r="G11" s="36">
        <v>45680</v>
      </c>
      <c r="H11" s="40">
        <v>16.64</v>
      </c>
      <c r="I11" s="40">
        <v>147.22</v>
      </c>
      <c r="J11" s="44"/>
      <c r="K11" s="40"/>
      <c r="L11" s="45">
        <v>16.64</v>
      </c>
      <c r="M11" s="46">
        <v>147.22</v>
      </c>
      <c r="N11" s="40">
        <f t="shared" si="0"/>
        <v>-0.10325493509347354</v>
      </c>
      <c r="O11" s="40">
        <f t="shared" si="1"/>
        <v>1.0194027183375537E-3</v>
      </c>
      <c r="P11" s="40">
        <f t="shared" si="2"/>
        <v>1.0199224858911109E-3</v>
      </c>
      <c r="Q11" s="40"/>
      <c r="R11" s="40"/>
      <c r="S11" t="s">
        <v>2890</v>
      </c>
      <c r="T11">
        <v>4.26</v>
      </c>
      <c r="U11" s="40">
        <f t="shared" si="3"/>
        <v>0</v>
      </c>
      <c r="V11" s="40">
        <f t="shared" si="4"/>
        <v>4.26</v>
      </c>
      <c r="W11" s="40">
        <f t="shared" si="5"/>
        <v>0</v>
      </c>
    </row>
    <row r="12" spans="1:23" x14ac:dyDescent="0.2">
      <c r="A12" s="40" t="s">
        <v>756</v>
      </c>
      <c r="B12" s="40">
        <v>17.739999999999998</v>
      </c>
      <c r="C12" s="40">
        <v>17.739999999999998</v>
      </c>
      <c r="D12" s="40">
        <v>17.739999999999998</v>
      </c>
      <c r="E12" s="40">
        <v>17.739999999999998</v>
      </c>
      <c r="G12" s="36">
        <v>45679</v>
      </c>
      <c r="H12" s="40">
        <v>18.45</v>
      </c>
      <c r="I12" s="40">
        <v>147.07</v>
      </c>
      <c r="J12" s="44"/>
      <c r="K12" s="40"/>
      <c r="L12" s="45">
        <v>18.45</v>
      </c>
      <c r="M12" s="46">
        <v>147.07</v>
      </c>
      <c r="N12" s="40">
        <f t="shared" si="0"/>
        <v>0.35938864981032848</v>
      </c>
      <c r="O12" s="40">
        <f t="shared" si="1"/>
        <v>4.3355174702263348E-2</v>
      </c>
      <c r="P12" s="40">
        <f t="shared" si="2"/>
        <v>4.4308741035290637E-2</v>
      </c>
      <c r="Q12" s="40"/>
      <c r="R12" s="40"/>
      <c r="S12" t="s">
        <v>2889</v>
      </c>
      <c r="T12">
        <v>4.26</v>
      </c>
      <c r="U12" s="40">
        <f t="shared" si="3"/>
        <v>0</v>
      </c>
      <c r="V12" s="40">
        <f t="shared" si="4"/>
        <v>4.26</v>
      </c>
      <c r="W12" s="40">
        <f t="shared" si="5"/>
        <v>0</v>
      </c>
    </row>
    <row r="13" spans="1:23" x14ac:dyDescent="0.2">
      <c r="A13" s="40" t="s">
        <v>757</v>
      </c>
      <c r="B13" s="40">
        <v>16.98</v>
      </c>
      <c r="C13" s="40">
        <v>16.98</v>
      </c>
      <c r="D13" s="40">
        <v>16.98</v>
      </c>
      <c r="E13" s="40">
        <v>16.98</v>
      </c>
      <c r="G13" s="36">
        <v>45678</v>
      </c>
      <c r="H13" s="40">
        <v>12.88</v>
      </c>
      <c r="I13" s="40">
        <v>140.83000000000001</v>
      </c>
      <c r="J13" s="44"/>
      <c r="K13" s="40"/>
      <c r="L13" s="45">
        <v>12.88</v>
      </c>
      <c r="M13" s="46">
        <v>140.83000000000001</v>
      </c>
      <c r="N13" s="40">
        <f t="shared" si="0"/>
        <v>-4.1070410867328065E-2</v>
      </c>
      <c r="O13" s="40">
        <f t="shared" si="1"/>
        <v>2.2403464470924412E-2</v>
      </c>
      <c r="P13" s="40">
        <f t="shared" si="2"/>
        <v>2.2656306731537321E-2</v>
      </c>
      <c r="Q13" s="40"/>
      <c r="R13" s="40"/>
      <c r="S13" t="s">
        <v>2888</v>
      </c>
      <c r="T13">
        <v>4.26</v>
      </c>
      <c r="U13" s="40">
        <f t="shared" si="3"/>
        <v>2.3501773449534514E-3</v>
      </c>
      <c r="V13" s="40">
        <f t="shared" si="4"/>
        <v>4.26</v>
      </c>
      <c r="W13" s="40">
        <f t="shared" si="5"/>
        <v>2.3501773449534514E-3</v>
      </c>
    </row>
    <row r="14" spans="1:23" x14ac:dyDescent="0.2">
      <c r="A14" s="40" t="s">
        <v>758</v>
      </c>
      <c r="B14" s="40">
        <v>17.32</v>
      </c>
      <c r="C14" s="40">
        <v>17.32</v>
      </c>
      <c r="D14" s="40">
        <v>17.32</v>
      </c>
      <c r="E14" s="40">
        <v>17.32</v>
      </c>
      <c r="G14" s="36">
        <v>45674</v>
      </c>
      <c r="H14" s="40">
        <v>13.42</v>
      </c>
      <c r="I14" s="40">
        <v>137.71</v>
      </c>
      <c r="J14" s="44"/>
      <c r="K14" s="40"/>
      <c r="L14" s="45">
        <v>13.42</v>
      </c>
      <c r="M14" s="46">
        <v>137.71</v>
      </c>
      <c r="N14" s="40">
        <f t="shared" si="0"/>
        <v>-1.1115342303242102E-2</v>
      </c>
      <c r="O14" s="40">
        <f t="shared" si="1"/>
        <v>3.0524339750020613E-2</v>
      </c>
      <c r="P14" s="40">
        <f t="shared" si="2"/>
        <v>3.0994983903571274E-2</v>
      </c>
      <c r="Q14" s="40"/>
      <c r="R14" s="40"/>
      <c r="S14" t="s">
        <v>2887</v>
      </c>
      <c r="T14">
        <v>4.25</v>
      </c>
      <c r="U14" s="40">
        <f t="shared" si="3"/>
        <v>2.3557136924589835E-3</v>
      </c>
      <c r="V14" s="40">
        <f t="shared" si="4"/>
        <v>4.25</v>
      </c>
      <c r="W14" s="40">
        <f t="shared" si="5"/>
        <v>2.3557136924589835E-3</v>
      </c>
    </row>
    <row r="15" spans="1:23" x14ac:dyDescent="0.2">
      <c r="A15" s="40" t="s">
        <v>759</v>
      </c>
      <c r="B15" s="40">
        <v>17.38</v>
      </c>
      <c r="C15" s="40">
        <v>17.38</v>
      </c>
      <c r="D15" s="40">
        <v>17.38</v>
      </c>
      <c r="E15" s="40">
        <v>17.38</v>
      </c>
      <c r="G15" s="36">
        <v>45673</v>
      </c>
      <c r="H15" s="40">
        <v>13.57</v>
      </c>
      <c r="I15" s="40">
        <v>133.57</v>
      </c>
      <c r="J15" s="44"/>
      <c r="K15" s="40"/>
      <c r="L15" s="45">
        <v>13.57</v>
      </c>
      <c r="M15" s="46">
        <v>133.57</v>
      </c>
      <c r="N15" s="40">
        <f t="shared" si="0"/>
        <v>-5.3097119721581744E-2</v>
      </c>
      <c r="O15" s="40">
        <f t="shared" si="1"/>
        <v>-1.9792351365419E-2</v>
      </c>
      <c r="P15" s="40">
        <f t="shared" si="2"/>
        <v>-1.9597768643570285E-2</v>
      </c>
      <c r="Q15" s="40"/>
      <c r="R15" s="40"/>
      <c r="S15" t="s">
        <v>2886</v>
      </c>
      <c r="T15">
        <v>4.24</v>
      </c>
      <c r="U15" s="40">
        <f t="shared" si="3"/>
        <v>0</v>
      </c>
      <c r="V15" s="40">
        <f t="shared" si="4"/>
        <v>4.24</v>
      </c>
      <c r="W15" s="40">
        <f t="shared" si="5"/>
        <v>0</v>
      </c>
    </row>
    <row r="16" spans="1:23" x14ac:dyDescent="0.2">
      <c r="A16" s="40" t="s">
        <v>760</v>
      </c>
      <c r="B16" s="40">
        <v>17.75</v>
      </c>
      <c r="C16" s="40">
        <v>17.75</v>
      </c>
      <c r="D16" s="40">
        <v>17.75</v>
      </c>
      <c r="E16" s="40">
        <v>17.75</v>
      </c>
      <c r="G16" s="36">
        <v>45672</v>
      </c>
      <c r="H16" s="40">
        <v>14.31</v>
      </c>
      <c r="I16" s="40">
        <v>136.24</v>
      </c>
      <c r="J16" s="44"/>
      <c r="K16" s="40"/>
      <c r="L16" s="45">
        <v>14.31</v>
      </c>
      <c r="M16" s="46">
        <v>136.24</v>
      </c>
      <c r="N16" s="40">
        <f t="shared" si="0"/>
        <v>1.2658396871923465E-2</v>
      </c>
      <c r="O16" s="40">
        <f t="shared" si="1"/>
        <v>3.3435950485048091E-2</v>
      </c>
      <c r="P16" s="40">
        <f t="shared" si="2"/>
        <v>3.4001214329083325E-2</v>
      </c>
      <c r="Q16" s="40"/>
      <c r="R16" s="40"/>
      <c r="S16" t="s">
        <v>2885</v>
      </c>
      <c r="T16">
        <v>4.24</v>
      </c>
      <c r="U16" s="40">
        <f t="shared" si="3"/>
        <v>0</v>
      </c>
      <c r="V16" s="40">
        <f t="shared" si="4"/>
        <v>4.24</v>
      </c>
      <c r="W16" s="40">
        <f t="shared" si="5"/>
        <v>0</v>
      </c>
    </row>
    <row r="17" spans="1:23" x14ac:dyDescent="0.2">
      <c r="A17" s="40" t="s">
        <v>761</v>
      </c>
      <c r="B17" s="40">
        <v>16.27</v>
      </c>
      <c r="C17" s="40">
        <v>16.27</v>
      </c>
      <c r="D17" s="40">
        <v>16.27</v>
      </c>
      <c r="E17" s="40">
        <v>16.27</v>
      </c>
      <c r="G17" s="36">
        <v>45671</v>
      </c>
      <c r="H17" s="40">
        <v>14.13</v>
      </c>
      <c r="I17" s="40">
        <v>131.76</v>
      </c>
      <c r="J17" s="44"/>
      <c r="K17" s="40"/>
      <c r="L17" s="45">
        <v>14.13</v>
      </c>
      <c r="M17" s="46">
        <v>131.76</v>
      </c>
      <c r="N17" s="40">
        <f t="shared" si="0"/>
        <v>-5.1717832708509749E-2</v>
      </c>
      <c r="O17" s="40">
        <f t="shared" si="1"/>
        <v>-1.1094872102735659E-2</v>
      </c>
      <c r="P17" s="40">
        <f t="shared" si="2"/>
        <v>-1.1033551002026564E-2</v>
      </c>
      <c r="Q17" s="40"/>
      <c r="R17" s="40"/>
      <c r="S17" t="s">
        <v>2884</v>
      </c>
      <c r="T17">
        <v>4.24</v>
      </c>
      <c r="U17" s="40">
        <f t="shared" si="3"/>
        <v>2.3612761856796854E-3</v>
      </c>
      <c r="V17" s="40">
        <f t="shared" si="4"/>
        <v>4.24</v>
      </c>
      <c r="W17" s="40">
        <f t="shared" si="5"/>
        <v>2.3612761856796854E-3</v>
      </c>
    </row>
    <row r="18" spans="1:23" x14ac:dyDescent="0.2">
      <c r="A18" s="40" t="s">
        <v>762</v>
      </c>
      <c r="B18" s="40">
        <v>15.07</v>
      </c>
      <c r="C18" s="40">
        <v>15.07</v>
      </c>
      <c r="D18" s="40">
        <v>15.07</v>
      </c>
      <c r="E18" s="40">
        <v>15.07</v>
      </c>
      <c r="G18" s="36">
        <v>45670</v>
      </c>
      <c r="H18" s="40">
        <v>14.88</v>
      </c>
      <c r="I18" s="40">
        <v>133.22999999999999</v>
      </c>
      <c r="J18" s="44"/>
      <c r="K18" s="40"/>
      <c r="L18" s="45">
        <v>14.88</v>
      </c>
      <c r="M18" s="46">
        <v>133.22999999999999</v>
      </c>
      <c r="N18" s="40">
        <f t="shared" si="0"/>
        <v>6.5255624072568144E-2</v>
      </c>
      <c r="O18" s="40">
        <f t="shared" si="1"/>
        <v>-1.9915943995135368E-2</v>
      </c>
      <c r="P18" s="40">
        <f t="shared" si="2"/>
        <v>-1.9718931645942218E-2</v>
      </c>
      <c r="Q18" s="40"/>
      <c r="R18" s="40"/>
      <c r="S18" t="s">
        <v>2883</v>
      </c>
      <c r="T18">
        <v>4.2300000000000004</v>
      </c>
      <c r="U18" s="40">
        <f t="shared" si="3"/>
        <v>-2.3612761856797088E-3</v>
      </c>
      <c r="V18" s="40">
        <f t="shared" si="4"/>
        <v>4.2300000000000004</v>
      </c>
      <c r="W18" s="40">
        <f t="shared" si="5"/>
        <v>-2.3612761856797088E-3</v>
      </c>
    </row>
    <row r="19" spans="1:23" x14ac:dyDescent="0.2">
      <c r="A19" s="40" t="s">
        <v>763</v>
      </c>
      <c r="B19" s="40">
        <v>21.25</v>
      </c>
      <c r="C19" s="40">
        <v>21.25</v>
      </c>
      <c r="D19" s="40">
        <v>21.25</v>
      </c>
      <c r="E19" s="40">
        <v>21.25</v>
      </c>
      <c r="G19" s="36">
        <v>45667</v>
      </c>
      <c r="H19" s="40">
        <v>13.94</v>
      </c>
      <c r="I19" s="40">
        <v>135.91</v>
      </c>
      <c r="J19" s="44"/>
      <c r="K19" s="40"/>
      <c r="L19" s="45">
        <v>13.94</v>
      </c>
      <c r="M19" s="46">
        <v>135.91</v>
      </c>
      <c r="N19" s="40">
        <f t="shared" si="0"/>
        <v>-0.26390815537848195</v>
      </c>
      <c r="O19" s="40">
        <f t="shared" si="1"/>
        <v>-3.0434926415884248E-2</v>
      </c>
      <c r="P19" s="40">
        <f t="shared" si="2"/>
        <v>-2.997644707729653E-2</v>
      </c>
      <c r="Q19" s="40"/>
      <c r="R19" s="40"/>
      <c r="S19" t="s">
        <v>2882</v>
      </c>
      <c r="T19">
        <v>4.24</v>
      </c>
      <c r="U19" s="40">
        <f t="shared" si="3"/>
        <v>0</v>
      </c>
      <c r="V19" s="40">
        <f t="shared" si="4"/>
        <v>4.24</v>
      </c>
      <c r="W19" s="40">
        <f t="shared" si="5"/>
        <v>0</v>
      </c>
    </row>
    <row r="20" spans="1:23" x14ac:dyDescent="0.2">
      <c r="A20" s="40" t="s">
        <v>764</v>
      </c>
      <c r="B20" s="40">
        <v>20.5</v>
      </c>
      <c r="C20" s="40">
        <v>20.5</v>
      </c>
      <c r="D20" s="40">
        <v>20.5</v>
      </c>
      <c r="E20" s="40">
        <v>20.5</v>
      </c>
      <c r="G20" s="36">
        <v>45665</v>
      </c>
      <c r="H20" s="40">
        <v>18.149999999999999</v>
      </c>
      <c r="I20" s="40">
        <v>140.11000000000001</v>
      </c>
      <c r="J20" s="44"/>
      <c r="K20" s="40"/>
      <c r="L20" s="45">
        <v>18.149999999999999</v>
      </c>
      <c r="M20" s="46">
        <v>140.11000000000001</v>
      </c>
      <c r="N20" s="40">
        <f t="shared" si="0"/>
        <v>-2.985296314968116E-2</v>
      </c>
      <c r="O20" s="40">
        <f t="shared" si="1"/>
        <v>-2.140945592475461E-4</v>
      </c>
      <c r="P20" s="40">
        <f t="shared" si="2"/>
        <v>-2.1407164264287653E-4</v>
      </c>
      <c r="Q20" s="40"/>
      <c r="R20" s="40"/>
      <c r="S20" t="s">
        <v>2881</v>
      </c>
      <c r="T20">
        <v>4.24</v>
      </c>
      <c r="U20" s="40">
        <f t="shared" si="3"/>
        <v>0</v>
      </c>
      <c r="V20" s="40">
        <f t="shared" si="4"/>
        <v>4.24</v>
      </c>
      <c r="W20" s="40">
        <f t="shared" si="5"/>
        <v>0</v>
      </c>
    </row>
    <row r="21" spans="1:23" x14ac:dyDescent="0.2">
      <c r="A21" s="41">
        <v>40545</v>
      </c>
      <c r="B21" s="40">
        <v>17.21</v>
      </c>
      <c r="C21" s="40">
        <v>17.21</v>
      </c>
      <c r="D21" s="40">
        <v>17.21</v>
      </c>
      <c r="E21" s="40">
        <v>17.21</v>
      </c>
      <c r="G21" s="36">
        <v>45664</v>
      </c>
      <c r="H21" s="40">
        <v>18.7</v>
      </c>
      <c r="I21" s="40">
        <v>140.13999999999999</v>
      </c>
      <c r="J21" s="44"/>
      <c r="K21" s="40"/>
      <c r="L21" s="45">
        <v>18.7</v>
      </c>
      <c r="M21" s="46">
        <v>140.13999999999999</v>
      </c>
      <c r="N21" s="40">
        <f t="shared" si="0"/>
        <v>4.7641091985491872E-2</v>
      </c>
      <c r="O21" s="40">
        <f t="shared" si="1"/>
        <v>-6.4186132810914065E-2</v>
      </c>
      <c r="P21" s="40">
        <f t="shared" si="2"/>
        <v>-6.2169577728702539E-2</v>
      </c>
      <c r="Q21" s="40"/>
      <c r="R21" s="40"/>
      <c r="S21" s="47">
        <v>45931</v>
      </c>
      <c r="T21">
        <v>4.24</v>
      </c>
      <c r="U21" s="40">
        <f t="shared" si="3"/>
        <v>-2.3557136924590365E-3</v>
      </c>
      <c r="V21" s="40">
        <f t="shared" si="4"/>
        <v>4.24</v>
      </c>
      <c r="W21" s="40">
        <f t="shared" si="5"/>
        <v>-2.3557136924590365E-3</v>
      </c>
    </row>
    <row r="22" spans="1:23" x14ac:dyDescent="0.2">
      <c r="A22" s="41">
        <v>40576</v>
      </c>
      <c r="B22" s="40">
        <v>16.829999999999998</v>
      </c>
      <c r="C22" s="40">
        <v>16.829999999999998</v>
      </c>
      <c r="D22" s="40">
        <v>16.829999999999998</v>
      </c>
      <c r="E22" s="40">
        <v>16.829999999999998</v>
      </c>
      <c r="G22" s="36">
        <v>45663</v>
      </c>
      <c r="H22" s="40">
        <v>17.829999999999998</v>
      </c>
      <c r="I22" s="40">
        <v>149.43</v>
      </c>
      <c r="J22" s="44"/>
      <c r="K22" s="40"/>
      <c r="L22" s="45">
        <v>17.829999999999998</v>
      </c>
      <c r="M22" s="46">
        <v>149.43</v>
      </c>
      <c r="N22" s="40">
        <f t="shared" si="0"/>
        <v>9.8962382206383454E-2</v>
      </c>
      <c r="O22" s="40">
        <f t="shared" si="1"/>
        <v>3.3756182212011883E-2</v>
      </c>
      <c r="P22" s="40">
        <f t="shared" si="2"/>
        <v>3.4332387346854072E-2</v>
      </c>
      <c r="Q22" s="40"/>
      <c r="R22" s="40"/>
      <c r="S22" s="47">
        <v>45901</v>
      </c>
      <c r="T22">
        <v>4.25</v>
      </c>
      <c r="U22" s="40">
        <f t="shared" si="3"/>
        <v>2.3557136924589835E-3</v>
      </c>
      <c r="V22" s="40">
        <f t="shared" si="4"/>
        <v>4.25</v>
      </c>
      <c r="W22" s="40">
        <f t="shared" si="5"/>
        <v>2.3557136924589835E-3</v>
      </c>
    </row>
    <row r="23" spans="1:23" x14ac:dyDescent="0.2">
      <c r="A23" s="41">
        <v>40604</v>
      </c>
      <c r="B23" s="40">
        <v>15.38</v>
      </c>
      <c r="C23" s="40">
        <v>15.38</v>
      </c>
      <c r="D23" s="40">
        <v>15.38</v>
      </c>
      <c r="E23" s="40">
        <v>15.38</v>
      </c>
      <c r="G23" s="36">
        <v>45660</v>
      </c>
      <c r="H23" s="40">
        <v>16.149999999999999</v>
      </c>
      <c r="I23" s="40">
        <v>144.47</v>
      </c>
      <c r="J23" s="44"/>
      <c r="K23" s="40"/>
      <c r="L23" s="45">
        <v>16.149999999999999</v>
      </c>
      <c r="M23" s="46">
        <v>144.47</v>
      </c>
      <c r="N23" s="40">
        <f t="shared" si="0"/>
        <v>3.1007776782479642E-3</v>
      </c>
      <c r="O23" s="40">
        <f t="shared" si="1"/>
        <v>4.3574330904673421E-2</v>
      </c>
      <c r="P23" s="40">
        <f t="shared" si="2"/>
        <v>4.4537632853734341E-2</v>
      </c>
      <c r="Q23" s="40"/>
      <c r="R23" s="40"/>
      <c r="S23" s="47">
        <v>45870</v>
      </c>
      <c r="T23">
        <v>4.24</v>
      </c>
      <c r="U23" s="40">
        <f t="shared" si="3"/>
        <v>0</v>
      </c>
      <c r="V23" s="40">
        <f t="shared" si="4"/>
        <v>4.24</v>
      </c>
      <c r="W23" s="40">
        <f t="shared" si="5"/>
        <v>0</v>
      </c>
    </row>
    <row r="24" spans="1:23" x14ac:dyDescent="0.2">
      <c r="A24" s="41">
        <v>40635</v>
      </c>
      <c r="B24" s="40">
        <v>14.19</v>
      </c>
      <c r="C24" s="40">
        <v>14.19</v>
      </c>
      <c r="D24" s="40">
        <v>14.19</v>
      </c>
      <c r="E24" s="40">
        <v>14.19</v>
      </c>
      <c r="G24" s="36">
        <v>45659</v>
      </c>
      <c r="H24" s="40">
        <v>16.100000000000001</v>
      </c>
      <c r="I24" s="40">
        <v>138.31</v>
      </c>
      <c r="J24" s="44"/>
      <c r="K24" s="40"/>
      <c r="L24" s="45">
        <v>16.100000000000001</v>
      </c>
      <c r="M24" s="46">
        <v>138.31</v>
      </c>
      <c r="N24" s="40">
        <f t="shared" si="0"/>
        <v>0.1255773073832025</v>
      </c>
      <c r="O24" s="40">
        <f t="shared" si="1"/>
        <v>2.9495902043532696E-2</v>
      </c>
      <c r="P24" s="40">
        <f t="shared" si="2"/>
        <v>2.9935214833569219E-2</v>
      </c>
      <c r="Q24" s="40"/>
      <c r="R24" s="40"/>
      <c r="S24" s="47">
        <v>45839</v>
      </c>
      <c r="T24">
        <v>4.24</v>
      </c>
      <c r="U24" s="40">
        <f t="shared" si="3"/>
        <v>0</v>
      </c>
      <c r="V24" s="40">
        <f t="shared" si="4"/>
        <v>4.24</v>
      </c>
      <c r="W24" s="40">
        <f t="shared" si="5"/>
        <v>0</v>
      </c>
    </row>
    <row r="25" spans="1:23" x14ac:dyDescent="0.2">
      <c r="A25" s="41">
        <v>40726</v>
      </c>
      <c r="B25" s="40">
        <v>15.33</v>
      </c>
      <c r="C25" s="40">
        <v>15.33</v>
      </c>
      <c r="D25" s="40">
        <v>15.33</v>
      </c>
      <c r="E25" s="40">
        <v>15.33</v>
      </c>
      <c r="G25" s="36">
        <v>45657</v>
      </c>
      <c r="H25" s="40">
        <v>14.2</v>
      </c>
      <c r="I25" s="40">
        <v>134.29</v>
      </c>
      <c r="J25" s="44"/>
      <c r="K25" s="40"/>
      <c r="L25" s="45">
        <v>14.2</v>
      </c>
      <c r="M25" s="46">
        <v>134.29</v>
      </c>
      <c r="N25" s="40">
        <f t="shared" si="0"/>
        <v>5.500662951221158E-2</v>
      </c>
      <c r="O25" s="40">
        <f t="shared" si="1"/>
        <v>-2.3549546596058561E-2</v>
      </c>
      <c r="P25" s="40">
        <f t="shared" si="2"/>
        <v>-2.3274419957815238E-2</v>
      </c>
      <c r="Q25" s="40"/>
      <c r="R25" s="40"/>
      <c r="S25" s="47">
        <v>45809</v>
      </c>
      <c r="T25">
        <v>4.24</v>
      </c>
      <c r="U25" s="40">
        <f t="shared" si="3"/>
        <v>-2.3557136924590365E-3</v>
      </c>
      <c r="V25" s="40">
        <f t="shared" si="4"/>
        <v>4.24</v>
      </c>
      <c r="W25" s="40">
        <f t="shared" si="5"/>
        <v>-2.3557136924590365E-3</v>
      </c>
    </row>
    <row r="26" spans="1:23" x14ac:dyDescent="0.2">
      <c r="A26" s="41">
        <v>40757</v>
      </c>
      <c r="B26" s="40">
        <v>14.56</v>
      </c>
      <c r="C26" s="40">
        <v>14.56</v>
      </c>
      <c r="D26" s="40">
        <v>14.56</v>
      </c>
      <c r="E26" s="40">
        <v>14.56</v>
      </c>
      <c r="G26" s="36">
        <v>45656</v>
      </c>
      <c r="H26" s="40">
        <v>13.44</v>
      </c>
      <c r="I26" s="40">
        <v>137.49</v>
      </c>
      <c r="J26" s="44"/>
      <c r="K26" s="40"/>
      <c r="L26" s="45">
        <v>13.44</v>
      </c>
      <c r="M26" s="46">
        <v>137.49</v>
      </c>
      <c r="N26" s="40">
        <f t="shared" si="0"/>
        <v>-0.19047276902466115</v>
      </c>
      <c r="O26" s="40">
        <f t="shared" si="1"/>
        <v>3.4972713241252736E-3</v>
      </c>
      <c r="P26" s="40">
        <f t="shared" si="2"/>
        <v>3.5033939128532093E-3</v>
      </c>
      <c r="Q26" s="40"/>
      <c r="R26" s="40"/>
      <c r="S26" s="47">
        <v>45717</v>
      </c>
      <c r="T26">
        <v>4.25</v>
      </c>
      <c r="U26" s="40">
        <f t="shared" si="3"/>
        <v>-2.3501773449535156E-3</v>
      </c>
      <c r="V26" s="40">
        <f t="shared" si="4"/>
        <v>4.25</v>
      </c>
      <c r="W26" s="40">
        <f t="shared" si="5"/>
        <v>-2.3501773449535156E-3</v>
      </c>
    </row>
    <row r="27" spans="1:23" x14ac:dyDescent="0.2">
      <c r="A27" s="41">
        <v>40788</v>
      </c>
      <c r="B27" s="40">
        <v>14.3</v>
      </c>
      <c r="C27" s="40">
        <v>14.3</v>
      </c>
      <c r="D27" s="40">
        <v>14.3</v>
      </c>
      <c r="E27" s="40">
        <v>14.3</v>
      </c>
      <c r="G27" s="36">
        <v>45653</v>
      </c>
      <c r="H27" s="40">
        <v>16.260000000000002</v>
      </c>
      <c r="I27" s="40">
        <v>137.01</v>
      </c>
      <c r="J27" s="44"/>
      <c r="K27" s="40"/>
      <c r="L27" s="45">
        <v>16.260000000000002</v>
      </c>
      <c r="M27" s="46">
        <v>137.01</v>
      </c>
      <c r="N27" s="40">
        <f t="shared" si="0"/>
        <v>7.0707572164286442E-2</v>
      </c>
      <c r="O27" s="40">
        <f t="shared" si="1"/>
        <v>-2.1088381702604804E-2</v>
      </c>
      <c r="P27" s="40">
        <f t="shared" si="2"/>
        <v>-2.0867576645465704E-2</v>
      </c>
      <c r="Q27" s="40"/>
      <c r="R27" s="40"/>
      <c r="S27" s="47">
        <v>45689</v>
      </c>
      <c r="T27">
        <v>4.26</v>
      </c>
      <c r="U27" s="40">
        <f t="shared" si="3"/>
        <v>9.4340322333587145E-3</v>
      </c>
      <c r="V27" s="40">
        <f t="shared" si="4"/>
        <v>4.26</v>
      </c>
      <c r="W27" s="40">
        <f t="shared" si="5"/>
        <v>9.4340322333587145E-3</v>
      </c>
    </row>
    <row r="28" spans="1:23" x14ac:dyDescent="0.2">
      <c r="A28" s="41">
        <v>40818</v>
      </c>
      <c r="B28" s="40">
        <v>14.53</v>
      </c>
      <c r="C28" s="40">
        <v>14.53</v>
      </c>
      <c r="D28" s="40">
        <v>14.53</v>
      </c>
      <c r="E28" s="40">
        <v>14.53</v>
      </c>
      <c r="G28" s="36">
        <v>45652</v>
      </c>
      <c r="H28" s="40">
        <v>15.15</v>
      </c>
      <c r="I28" s="40">
        <v>139.93</v>
      </c>
      <c r="J28" s="44"/>
      <c r="K28" s="40"/>
      <c r="L28" s="45">
        <v>15.15</v>
      </c>
      <c r="M28" s="46">
        <v>139.93</v>
      </c>
      <c r="N28" s="40">
        <f t="shared" si="0"/>
        <v>-4.2642119266002504E-2</v>
      </c>
      <c r="O28" s="40">
        <f t="shared" si="1"/>
        <v>-2.070320211199508E-3</v>
      </c>
      <c r="P28" s="40">
        <f t="shared" si="2"/>
        <v>-2.0681785765225506E-3</v>
      </c>
      <c r="Q28" s="40"/>
      <c r="R28" s="40"/>
      <c r="S28" t="s">
        <v>2880</v>
      </c>
      <c r="T28">
        <v>4.22</v>
      </c>
      <c r="U28" s="40">
        <f t="shared" si="3"/>
        <v>-7.0838548884050436E-3</v>
      </c>
      <c r="V28" s="40">
        <f t="shared" si="4"/>
        <v>4.22</v>
      </c>
      <c r="W28" s="40">
        <f t="shared" si="5"/>
        <v>-7.0838548884050436E-3</v>
      </c>
    </row>
    <row r="29" spans="1:23" x14ac:dyDescent="0.2">
      <c r="A29" s="41">
        <v>40849</v>
      </c>
      <c r="B29" s="40">
        <v>14.79</v>
      </c>
      <c r="C29" s="40">
        <v>14.79</v>
      </c>
      <c r="D29" s="40">
        <v>14.79</v>
      </c>
      <c r="E29" s="40">
        <v>14.79</v>
      </c>
      <c r="G29" s="36">
        <v>45650</v>
      </c>
      <c r="H29" s="40">
        <v>15.81</v>
      </c>
      <c r="I29" s="40">
        <v>140.22</v>
      </c>
      <c r="J29" s="44"/>
      <c r="K29" s="40"/>
      <c r="L29" s="45">
        <v>15.81</v>
      </c>
      <c r="M29" s="46">
        <v>140.22</v>
      </c>
      <c r="N29" s="40">
        <f t="shared" si="0"/>
        <v>0.17212701881436038</v>
      </c>
      <c r="O29" s="40">
        <f t="shared" si="1"/>
        <v>3.9301204611417624E-3</v>
      </c>
      <c r="P29" s="40">
        <f t="shared" si="2"/>
        <v>3.9378535118494411E-3</v>
      </c>
      <c r="Q29" s="40"/>
      <c r="R29" s="40"/>
      <c r="S29" t="s">
        <v>2879</v>
      </c>
      <c r="T29">
        <v>4.25</v>
      </c>
      <c r="U29" s="40">
        <f t="shared" si="3"/>
        <v>0</v>
      </c>
      <c r="V29" s="40">
        <f t="shared" si="4"/>
        <v>4.25</v>
      </c>
      <c r="W29" s="40">
        <f t="shared" si="5"/>
        <v>0</v>
      </c>
    </row>
    <row r="30" spans="1:23" x14ac:dyDescent="0.2">
      <c r="A30" s="40" t="s">
        <v>765</v>
      </c>
      <c r="B30" s="40">
        <v>16.16</v>
      </c>
      <c r="C30" s="40">
        <v>16.16</v>
      </c>
      <c r="D30" s="40">
        <v>16.16</v>
      </c>
      <c r="E30" s="40">
        <v>16.16</v>
      </c>
      <c r="G30" s="36">
        <v>45649</v>
      </c>
      <c r="H30" s="40">
        <v>13.31</v>
      </c>
      <c r="I30" s="40">
        <v>139.66999999999999</v>
      </c>
      <c r="J30" s="44"/>
      <c r="K30" s="40"/>
      <c r="L30" s="45">
        <v>13.31</v>
      </c>
      <c r="M30" s="46">
        <v>139.66999999999999</v>
      </c>
      <c r="N30" s="40">
        <f t="shared" si="0"/>
        <v>0.13492766587644714</v>
      </c>
      <c r="O30" s="40">
        <f t="shared" si="1"/>
        <v>3.6232413901361615E-2</v>
      </c>
      <c r="P30" s="40">
        <f t="shared" si="2"/>
        <v>3.6896807720861166E-2</v>
      </c>
      <c r="Q30" s="40"/>
      <c r="R30" s="40"/>
      <c r="S30" t="s">
        <v>2878</v>
      </c>
      <c r="T30">
        <v>4.25</v>
      </c>
      <c r="U30" s="40">
        <f t="shared" si="3"/>
        <v>-2.3501773449535156E-3</v>
      </c>
      <c r="V30" s="40">
        <f t="shared" si="4"/>
        <v>4.25</v>
      </c>
      <c r="W30" s="40">
        <f t="shared" si="5"/>
        <v>-2.3501773449535156E-3</v>
      </c>
    </row>
    <row r="31" spans="1:23" x14ac:dyDescent="0.2">
      <c r="A31" s="40" t="s">
        <v>766</v>
      </c>
      <c r="B31" s="40">
        <v>16.579999999999998</v>
      </c>
      <c r="C31" s="40">
        <v>16.579999999999998</v>
      </c>
      <c r="D31" s="40">
        <v>16.579999999999998</v>
      </c>
      <c r="E31" s="40">
        <v>16.579999999999998</v>
      </c>
      <c r="G31" s="36">
        <v>45646</v>
      </c>
      <c r="H31" s="40">
        <v>11.63</v>
      </c>
      <c r="I31" s="40">
        <v>134.69999999999999</v>
      </c>
      <c r="J31" s="44"/>
      <c r="K31" s="40"/>
      <c r="L31" s="45">
        <v>11.63</v>
      </c>
      <c r="M31" s="46">
        <v>134.69999999999999</v>
      </c>
      <c r="N31" s="40">
        <f t="shared" si="0"/>
        <v>6.5743029585704049E-2</v>
      </c>
      <c r="O31" s="40">
        <f t="shared" si="1"/>
        <v>3.0298496683448778E-2</v>
      </c>
      <c r="P31" s="40">
        <f t="shared" si="2"/>
        <v>3.076216712580335E-2</v>
      </c>
      <c r="Q31" s="40"/>
      <c r="R31" s="40"/>
      <c r="S31" t="s">
        <v>2877</v>
      </c>
      <c r="T31">
        <v>4.26</v>
      </c>
      <c r="U31" s="40">
        <f t="shared" si="3"/>
        <v>2.3501773449534514E-3</v>
      </c>
      <c r="V31" s="40">
        <f t="shared" si="4"/>
        <v>4.26</v>
      </c>
      <c r="W31" s="40">
        <f t="shared" si="5"/>
        <v>2.3501773449534514E-3</v>
      </c>
    </row>
    <row r="32" spans="1:23" x14ac:dyDescent="0.2">
      <c r="A32" s="40" t="s">
        <v>767</v>
      </c>
      <c r="B32" s="40">
        <v>16.87</v>
      </c>
      <c r="C32" s="40">
        <v>16.87</v>
      </c>
      <c r="D32" s="40">
        <v>16.87</v>
      </c>
      <c r="E32" s="40">
        <v>16.87</v>
      </c>
      <c r="G32" s="36">
        <v>45645</v>
      </c>
      <c r="H32" s="40">
        <v>10.89</v>
      </c>
      <c r="I32" s="40">
        <v>130.68</v>
      </c>
      <c r="J32" s="44"/>
      <c r="K32" s="40"/>
      <c r="L32" s="45">
        <v>10.89</v>
      </c>
      <c r="M32" s="46">
        <v>130.68</v>
      </c>
      <c r="N32" s="40">
        <f t="shared" si="0"/>
        <v>-0.30407588222745718</v>
      </c>
      <c r="O32" s="40">
        <f t="shared" si="1"/>
        <v>1.3637100277856131E-2</v>
      </c>
      <c r="P32" s="40">
        <f t="shared" si="2"/>
        <v>1.373050965790094E-2</v>
      </c>
      <c r="Q32" s="40"/>
      <c r="R32" s="40"/>
      <c r="S32" t="s">
        <v>2876</v>
      </c>
      <c r="T32">
        <v>4.25</v>
      </c>
      <c r="U32" s="40">
        <f t="shared" si="3"/>
        <v>0</v>
      </c>
      <c r="V32" s="40">
        <f t="shared" si="4"/>
        <v>4.25</v>
      </c>
      <c r="W32" s="40">
        <f t="shared" si="5"/>
        <v>0</v>
      </c>
    </row>
    <row r="33" spans="1:23" x14ac:dyDescent="0.2">
      <c r="A33" s="40" t="s">
        <v>768</v>
      </c>
      <c r="B33" s="40">
        <v>15.81</v>
      </c>
      <c r="C33" s="40">
        <v>15.81</v>
      </c>
      <c r="D33" s="40">
        <v>15.81</v>
      </c>
      <c r="E33" s="40">
        <v>15.81</v>
      </c>
      <c r="G33" s="36">
        <v>45644</v>
      </c>
      <c r="H33" s="40">
        <v>14.76</v>
      </c>
      <c r="I33" s="40">
        <v>128.91</v>
      </c>
      <c r="J33" s="44"/>
      <c r="K33" s="40"/>
      <c r="L33" s="45">
        <v>14.76</v>
      </c>
      <c r="M33" s="46">
        <v>128.91</v>
      </c>
      <c r="N33" s="40">
        <f t="shared" si="0"/>
        <v>-7.7538010058527104E-2</v>
      </c>
      <c r="O33" s="40">
        <f t="shared" si="1"/>
        <v>-1.1415472980367396E-2</v>
      </c>
      <c r="P33" s="40">
        <f t="shared" si="2"/>
        <v>-1.1350563693534703E-2</v>
      </c>
      <c r="Q33" s="40"/>
      <c r="R33" s="40"/>
      <c r="S33" t="s">
        <v>2875</v>
      </c>
      <c r="T33">
        <v>4.25</v>
      </c>
      <c r="U33" s="40">
        <f t="shared" si="3"/>
        <v>2.3557136924589835E-3</v>
      </c>
      <c r="V33" s="40">
        <f t="shared" si="4"/>
        <v>4.25</v>
      </c>
      <c r="W33" s="40">
        <f t="shared" si="5"/>
        <v>2.3557136924589835E-3</v>
      </c>
    </row>
    <row r="34" spans="1:23" x14ac:dyDescent="0.2">
      <c r="A34" s="40" t="s">
        <v>769</v>
      </c>
      <c r="B34" s="40">
        <v>14.92</v>
      </c>
      <c r="C34" s="40">
        <v>14.92</v>
      </c>
      <c r="D34" s="40">
        <v>14.92</v>
      </c>
      <c r="E34" s="40">
        <v>14.92</v>
      </c>
      <c r="G34" s="36">
        <v>45643</v>
      </c>
      <c r="H34" s="40">
        <v>15.95</v>
      </c>
      <c r="I34" s="40">
        <v>130.38999999999999</v>
      </c>
      <c r="J34" s="44"/>
      <c r="K34" s="40"/>
      <c r="L34" s="45">
        <v>15.95</v>
      </c>
      <c r="M34" s="46">
        <v>130.38999999999999</v>
      </c>
      <c r="N34" s="40">
        <f t="shared" si="0"/>
        <v>-0.3968597448986711</v>
      </c>
      <c r="O34" s="40">
        <f t="shared" si="1"/>
        <v>-1.2271963150990077E-2</v>
      </c>
      <c r="P34" s="40">
        <f t="shared" si="2"/>
        <v>-1.21969696969698E-2</v>
      </c>
      <c r="Q34" s="40"/>
      <c r="R34" s="40"/>
      <c r="S34" t="s">
        <v>2874</v>
      </c>
      <c r="T34">
        <v>4.24</v>
      </c>
      <c r="U34" s="40">
        <f t="shared" si="3"/>
        <v>2.3612761856796854E-3</v>
      </c>
      <c r="V34" s="40">
        <f t="shared" si="4"/>
        <v>4.24</v>
      </c>
      <c r="W34" s="40">
        <f t="shared" si="5"/>
        <v>2.3612761856796854E-3</v>
      </c>
    </row>
    <row r="35" spans="1:23" x14ac:dyDescent="0.2">
      <c r="A35" s="40" t="s">
        <v>770</v>
      </c>
      <c r="B35" s="40">
        <v>22.09</v>
      </c>
      <c r="C35" s="40">
        <v>22.09</v>
      </c>
      <c r="D35" s="40">
        <v>22.09</v>
      </c>
      <c r="E35" s="40">
        <v>22.09</v>
      </c>
      <c r="G35" s="36">
        <v>45642</v>
      </c>
      <c r="H35" s="40">
        <v>23.72</v>
      </c>
      <c r="I35" s="40">
        <v>132</v>
      </c>
      <c r="J35" s="44"/>
      <c r="K35" s="40"/>
      <c r="L35" s="45">
        <v>23.72</v>
      </c>
      <c r="M35" s="46">
        <v>132</v>
      </c>
      <c r="N35" s="40">
        <f t="shared" si="0"/>
        <v>-0.40095805822516284</v>
      </c>
      <c r="O35" s="40">
        <f t="shared" si="1"/>
        <v>-1.6901810802603254E-2</v>
      </c>
      <c r="P35" s="40">
        <f t="shared" si="2"/>
        <v>-1.6759776536312849E-2</v>
      </c>
      <c r="Q35" s="40"/>
      <c r="R35" s="40"/>
      <c r="S35" t="s">
        <v>2873</v>
      </c>
      <c r="T35">
        <v>4.2300000000000004</v>
      </c>
      <c r="U35" s="40">
        <f t="shared" si="3"/>
        <v>-4.7169898781387982E-3</v>
      </c>
      <c r="V35" s="40">
        <f t="shared" si="4"/>
        <v>4.2300000000000004</v>
      </c>
      <c r="W35" s="40">
        <f t="shared" si="5"/>
        <v>-4.7169898781387982E-3</v>
      </c>
    </row>
    <row r="36" spans="1:23" x14ac:dyDescent="0.2">
      <c r="A36" s="40" t="s">
        <v>771</v>
      </c>
      <c r="B36" s="40">
        <v>22.77</v>
      </c>
      <c r="C36" s="40">
        <v>22.77</v>
      </c>
      <c r="D36" s="40">
        <v>22.77</v>
      </c>
      <c r="E36" s="40">
        <v>22.77</v>
      </c>
      <c r="G36" s="36">
        <v>45639</v>
      </c>
      <c r="H36" s="40">
        <v>35.42</v>
      </c>
      <c r="I36" s="40">
        <v>134.25</v>
      </c>
      <c r="J36" s="44"/>
      <c r="K36" s="40"/>
      <c r="L36" s="45">
        <v>35.42</v>
      </c>
      <c r="M36" s="46">
        <v>134.25</v>
      </c>
      <c r="N36" s="40">
        <f t="shared" si="0"/>
        <v>0.97276847265160626</v>
      </c>
      <c r="O36" s="40">
        <f t="shared" si="1"/>
        <v>-2.2755869803556265E-2</v>
      </c>
      <c r="P36" s="40">
        <f t="shared" si="2"/>
        <v>-2.2498907820008761E-2</v>
      </c>
      <c r="Q36" s="40"/>
      <c r="R36" s="40"/>
      <c r="S36" t="s">
        <v>2872</v>
      </c>
      <c r="T36">
        <v>4.25</v>
      </c>
      <c r="U36" s="40">
        <f t="shared" si="3"/>
        <v>-4.6948443042076184E-3</v>
      </c>
      <c r="V36" s="40">
        <f t="shared" si="4"/>
        <v>4.25</v>
      </c>
      <c r="W36" s="40">
        <f t="shared" si="5"/>
        <v>-4.6948443042076184E-3</v>
      </c>
    </row>
    <row r="37" spans="1:23" x14ac:dyDescent="0.2">
      <c r="A37" s="40" t="s">
        <v>772</v>
      </c>
      <c r="B37" s="40">
        <v>21.51</v>
      </c>
      <c r="C37" s="40">
        <v>21.51</v>
      </c>
      <c r="D37" s="40">
        <v>21.51</v>
      </c>
      <c r="E37" s="40">
        <v>21.51</v>
      </c>
      <c r="G37" s="36">
        <v>45638</v>
      </c>
      <c r="H37" s="40">
        <v>13.39</v>
      </c>
      <c r="I37" s="40">
        <v>137.34</v>
      </c>
      <c r="J37" s="44"/>
      <c r="K37" s="40"/>
      <c r="L37" s="45">
        <v>13.39</v>
      </c>
      <c r="M37" s="46">
        <v>137.34</v>
      </c>
      <c r="N37" s="40">
        <f t="shared" si="0"/>
        <v>0.10461396840404186</v>
      </c>
      <c r="O37" s="40">
        <f t="shared" si="1"/>
        <v>-1.4242062525603194E-2</v>
      </c>
      <c r="P37" s="40">
        <f t="shared" si="2"/>
        <v>-1.4141124111693337E-2</v>
      </c>
      <c r="Q37" s="40"/>
      <c r="R37" s="40"/>
      <c r="S37" t="s">
        <v>2871</v>
      </c>
      <c r="T37">
        <v>4.2699999999999996</v>
      </c>
      <c r="U37" s="40">
        <f t="shared" si="3"/>
        <v>7.0505579966665417E-3</v>
      </c>
      <c r="V37" s="40">
        <f t="shared" si="4"/>
        <v>4.2699999999999996</v>
      </c>
      <c r="W37" s="40">
        <f t="shared" si="5"/>
        <v>7.0505579966665417E-3</v>
      </c>
    </row>
    <row r="38" spans="1:23" x14ac:dyDescent="0.2">
      <c r="A38" s="40" t="s">
        <v>773</v>
      </c>
      <c r="B38" s="40">
        <v>18.47</v>
      </c>
      <c r="C38" s="40">
        <v>18.47</v>
      </c>
      <c r="D38" s="40">
        <v>18.47</v>
      </c>
      <c r="E38" s="40">
        <v>18.47</v>
      </c>
      <c r="G38" s="36">
        <v>45637</v>
      </c>
      <c r="H38" s="40">
        <v>12.06</v>
      </c>
      <c r="I38" s="40">
        <v>139.31</v>
      </c>
      <c r="J38" s="44"/>
      <c r="K38" s="40"/>
      <c r="L38" s="45">
        <v>12.06</v>
      </c>
      <c r="M38" s="46">
        <v>139.31</v>
      </c>
      <c r="N38" s="40">
        <f t="shared" si="0"/>
        <v>0.10113140206394147</v>
      </c>
      <c r="O38" s="40">
        <f t="shared" si="1"/>
        <v>3.0908503145460821E-2</v>
      </c>
      <c r="P38" s="40">
        <f t="shared" si="2"/>
        <v>3.1391130524913075E-2</v>
      </c>
      <c r="Q38" s="40"/>
      <c r="R38" s="40"/>
      <c r="S38" t="s">
        <v>2870</v>
      </c>
      <c r="T38">
        <v>4.24</v>
      </c>
      <c r="U38" s="40">
        <f t="shared" si="3"/>
        <v>0</v>
      </c>
      <c r="V38" s="40">
        <f t="shared" si="4"/>
        <v>4.24</v>
      </c>
      <c r="W38" s="40">
        <f t="shared" si="5"/>
        <v>0</v>
      </c>
    </row>
    <row r="39" spans="1:23" x14ac:dyDescent="0.2">
      <c r="A39" s="40" t="s">
        <v>774</v>
      </c>
      <c r="B39" s="40">
        <v>18.3</v>
      </c>
      <c r="C39" s="40">
        <v>18.3</v>
      </c>
      <c r="D39" s="40">
        <v>18.3</v>
      </c>
      <c r="E39" s="40">
        <v>18.3</v>
      </c>
      <c r="G39" s="36">
        <v>45636</v>
      </c>
      <c r="H39" s="40">
        <v>10.9</v>
      </c>
      <c r="I39" s="40">
        <v>135.07</v>
      </c>
      <c r="J39" s="44"/>
      <c r="K39" s="40"/>
      <c r="L39" s="45">
        <v>10.9</v>
      </c>
      <c r="M39" s="46">
        <v>135.07</v>
      </c>
      <c r="N39" s="40">
        <f t="shared" si="0"/>
        <v>-9.0293446874726693E-2</v>
      </c>
      <c r="O39" s="40">
        <f t="shared" si="1"/>
        <v>-2.731292901434523E-2</v>
      </c>
      <c r="P39" s="40">
        <f t="shared" si="2"/>
        <v>-2.694330379655651E-2</v>
      </c>
      <c r="Q39" s="40"/>
      <c r="R39" s="40"/>
      <c r="S39" t="s">
        <v>2869</v>
      </c>
      <c r="T39">
        <v>4.24</v>
      </c>
      <c r="U39" s="40">
        <f t="shared" si="3"/>
        <v>-7.0563963718992512E-2</v>
      </c>
      <c r="V39" s="40">
        <f t="shared" si="4"/>
        <v>4.24</v>
      </c>
      <c r="W39" s="40">
        <f t="shared" si="5"/>
        <v>-7.0563963718992512E-2</v>
      </c>
    </row>
    <row r="40" spans="1:23" x14ac:dyDescent="0.2">
      <c r="A40" s="41">
        <v>40546</v>
      </c>
      <c r="B40" s="40">
        <v>21.59</v>
      </c>
      <c r="C40" s="40">
        <v>21.59</v>
      </c>
      <c r="D40" s="40">
        <v>21.59</v>
      </c>
      <c r="E40" s="40">
        <v>21.59</v>
      </c>
      <c r="G40" s="36">
        <v>45635</v>
      </c>
      <c r="H40" s="40">
        <v>11.93</v>
      </c>
      <c r="I40" s="40">
        <v>138.81</v>
      </c>
      <c r="J40" s="44"/>
      <c r="K40" s="40"/>
      <c r="L40" s="45">
        <v>11.93</v>
      </c>
      <c r="M40" s="46">
        <v>138.81</v>
      </c>
      <c r="N40" s="40">
        <f t="shared" si="0"/>
        <v>-9.1782037708501539E-3</v>
      </c>
      <c r="O40" s="40">
        <f t="shared" si="1"/>
        <v>-2.5814766822559045E-2</v>
      </c>
      <c r="P40" s="40">
        <f t="shared" si="2"/>
        <v>-2.5484414490311677E-2</v>
      </c>
      <c r="Q40" s="40"/>
      <c r="R40" s="40"/>
      <c r="S40" t="s">
        <v>2868</v>
      </c>
      <c r="T40">
        <v>4.55</v>
      </c>
      <c r="U40" s="40">
        <f t="shared" si="3"/>
        <v>0</v>
      </c>
      <c r="V40" s="40">
        <f t="shared" si="4"/>
        <v>4.55</v>
      </c>
      <c r="W40" s="40">
        <f t="shared" si="5"/>
        <v>0</v>
      </c>
    </row>
    <row r="41" spans="1:23" x14ac:dyDescent="0.2">
      <c r="A41" s="41">
        <v>40577</v>
      </c>
      <c r="B41" s="40">
        <v>20.78</v>
      </c>
      <c r="C41" s="40">
        <v>20.78</v>
      </c>
      <c r="D41" s="40">
        <v>20.78</v>
      </c>
      <c r="E41" s="40">
        <v>20.78</v>
      </c>
      <c r="G41" s="36">
        <v>45632</v>
      </c>
      <c r="H41" s="40">
        <v>12.04</v>
      </c>
      <c r="I41" s="40">
        <v>142.44</v>
      </c>
      <c r="J41" s="44"/>
      <c r="K41" s="40"/>
      <c r="L41" s="45">
        <v>12.04</v>
      </c>
      <c r="M41" s="46">
        <v>142.44</v>
      </c>
      <c r="N41" s="40">
        <f t="shared" si="0"/>
        <v>-9.8777432844479027E-2</v>
      </c>
      <c r="O41" s="40">
        <f t="shared" si="1"/>
        <v>-1.8226591525689419E-2</v>
      </c>
      <c r="P41" s="40">
        <f t="shared" si="2"/>
        <v>-1.8061491796498033E-2</v>
      </c>
      <c r="Q41" s="40"/>
      <c r="R41" s="40"/>
      <c r="S41" t="s">
        <v>2867</v>
      </c>
      <c r="T41">
        <v>4.55</v>
      </c>
      <c r="U41" s="40">
        <f t="shared" si="3"/>
        <v>-2.1953905634356152E-3</v>
      </c>
      <c r="V41" s="40">
        <f t="shared" si="4"/>
        <v>4.55</v>
      </c>
      <c r="W41" s="40">
        <f t="shared" si="5"/>
        <v>-2.1953905634356152E-3</v>
      </c>
    </row>
    <row r="42" spans="1:23" x14ac:dyDescent="0.2">
      <c r="A42" s="41">
        <v>40605</v>
      </c>
      <c r="B42" s="40">
        <v>16.850000000000001</v>
      </c>
      <c r="C42" s="40">
        <v>16.850000000000001</v>
      </c>
      <c r="D42" s="40">
        <v>16.850000000000001</v>
      </c>
      <c r="E42" s="40">
        <v>16.850000000000001</v>
      </c>
      <c r="G42" s="36">
        <v>45631</v>
      </c>
      <c r="H42" s="40">
        <v>13.29</v>
      </c>
      <c r="I42" s="40">
        <v>145.06</v>
      </c>
      <c r="J42" s="44"/>
      <c r="K42" s="40"/>
      <c r="L42" s="45">
        <v>13.29</v>
      </c>
      <c r="M42" s="46">
        <v>145.06</v>
      </c>
      <c r="N42" s="40">
        <f t="shared" si="0"/>
        <v>2.437287439680139E-2</v>
      </c>
      <c r="O42" s="40">
        <f t="shared" si="1"/>
        <v>-5.5134391472441149E-4</v>
      </c>
      <c r="P42" s="40">
        <f t="shared" si="2"/>
        <v>-5.5119195259738251E-4</v>
      </c>
      <c r="Q42" s="40"/>
      <c r="R42" s="40"/>
      <c r="S42" t="s">
        <v>2866</v>
      </c>
      <c r="T42">
        <v>4.5599999999999996</v>
      </c>
      <c r="U42" s="40">
        <f t="shared" si="3"/>
        <v>0</v>
      </c>
      <c r="V42" s="40">
        <f t="shared" si="4"/>
        <v>4.5599999999999996</v>
      </c>
      <c r="W42" s="40">
        <f t="shared" si="5"/>
        <v>0</v>
      </c>
    </row>
    <row r="43" spans="1:23" x14ac:dyDescent="0.2">
      <c r="A43" s="41">
        <v>40636</v>
      </c>
      <c r="B43" s="40">
        <v>17.690000000000001</v>
      </c>
      <c r="C43" s="40">
        <v>17.690000000000001</v>
      </c>
      <c r="D43" s="40">
        <v>17.690000000000001</v>
      </c>
      <c r="E43" s="40">
        <v>17.690000000000001</v>
      </c>
      <c r="G43" s="36">
        <v>45630</v>
      </c>
      <c r="H43" s="40">
        <v>12.97</v>
      </c>
      <c r="I43" s="40">
        <v>145.13999999999999</v>
      </c>
      <c r="J43" s="44"/>
      <c r="K43" s="40"/>
      <c r="L43" s="45">
        <v>12.97</v>
      </c>
      <c r="M43" s="46">
        <v>145.13999999999999</v>
      </c>
      <c r="N43" s="40">
        <f t="shared" si="0"/>
        <v>0.2227581205906099</v>
      </c>
      <c r="O43" s="40">
        <f t="shared" si="1"/>
        <v>3.4200950741226366E-2</v>
      </c>
      <c r="P43" s="40">
        <f t="shared" si="2"/>
        <v>3.4792528161984852E-2</v>
      </c>
      <c r="Q43" s="40"/>
      <c r="R43" s="40"/>
      <c r="S43" t="s">
        <v>2865</v>
      </c>
      <c r="T43">
        <v>4.5599999999999996</v>
      </c>
      <c r="U43" s="40">
        <f t="shared" si="3"/>
        <v>6.6006840313518724E-3</v>
      </c>
      <c r="V43" s="40">
        <f t="shared" si="4"/>
        <v>4.5599999999999996</v>
      </c>
      <c r="W43" s="40">
        <f t="shared" si="5"/>
        <v>6.6006840313518724E-3</v>
      </c>
    </row>
    <row r="44" spans="1:23" x14ac:dyDescent="0.2">
      <c r="A44" s="41">
        <v>40727</v>
      </c>
      <c r="B44" s="40">
        <v>20.97</v>
      </c>
      <c r="C44" s="40">
        <v>20.97</v>
      </c>
      <c r="D44" s="40">
        <v>20.97</v>
      </c>
      <c r="E44" s="40">
        <v>20.97</v>
      </c>
      <c r="G44" s="36">
        <v>45629</v>
      </c>
      <c r="H44" s="40">
        <v>10.38</v>
      </c>
      <c r="I44" s="40">
        <v>140.26</v>
      </c>
      <c r="J44" s="44"/>
      <c r="K44" s="40"/>
      <c r="L44" s="45">
        <v>10.38</v>
      </c>
      <c r="M44" s="46">
        <v>140.26</v>
      </c>
      <c r="N44" s="40">
        <f t="shared" si="0"/>
        <v>-0.11799709966233836</v>
      </c>
      <c r="O44" s="40">
        <f t="shared" si="1"/>
        <v>1.1689329558479629E-2</v>
      </c>
      <c r="P44" s="40">
        <f t="shared" si="2"/>
        <v>1.1757916756834708E-2</v>
      </c>
      <c r="Q44" s="40"/>
      <c r="R44" s="40"/>
      <c r="S44" t="s">
        <v>2864</v>
      </c>
      <c r="T44">
        <v>4.53</v>
      </c>
      <c r="U44" s="40">
        <f t="shared" si="3"/>
        <v>-2.2050725583138702E-3</v>
      </c>
      <c r="V44" s="40">
        <f t="shared" si="4"/>
        <v>4.53</v>
      </c>
      <c r="W44" s="40">
        <f t="shared" si="5"/>
        <v>-2.2050725583138702E-3</v>
      </c>
    </row>
    <row r="45" spans="1:23" x14ac:dyDescent="0.2">
      <c r="A45" s="41">
        <v>40758</v>
      </c>
      <c r="B45" s="40">
        <v>19.34</v>
      </c>
      <c r="C45" s="40">
        <v>19.34</v>
      </c>
      <c r="D45" s="40">
        <v>19.34</v>
      </c>
      <c r="E45" s="40">
        <v>19.34</v>
      </c>
      <c r="G45" s="36">
        <v>45628</v>
      </c>
      <c r="H45" s="40">
        <v>11.68</v>
      </c>
      <c r="I45" s="40">
        <v>138.63</v>
      </c>
      <c r="J45" s="44"/>
      <c r="K45" s="40"/>
      <c r="L45" s="45">
        <v>11.68</v>
      </c>
      <c r="M45" s="46">
        <v>138.63</v>
      </c>
      <c r="N45" s="40">
        <f t="shared" si="0"/>
        <v>6.8728792877620504E-3</v>
      </c>
      <c r="O45" s="40">
        <f t="shared" si="1"/>
        <v>2.7448731478405524E-3</v>
      </c>
      <c r="P45" s="40">
        <f t="shared" si="2"/>
        <v>2.7486437613019562E-3</v>
      </c>
      <c r="Q45" s="40"/>
      <c r="R45" s="40"/>
      <c r="S45" t="s">
        <v>2863</v>
      </c>
      <c r="T45">
        <v>4.54</v>
      </c>
      <c r="U45" s="40">
        <f t="shared" si="3"/>
        <v>8.8496152769826E-3</v>
      </c>
      <c r="V45" s="40">
        <f t="shared" si="4"/>
        <v>4.54</v>
      </c>
      <c r="W45" s="40">
        <f t="shared" si="5"/>
        <v>8.8496152769826E-3</v>
      </c>
    </row>
    <row r="46" spans="1:23" x14ac:dyDescent="0.2">
      <c r="A46" s="41">
        <v>40789</v>
      </c>
      <c r="B46" s="40">
        <v>19.93</v>
      </c>
      <c r="C46" s="40">
        <v>19.93</v>
      </c>
      <c r="D46" s="40">
        <v>19.93</v>
      </c>
      <c r="E46" s="40">
        <v>19.93</v>
      </c>
      <c r="G46" s="36">
        <v>45625</v>
      </c>
      <c r="H46" s="40">
        <v>11.6</v>
      </c>
      <c r="I46" s="40">
        <v>138.25</v>
      </c>
      <c r="J46" s="44"/>
      <c r="K46" s="40"/>
      <c r="L46" s="45">
        <v>11.6</v>
      </c>
      <c r="M46" s="46">
        <v>138.25</v>
      </c>
      <c r="N46" s="40">
        <f t="shared" si="0"/>
        <v>-2.3009110509257715E-2</v>
      </c>
      <c r="O46" s="40">
        <f t="shared" si="1"/>
        <v>2.1273509598364767E-2</v>
      </c>
      <c r="P46" s="40">
        <f t="shared" si="2"/>
        <v>2.150140387173043E-2</v>
      </c>
      <c r="Q46" s="40"/>
      <c r="R46" s="40"/>
      <c r="S46" t="s">
        <v>2862</v>
      </c>
      <c r="T46">
        <v>4.5</v>
      </c>
      <c r="U46" s="40">
        <f t="shared" si="3"/>
        <v>2.2246950221111086E-3</v>
      </c>
      <c r="V46" s="40">
        <f t="shared" si="4"/>
        <v>4.5</v>
      </c>
      <c r="W46" s="40">
        <f t="shared" si="5"/>
        <v>2.2246950221111086E-3</v>
      </c>
    </row>
    <row r="47" spans="1:23" x14ac:dyDescent="0.2">
      <c r="A47" s="41">
        <v>40819</v>
      </c>
      <c r="B47" s="40">
        <v>22.89</v>
      </c>
      <c r="C47" s="40">
        <v>22.89</v>
      </c>
      <c r="D47" s="40">
        <v>22.89</v>
      </c>
      <c r="E47" s="40">
        <v>22.89</v>
      </c>
      <c r="G47" s="36">
        <v>45623</v>
      </c>
      <c r="H47" s="40">
        <v>11.87</v>
      </c>
      <c r="I47" s="40">
        <v>135.34</v>
      </c>
      <c r="J47" s="44"/>
      <c r="K47" s="40"/>
      <c r="L47" s="45">
        <v>11.87</v>
      </c>
      <c r="M47" s="46">
        <v>135.34</v>
      </c>
      <c r="N47" s="40">
        <f t="shared" si="0"/>
        <v>8.4281505199714944E-4</v>
      </c>
      <c r="O47" s="40">
        <f t="shared" si="1"/>
        <v>-1.1606682857905002E-2</v>
      </c>
      <c r="P47" s="40">
        <f t="shared" si="2"/>
        <v>-1.1539585159216947E-2</v>
      </c>
      <c r="Q47" s="40"/>
      <c r="R47" s="40"/>
      <c r="S47" t="s">
        <v>2861</v>
      </c>
      <c r="T47">
        <v>4.49</v>
      </c>
      <c r="U47" s="40">
        <f t="shared" si="3"/>
        <v>-6.6592920899767368E-3</v>
      </c>
      <c r="V47" s="40">
        <f t="shared" si="4"/>
        <v>4.49</v>
      </c>
      <c r="W47" s="40">
        <f t="shared" si="5"/>
        <v>-6.6592920899767368E-3</v>
      </c>
    </row>
    <row r="48" spans="1:23" x14ac:dyDescent="0.2">
      <c r="A48" s="41">
        <v>40850</v>
      </c>
      <c r="B48" s="40">
        <v>19.399999999999999</v>
      </c>
      <c r="C48" s="40">
        <v>19.399999999999999</v>
      </c>
      <c r="D48" s="40">
        <v>19.399999999999999</v>
      </c>
      <c r="E48" s="40">
        <v>19.399999999999999</v>
      </c>
      <c r="G48" s="36">
        <v>45622</v>
      </c>
      <c r="H48" s="40">
        <v>11.86</v>
      </c>
      <c r="I48" s="40">
        <v>136.91999999999999</v>
      </c>
      <c r="J48" s="44"/>
      <c r="K48" s="40"/>
      <c r="L48" s="45">
        <v>11.86</v>
      </c>
      <c r="M48" s="46">
        <v>136.91999999999999</v>
      </c>
      <c r="N48" s="40">
        <f t="shared" si="0"/>
        <v>8.5326456624710126E-2</v>
      </c>
      <c r="O48" s="40">
        <f t="shared" si="1"/>
        <v>6.594879914491771E-3</v>
      </c>
      <c r="P48" s="40">
        <f t="shared" si="2"/>
        <v>6.6166740185265192E-3</v>
      </c>
      <c r="Q48" s="40"/>
      <c r="R48" s="40"/>
      <c r="S48" t="s">
        <v>2860</v>
      </c>
      <c r="T48">
        <v>4.5199999999999996</v>
      </c>
      <c r="U48" s="40">
        <f t="shared" si="3"/>
        <v>0</v>
      </c>
      <c r="V48" s="40">
        <f t="shared" si="4"/>
        <v>4.5199999999999996</v>
      </c>
      <c r="W48" s="40">
        <f t="shared" si="5"/>
        <v>0</v>
      </c>
    </row>
    <row r="49" spans="1:23" x14ac:dyDescent="0.2">
      <c r="A49" s="40" t="s">
        <v>775</v>
      </c>
      <c r="B49" s="40">
        <v>21.93</v>
      </c>
      <c r="C49" s="40">
        <v>21.93</v>
      </c>
      <c r="D49" s="40">
        <v>21.93</v>
      </c>
      <c r="E49" s="40">
        <v>21.93</v>
      </c>
      <c r="G49" s="36">
        <v>45621</v>
      </c>
      <c r="H49" s="40">
        <v>10.89</v>
      </c>
      <c r="I49" s="40">
        <v>136.02000000000001</v>
      </c>
      <c r="J49" s="44"/>
      <c r="K49" s="40"/>
      <c r="L49" s="45">
        <v>10.89</v>
      </c>
      <c r="M49" s="46">
        <v>136.02000000000001</v>
      </c>
      <c r="N49" s="40">
        <f t="shared" si="0"/>
        <v>1.2939182371197391E-2</v>
      </c>
      <c r="O49" s="40">
        <f t="shared" si="1"/>
        <v>-4.267294917148743E-2</v>
      </c>
      <c r="P49" s="40">
        <f t="shared" si="2"/>
        <v>-4.1775272983444724E-2</v>
      </c>
      <c r="Q49" s="40"/>
      <c r="R49" s="40"/>
      <c r="S49" t="s">
        <v>2859</v>
      </c>
      <c r="T49">
        <v>4.5199999999999996</v>
      </c>
      <c r="U49" s="40">
        <f t="shared" si="3"/>
        <v>0</v>
      </c>
      <c r="V49" s="40">
        <f t="shared" si="4"/>
        <v>4.5199999999999996</v>
      </c>
      <c r="W49" s="40">
        <f t="shared" si="5"/>
        <v>0</v>
      </c>
    </row>
    <row r="50" spans="1:23" x14ac:dyDescent="0.2">
      <c r="A50" s="40" t="s">
        <v>776</v>
      </c>
      <c r="B50" s="40">
        <v>25.9</v>
      </c>
      <c r="C50" s="40">
        <v>25.9</v>
      </c>
      <c r="D50" s="40">
        <v>25.9</v>
      </c>
      <c r="E50" s="40">
        <v>25.9</v>
      </c>
      <c r="G50" s="36">
        <v>45618</v>
      </c>
      <c r="H50" s="40">
        <v>10.75</v>
      </c>
      <c r="I50" s="40">
        <v>141.94999999999999</v>
      </c>
      <c r="J50" s="44"/>
      <c r="K50" s="40"/>
      <c r="L50" s="45">
        <v>10.75</v>
      </c>
      <c r="M50" s="46">
        <v>141.94999999999999</v>
      </c>
      <c r="N50" s="40">
        <f t="shared" si="0"/>
        <v>-8.7243908091712327E-2</v>
      </c>
      <c r="O50" s="40">
        <f t="shared" si="1"/>
        <v>-3.2710282339683691E-2</v>
      </c>
      <c r="P50" s="40">
        <f t="shared" si="2"/>
        <v>-3.2181086793481958E-2</v>
      </c>
      <c r="Q50" s="40"/>
      <c r="R50" s="40"/>
      <c r="S50" t="s">
        <v>2858</v>
      </c>
      <c r="T50">
        <v>4.5199999999999996</v>
      </c>
      <c r="U50" s="40">
        <f t="shared" si="3"/>
        <v>2.2148403295528213E-3</v>
      </c>
      <c r="V50" s="40">
        <f t="shared" si="4"/>
        <v>4.5199999999999996</v>
      </c>
      <c r="W50" s="40">
        <f t="shared" si="5"/>
        <v>2.2148403295528213E-3</v>
      </c>
    </row>
    <row r="51" spans="1:23" x14ac:dyDescent="0.2">
      <c r="A51" s="40" t="s">
        <v>777</v>
      </c>
      <c r="B51" s="40">
        <v>31.04</v>
      </c>
      <c r="C51" s="40">
        <v>31.04</v>
      </c>
      <c r="D51" s="40">
        <v>31.04</v>
      </c>
      <c r="E51" s="40">
        <v>31.04</v>
      </c>
      <c r="G51" s="36">
        <v>45617</v>
      </c>
      <c r="H51" s="40">
        <v>11.73</v>
      </c>
      <c r="I51" s="40">
        <v>146.66999999999999</v>
      </c>
      <c r="J51" s="44"/>
      <c r="K51" s="40"/>
      <c r="L51" s="45">
        <v>11.73</v>
      </c>
      <c r="M51" s="46">
        <v>146.66999999999999</v>
      </c>
      <c r="N51" s="40">
        <f t="shared" si="0"/>
        <v>-4.8262277530978087E-2</v>
      </c>
      <c r="O51" s="40">
        <f t="shared" si="1"/>
        <v>5.3322521748597551E-3</v>
      </c>
      <c r="P51" s="40">
        <f t="shared" si="2"/>
        <v>5.346493933785737E-3</v>
      </c>
      <c r="Q51" s="40"/>
      <c r="R51" s="40"/>
      <c r="S51" t="s">
        <v>2857</v>
      </c>
      <c r="T51">
        <v>4.51</v>
      </c>
      <c r="U51" s="40">
        <f t="shared" si="3"/>
        <v>-1.5401844611506703E-2</v>
      </c>
      <c r="V51" s="40">
        <f t="shared" si="4"/>
        <v>4.51</v>
      </c>
      <c r="W51" s="40">
        <f t="shared" si="5"/>
        <v>-1.5401844611506703E-2</v>
      </c>
    </row>
    <row r="52" spans="1:23" x14ac:dyDescent="0.2">
      <c r="A52" s="40" t="s">
        <v>778</v>
      </c>
      <c r="B52" s="40">
        <v>28.62</v>
      </c>
      <c r="C52" s="40">
        <v>28.62</v>
      </c>
      <c r="D52" s="40">
        <v>28.62</v>
      </c>
      <c r="E52" s="40">
        <v>28.62</v>
      </c>
      <c r="G52" s="36">
        <v>45616</v>
      </c>
      <c r="H52" s="40">
        <v>12.31</v>
      </c>
      <c r="I52" s="40">
        <v>145.88999999999999</v>
      </c>
      <c r="J52" s="44"/>
      <c r="K52" s="40"/>
      <c r="L52" s="45">
        <v>12.31</v>
      </c>
      <c r="M52" s="46">
        <v>145.88999999999999</v>
      </c>
      <c r="N52" s="40">
        <f t="shared" si="0"/>
        <v>7.1549228909768697E-2</v>
      </c>
      <c r="O52" s="40">
        <f t="shared" si="1"/>
        <v>-7.6476985920707645E-3</v>
      </c>
      <c r="P52" s="40">
        <f t="shared" si="2"/>
        <v>-7.618529351744811E-3</v>
      </c>
      <c r="Q52" s="40"/>
      <c r="R52" s="40"/>
      <c r="S52" t="s">
        <v>2856</v>
      </c>
      <c r="T52">
        <v>4.58</v>
      </c>
      <c r="U52" s="40">
        <f t="shared" si="3"/>
        <v>-1.9460073554712274E-2</v>
      </c>
      <c r="V52" s="40">
        <f t="shared" si="4"/>
        <v>4.58</v>
      </c>
      <c r="W52" s="40">
        <f t="shared" si="5"/>
        <v>-1.9460073554712274E-2</v>
      </c>
    </row>
    <row r="53" spans="1:23" x14ac:dyDescent="0.2">
      <c r="A53" s="40" t="s">
        <v>779</v>
      </c>
      <c r="B53" s="40">
        <v>25.31</v>
      </c>
      <c r="C53" s="40">
        <v>25.31</v>
      </c>
      <c r="D53" s="40">
        <v>25.31</v>
      </c>
      <c r="E53" s="40">
        <v>25.31</v>
      </c>
      <c r="G53" s="36">
        <v>45615</v>
      </c>
      <c r="H53" s="40">
        <v>11.46</v>
      </c>
      <c r="I53" s="40">
        <v>147.01</v>
      </c>
      <c r="J53" s="44"/>
      <c r="K53" s="40"/>
      <c r="L53" s="45">
        <v>11.46</v>
      </c>
      <c r="M53" s="46">
        <v>147.01</v>
      </c>
      <c r="N53" s="40">
        <f t="shared" si="0"/>
        <v>-0.21085191280265306</v>
      </c>
      <c r="O53" s="40">
        <f t="shared" si="1"/>
        <v>4.7787334065077465E-2</v>
      </c>
      <c r="P53" s="40">
        <f t="shared" si="2"/>
        <v>4.8947556189796536E-2</v>
      </c>
      <c r="Q53" s="40"/>
      <c r="R53" s="40"/>
      <c r="S53" t="s">
        <v>2855</v>
      </c>
      <c r="T53">
        <v>4.67</v>
      </c>
      <c r="U53" s="40">
        <f t="shared" si="3"/>
        <v>0</v>
      </c>
      <c r="V53" s="40">
        <f t="shared" si="4"/>
        <v>4.67</v>
      </c>
      <c r="W53" s="40">
        <f t="shared" si="5"/>
        <v>0</v>
      </c>
    </row>
    <row r="54" spans="1:23" x14ac:dyDescent="0.2">
      <c r="A54" s="40" t="s">
        <v>780</v>
      </c>
      <c r="B54" s="40">
        <v>21.02</v>
      </c>
      <c r="C54" s="40">
        <v>21.02</v>
      </c>
      <c r="D54" s="40">
        <v>21.02</v>
      </c>
      <c r="E54" s="40">
        <v>21.02</v>
      </c>
      <c r="G54" s="36">
        <v>45614</v>
      </c>
      <c r="H54" s="40">
        <v>14.15</v>
      </c>
      <c r="I54" s="40">
        <v>140.15</v>
      </c>
      <c r="J54" s="44"/>
      <c r="K54" s="40"/>
      <c r="L54" s="45">
        <v>14.15</v>
      </c>
      <c r="M54" s="46">
        <v>140.15</v>
      </c>
      <c r="N54" s="40">
        <f t="shared" si="0"/>
        <v>-6.3654738490563412E-2</v>
      </c>
      <c r="O54" s="40">
        <f t="shared" si="1"/>
        <v>-1.2972925000442384E-2</v>
      </c>
      <c r="P54" s="40">
        <f t="shared" si="2"/>
        <v>-1.2889139315396423E-2</v>
      </c>
      <c r="Q54" s="40"/>
      <c r="R54" s="40"/>
      <c r="S54" t="s">
        <v>2854</v>
      </c>
      <c r="T54">
        <v>4.67</v>
      </c>
      <c r="U54" s="40">
        <f t="shared" si="3"/>
        <v>2.1436235432513691E-3</v>
      </c>
      <c r="V54" s="40">
        <f t="shared" si="4"/>
        <v>4.67</v>
      </c>
      <c r="W54" s="40">
        <f t="shared" si="5"/>
        <v>2.1436235432513691E-3</v>
      </c>
    </row>
    <row r="55" spans="1:23" x14ac:dyDescent="0.2">
      <c r="A55" s="40" t="s">
        <v>781</v>
      </c>
      <c r="B55" s="40">
        <v>20.170000000000002</v>
      </c>
      <c r="C55" s="40">
        <v>20.170000000000002</v>
      </c>
      <c r="D55" s="40">
        <v>20.170000000000002</v>
      </c>
      <c r="E55" s="40">
        <v>20.170000000000002</v>
      </c>
      <c r="G55" s="36">
        <v>45611</v>
      </c>
      <c r="H55" s="40">
        <v>15.08</v>
      </c>
      <c r="I55" s="40">
        <v>141.97999999999999</v>
      </c>
      <c r="J55" s="44"/>
      <c r="K55" s="40"/>
      <c r="L55" s="45">
        <v>15.08</v>
      </c>
      <c r="M55" s="46">
        <v>141.97999999999999</v>
      </c>
      <c r="N55" s="40">
        <f t="shared" si="0"/>
        <v>5.7314456595980286E-2</v>
      </c>
      <c r="O55" s="40">
        <f t="shared" si="1"/>
        <v>-3.3112396875841478E-2</v>
      </c>
      <c r="P55" s="40">
        <f t="shared" si="2"/>
        <v>-3.2570182611065694E-2</v>
      </c>
      <c r="Q55" s="40"/>
      <c r="R55" s="40"/>
      <c r="S55" t="s">
        <v>2853</v>
      </c>
      <c r="T55">
        <v>4.66</v>
      </c>
      <c r="U55" s="40">
        <f t="shared" si="3"/>
        <v>-2.1436235432513418E-3</v>
      </c>
      <c r="V55" s="40">
        <f t="shared" si="4"/>
        <v>4.66</v>
      </c>
      <c r="W55" s="40">
        <f t="shared" si="5"/>
        <v>-2.1436235432513418E-3</v>
      </c>
    </row>
    <row r="56" spans="1:23" x14ac:dyDescent="0.2">
      <c r="A56" s="40" t="s">
        <v>782</v>
      </c>
      <c r="B56" s="40">
        <v>19.059999999999999</v>
      </c>
      <c r="C56" s="40">
        <v>19.059999999999999</v>
      </c>
      <c r="D56" s="40">
        <v>19.059999999999999</v>
      </c>
      <c r="E56" s="40">
        <v>19.059999999999999</v>
      </c>
      <c r="G56" s="36">
        <v>45610</v>
      </c>
      <c r="H56" s="40">
        <v>14.24</v>
      </c>
      <c r="I56" s="40">
        <v>146.76</v>
      </c>
      <c r="J56" s="44"/>
      <c r="K56" s="40"/>
      <c r="L56" s="45">
        <v>14.24</v>
      </c>
      <c r="M56" s="46">
        <v>146.76</v>
      </c>
      <c r="N56" s="40">
        <f t="shared" si="0"/>
        <v>1.8427169178165587E-2</v>
      </c>
      <c r="O56" s="40">
        <f t="shared" si="1"/>
        <v>3.3443705880842637E-3</v>
      </c>
      <c r="P56" s="40">
        <f t="shared" si="2"/>
        <v>3.349969234976281E-3</v>
      </c>
      <c r="Q56" s="40"/>
      <c r="R56" s="40"/>
      <c r="S56" t="s">
        <v>2852</v>
      </c>
      <c r="T56">
        <v>4.67</v>
      </c>
      <c r="U56" s="40">
        <f t="shared" si="3"/>
        <v>2.1436235432513691E-3</v>
      </c>
      <c r="V56" s="40">
        <f t="shared" si="4"/>
        <v>4.67</v>
      </c>
      <c r="W56" s="40">
        <f t="shared" si="5"/>
        <v>2.1436235432513691E-3</v>
      </c>
    </row>
    <row r="57" spans="1:23" x14ac:dyDescent="0.2">
      <c r="A57" s="40" t="s">
        <v>783</v>
      </c>
      <c r="B57" s="40">
        <v>17.420000000000002</v>
      </c>
      <c r="C57" s="40">
        <v>17.420000000000002</v>
      </c>
      <c r="D57" s="40">
        <v>17.420000000000002</v>
      </c>
      <c r="E57" s="40">
        <v>17.420000000000002</v>
      </c>
      <c r="G57" s="36">
        <v>45609</v>
      </c>
      <c r="H57" s="40">
        <v>13.98</v>
      </c>
      <c r="I57" s="40">
        <v>146.27000000000001</v>
      </c>
      <c r="J57" s="44"/>
      <c r="K57" s="40"/>
      <c r="L57" s="45">
        <v>13.98</v>
      </c>
      <c r="M57" s="46">
        <v>146.27000000000001</v>
      </c>
      <c r="N57" s="40">
        <f t="shared" si="0"/>
        <v>-5.7674891474043206E-2</v>
      </c>
      <c r="O57" s="40">
        <f t="shared" si="1"/>
        <v>-1.3715587087980549E-2</v>
      </c>
      <c r="P57" s="40">
        <f t="shared" si="2"/>
        <v>-1.3621956976195171E-2</v>
      </c>
      <c r="Q57" s="40"/>
      <c r="R57" s="40"/>
      <c r="S57" t="s">
        <v>2851</v>
      </c>
      <c r="T57">
        <v>4.66</v>
      </c>
      <c r="U57" s="40">
        <f t="shared" si="3"/>
        <v>-2.1436235432513418E-3</v>
      </c>
      <c r="V57" s="40">
        <f t="shared" si="4"/>
        <v>4.66</v>
      </c>
      <c r="W57" s="40">
        <f t="shared" si="5"/>
        <v>-2.1436235432513418E-3</v>
      </c>
    </row>
    <row r="58" spans="1:23" x14ac:dyDescent="0.2">
      <c r="A58" s="40" t="s">
        <v>784</v>
      </c>
      <c r="B58" s="40">
        <v>17.489999999999998</v>
      </c>
      <c r="C58" s="40">
        <v>17.489999999999998</v>
      </c>
      <c r="D58" s="40">
        <v>17.489999999999998</v>
      </c>
      <c r="E58" s="40">
        <v>17.489999999999998</v>
      </c>
      <c r="G58" s="36">
        <v>45608</v>
      </c>
      <c r="H58" s="40">
        <v>14.81</v>
      </c>
      <c r="I58" s="40">
        <v>148.29</v>
      </c>
      <c r="J58" s="44"/>
      <c r="K58" s="40"/>
      <c r="L58" s="45">
        <v>14.81</v>
      </c>
      <c r="M58" s="46">
        <v>148.29</v>
      </c>
      <c r="N58" s="40">
        <f t="shared" si="0"/>
        <v>0.12040293996500252</v>
      </c>
      <c r="O58" s="40">
        <f t="shared" si="1"/>
        <v>2.0644575808955484E-2</v>
      </c>
      <c r="P58" s="40">
        <f t="shared" si="2"/>
        <v>2.0859149111937224E-2</v>
      </c>
      <c r="Q58" s="40"/>
      <c r="R58" s="40"/>
      <c r="S58" t="s">
        <v>2850</v>
      </c>
      <c r="T58">
        <v>4.67</v>
      </c>
      <c r="U58" s="40">
        <f t="shared" si="3"/>
        <v>-2.1390382487494184E-3</v>
      </c>
      <c r="V58" s="40">
        <f t="shared" si="4"/>
        <v>4.67</v>
      </c>
      <c r="W58" s="40">
        <f t="shared" si="5"/>
        <v>-2.1390382487494184E-3</v>
      </c>
    </row>
    <row r="59" spans="1:23" x14ac:dyDescent="0.2">
      <c r="A59" s="40" t="s">
        <v>785</v>
      </c>
      <c r="B59" s="40">
        <v>19.84</v>
      </c>
      <c r="C59" s="40">
        <v>19.84</v>
      </c>
      <c r="D59" s="40">
        <v>19.84</v>
      </c>
      <c r="E59" s="40">
        <v>19.84</v>
      </c>
      <c r="G59" s="36">
        <v>45607</v>
      </c>
      <c r="H59" s="40">
        <v>13.13</v>
      </c>
      <c r="I59" s="40">
        <v>145.26</v>
      </c>
      <c r="J59" s="44"/>
      <c r="K59" s="40"/>
      <c r="L59" s="45">
        <v>13.13</v>
      </c>
      <c r="M59" s="46">
        <v>145.26</v>
      </c>
      <c r="N59" s="40">
        <f t="shared" si="0"/>
        <v>2.467357240606197E-2</v>
      </c>
      <c r="O59" s="40">
        <f t="shared" si="1"/>
        <v>-1.618390336797439E-2</v>
      </c>
      <c r="P59" s="40">
        <f t="shared" si="2"/>
        <v>-1.6053647632595033E-2</v>
      </c>
      <c r="Q59" s="40"/>
      <c r="R59" s="40"/>
      <c r="S59" t="s">
        <v>2849</v>
      </c>
      <c r="T59">
        <v>4.68</v>
      </c>
      <c r="U59" s="40">
        <f t="shared" si="3"/>
        <v>-4.2643987864576507E-3</v>
      </c>
      <c r="V59" s="40">
        <f t="shared" si="4"/>
        <v>4.68</v>
      </c>
      <c r="W59" s="40">
        <f t="shared" si="5"/>
        <v>-4.2643987864576507E-3</v>
      </c>
    </row>
    <row r="60" spans="1:23" x14ac:dyDescent="0.2">
      <c r="A60" s="40" t="s">
        <v>786</v>
      </c>
      <c r="B60" s="40">
        <v>17.46</v>
      </c>
      <c r="C60" s="40">
        <v>17.46</v>
      </c>
      <c r="D60" s="40">
        <v>17.46</v>
      </c>
      <c r="E60" s="40">
        <v>17.46</v>
      </c>
      <c r="G60" s="36">
        <v>45604</v>
      </c>
      <c r="H60" s="40">
        <v>12.81</v>
      </c>
      <c r="I60" s="40">
        <v>147.63</v>
      </c>
      <c r="J60" s="44"/>
      <c r="K60" s="40"/>
      <c r="L60" s="45">
        <v>12.81</v>
      </c>
      <c r="M60" s="46">
        <v>147.63</v>
      </c>
      <c r="N60" s="40">
        <f t="shared" si="0"/>
        <v>-8.3100538997630632E-2</v>
      </c>
      <c r="O60" s="40">
        <f t="shared" si="1"/>
        <v>-8.4314687879987818E-3</v>
      </c>
      <c r="P60" s="40">
        <f t="shared" si="2"/>
        <v>-8.3960236432025787E-3</v>
      </c>
      <c r="Q60" s="40"/>
      <c r="R60" s="40"/>
      <c r="S60" t="s">
        <v>2848</v>
      </c>
      <c r="T60">
        <v>4.7</v>
      </c>
      <c r="U60" s="40">
        <f t="shared" si="3"/>
        <v>0</v>
      </c>
      <c r="V60" s="40">
        <f t="shared" si="4"/>
        <v>4.7</v>
      </c>
      <c r="W60" s="40">
        <f t="shared" si="5"/>
        <v>0</v>
      </c>
    </row>
    <row r="61" spans="1:23" x14ac:dyDescent="0.2">
      <c r="A61" s="40" t="s">
        <v>787</v>
      </c>
      <c r="B61" s="40">
        <v>16.98</v>
      </c>
      <c r="C61" s="40">
        <v>16.98</v>
      </c>
      <c r="D61" s="40">
        <v>16.98</v>
      </c>
      <c r="E61" s="40">
        <v>16.98</v>
      </c>
      <c r="G61" s="36">
        <v>45603</v>
      </c>
      <c r="H61" s="40">
        <v>13.92</v>
      </c>
      <c r="I61" s="40">
        <v>148.88</v>
      </c>
      <c r="J61" s="44"/>
      <c r="K61" s="40"/>
      <c r="L61" s="45">
        <v>13.92</v>
      </c>
      <c r="M61" s="46">
        <v>148.88</v>
      </c>
      <c r="N61" s="40">
        <f t="shared" si="0"/>
        <v>-5.7306747089849834E-3</v>
      </c>
      <c r="O61" s="40">
        <f t="shared" si="1"/>
        <v>2.2208797611182083E-2</v>
      </c>
      <c r="P61" s="40">
        <f t="shared" si="2"/>
        <v>2.2457248815328491E-2</v>
      </c>
      <c r="Q61" s="40"/>
      <c r="R61" s="40"/>
      <c r="S61" t="s">
        <v>2847</v>
      </c>
      <c r="T61">
        <v>4.7</v>
      </c>
      <c r="U61" s="40">
        <f t="shared" si="3"/>
        <v>-2.1253993123134776E-3</v>
      </c>
      <c r="V61" s="40">
        <f t="shared" si="4"/>
        <v>4.7</v>
      </c>
      <c r="W61" s="40">
        <f t="shared" si="5"/>
        <v>-2.1253993123134776E-3</v>
      </c>
    </row>
    <row r="62" spans="1:23" x14ac:dyDescent="0.2">
      <c r="A62" s="40" t="s">
        <v>788</v>
      </c>
      <c r="B62" s="40">
        <v>16.309999999999999</v>
      </c>
      <c r="C62" s="40">
        <v>16.309999999999999</v>
      </c>
      <c r="D62" s="40">
        <v>16.309999999999999</v>
      </c>
      <c r="E62" s="40">
        <v>16.309999999999999</v>
      </c>
      <c r="G62" s="36">
        <v>45602</v>
      </c>
      <c r="H62" s="40">
        <v>14</v>
      </c>
      <c r="I62" s="40">
        <v>145.61000000000001</v>
      </c>
      <c r="J62" s="44"/>
      <c r="K62" s="40"/>
      <c r="L62" s="45">
        <v>14</v>
      </c>
      <c r="M62" s="46">
        <v>145.61000000000001</v>
      </c>
      <c r="N62" s="40">
        <f t="shared" si="0"/>
        <v>6.7208749693450101E-2</v>
      </c>
      <c r="O62" s="40">
        <f t="shared" si="1"/>
        <v>3.993245597761879E-2</v>
      </c>
      <c r="P62" s="40">
        <f t="shared" si="2"/>
        <v>4.0740476020298885E-2</v>
      </c>
      <c r="Q62" s="40"/>
      <c r="R62" s="40"/>
      <c r="S62" t="s">
        <v>2846</v>
      </c>
      <c r="T62">
        <v>4.71</v>
      </c>
      <c r="U62" s="40">
        <f t="shared" si="3"/>
        <v>0</v>
      </c>
      <c r="V62" s="40">
        <f t="shared" si="4"/>
        <v>4.71</v>
      </c>
      <c r="W62" s="40">
        <f t="shared" si="5"/>
        <v>0</v>
      </c>
    </row>
    <row r="63" spans="1:23" x14ac:dyDescent="0.2">
      <c r="A63" s="41">
        <v>40547</v>
      </c>
      <c r="B63" s="40">
        <v>15.15</v>
      </c>
      <c r="C63" s="40">
        <v>15.15</v>
      </c>
      <c r="D63" s="40">
        <v>15.15</v>
      </c>
      <c r="E63" s="40">
        <v>15.15</v>
      </c>
      <c r="G63" s="36">
        <v>45601</v>
      </c>
      <c r="H63" s="40">
        <v>13.09</v>
      </c>
      <c r="I63" s="40">
        <v>139.91</v>
      </c>
      <c r="J63" s="44"/>
      <c r="K63" s="40"/>
      <c r="L63" s="45">
        <v>13.09</v>
      </c>
      <c r="M63" s="46">
        <v>139.91</v>
      </c>
      <c r="N63" s="40">
        <f t="shared" si="0"/>
        <v>-5.5714370267714912E-2</v>
      </c>
      <c r="O63" s="40">
        <f t="shared" si="1"/>
        <v>2.7976893515939023E-2</v>
      </c>
      <c r="P63" s="40">
        <f t="shared" si="2"/>
        <v>2.8371922087467732E-2</v>
      </c>
      <c r="Q63" s="40"/>
      <c r="R63" s="40"/>
      <c r="S63" t="s">
        <v>2845</v>
      </c>
      <c r="T63">
        <v>4.71</v>
      </c>
      <c r="U63" s="40">
        <f t="shared" si="3"/>
        <v>-2.1208915691376244E-3</v>
      </c>
      <c r="V63" s="40">
        <f t="shared" si="4"/>
        <v>4.71</v>
      </c>
      <c r="W63" s="40">
        <f t="shared" si="5"/>
        <v>-2.1208915691376244E-3</v>
      </c>
    </row>
    <row r="64" spans="1:23" x14ac:dyDescent="0.2">
      <c r="A64" s="41">
        <v>40637</v>
      </c>
      <c r="B64" s="40">
        <v>16.72</v>
      </c>
      <c r="C64" s="40">
        <v>16.72</v>
      </c>
      <c r="D64" s="40">
        <v>16.72</v>
      </c>
      <c r="E64" s="40">
        <v>16.72</v>
      </c>
      <c r="G64" s="36">
        <v>45600</v>
      </c>
      <c r="H64" s="40">
        <v>13.84</v>
      </c>
      <c r="I64" s="40">
        <v>136.05000000000001</v>
      </c>
      <c r="J64" s="44"/>
      <c r="K64" s="40"/>
      <c r="L64" s="45">
        <v>13.84</v>
      </c>
      <c r="M64" s="46">
        <v>136.05000000000001</v>
      </c>
      <c r="N64" s="40">
        <f t="shared" si="0"/>
        <v>-0.13560655013376616</v>
      </c>
      <c r="O64" s="40">
        <f t="shared" si="1"/>
        <v>4.7891047510806297E-3</v>
      </c>
      <c r="P64" s="40">
        <f t="shared" si="2"/>
        <v>4.8005908419498202E-3</v>
      </c>
      <c r="Q64" s="40"/>
      <c r="R64" s="40"/>
      <c r="S64" t="s">
        <v>2844</v>
      </c>
      <c r="T64">
        <v>4.72</v>
      </c>
      <c r="U64" s="40">
        <f t="shared" si="3"/>
        <v>-4.2283361095211761E-3</v>
      </c>
      <c r="V64" s="40">
        <f t="shared" si="4"/>
        <v>4.72</v>
      </c>
      <c r="W64" s="40">
        <f t="shared" si="5"/>
        <v>-4.2283361095211761E-3</v>
      </c>
    </row>
    <row r="65" spans="1:23" x14ac:dyDescent="0.2">
      <c r="A65" s="41">
        <v>40667</v>
      </c>
      <c r="B65" s="40">
        <v>15.81</v>
      </c>
      <c r="C65" s="40">
        <v>15.81</v>
      </c>
      <c r="D65" s="40">
        <v>15.81</v>
      </c>
      <c r="E65" s="40">
        <v>15.81</v>
      </c>
      <c r="G65" s="36">
        <v>45597</v>
      </c>
      <c r="H65" s="40">
        <v>15.85</v>
      </c>
      <c r="I65" s="40">
        <v>135.4</v>
      </c>
      <c r="J65" s="44"/>
      <c r="K65" s="40"/>
      <c r="L65" s="45">
        <v>15.85</v>
      </c>
      <c r="M65" s="46">
        <v>135.4</v>
      </c>
      <c r="N65" s="40">
        <f t="shared" si="0"/>
        <v>-0.44363374331064187</v>
      </c>
      <c r="O65" s="40">
        <f t="shared" si="1"/>
        <v>1.9690373626400793E-2</v>
      </c>
      <c r="P65" s="40">
        <f t="shared" si="2"/>
        <v>1.9885507683037172E-2</v>
      </c>
      <c r="Q65" s="40"/>
      <c r="R65" s="40"/>
      <c r="S65" t="s">
        <v>2842</v>
      </c>
      <c r="T65">
        <v>4.74</v>
      </c>
      <c r="U65" s="40">
        <f t="shared" si="3"/>
        <v>6.3492276786587445E-3</v>
      </c>
      <c r="V65" s="40">
        <f t="shared" si="4"/>
        <v>4.74</v>
      </c>
      <c r="W65" s="40">
        <f t="shared" si="5"/>
        <v>6.3492276786587445E-3</v>
      </c>
    </row>
    <row r="66" spans="1:23" x14ac:dyDescent="0.2">
      <c r="A66" s="41">
        <v>40698</v>
      </c>
      <c r="B66" s="40">
        <v>15.21</v>
      </c>
      <c r="C66" s="40">
        <v>15.21</v>
      </c>
      <c r="D66" s="40">
        <v>15.21</v>
      </c>
      <c r="E66" s="40">
        <v>15.21</v>
      </c>
      <c r="G66" s="36">
        <v>45596</v>
      </c>
      <c r="H66" s="40">
        <v>24.7</v>
      </c>
      <c r="I66" s="40">
        <v>132.76</v>
      </c>
      <c r="J66" s="44"/>
      <c r="K66" s="40"/>
      <c r="L66" s="45">
        <v>24.7</v>
      </c>
      <c r="M66" s="46">
        <v>132.76</v>
      </c>
      <c r="N66" s="40">
        <f t="shared" si="0"/>
        <v>-4.2407781030342172E-2</v>
      </c>
      <c r="O66" s="40">
        <f t="shared" si="1"/>
        <v>-4.8338118655820057E-2</v>
      </c>
      <c r="P66" s="40">
        <f t="shared" si="2"/>
        <v>-4.718843076039772E-2</v>
      </c>
      <c r="Q66" s="40"/>
      <c r="R66" s="40"/>
      <c r="S66" t="s">
        <v>2841</v>
      </c>
      <c r="T66">
        <v>4.71</v>
      </c>
      <c r="U66" s="40">
        <f t="shared" si="3"/>
        <v>2.1253993123135366E-3</v>
      </c>
      <c r="V66" s="40">
        <f t="shared" si="4"/>
        <v>4.71</v>
      </c>
      <c r="W66" s="40">
        <f t="shared" si="5"/>
        <v>2.1253993123135366E-3</v>
      </c>
    </row>
    <row r="67" spans="1:23" x14ac:dyDescent="0.2">
      <c r="A67" s="41">
        <v>40728</v>
      </c>
      <c r="B67" s="40">
        <v>15.93</v>
      </c>
      <c r="C67" s="40">
        <v>15.93</v>
      </c>
      <c r="D67" s="40">
        <v>15.93</v>
      </c>
      <c r="E67" s="40">
        <v>15.93</v>
      </c>
      <c r="G67" s="36">
        <v>45595</v>
      </c>
      <c r="H67" s="40">
        <v>25.77</v>
      </c>
      <c r="I67" s="40">
        <v>139.33500000000001</v>
      </c>
      <c r="J67" s="44"/>
      <c r="K67" s="40"/>
      <c r="L67" s="45">
        <v>25.77</v>
      </c>
      <c r="M67" s="46">
        <v>139.33500000000001</v>
      </c>
      <c r="N67" s="40">
        <f t="shared" ref="N67:N130" si="6">LN(L67/L68)</f>
        <v>9.348801480134164E-2</v>
      </c>
      <c r="O67" s="40">
        <f t="shared" ref="O67:O130" si="7">LN(M67/M68)</f>
        <v>-1.3650264518956406E-2</v>
      </c>
      <c r="P67" s="40">
        <f t="shared" ref="P67:P130" si="8">(M67-M68)/M68</f>
        <v>-1.3557522123893748E-2</v>
      </c>
      <c r="Q67" s="40"/>
      <c r="R67" s="40"/>
      <c r="S67" t="s">
        <v>2840</v>
      </c>
      <c r="T67">
        <v>4.7</v>
      </c>
      <c r="U67" s="40">
        <f t="shared" ref="U67:U130" si="9">LN(T67/T68)</f>
        <v>2.1506205220963682E-2</v>
      </c>
      <c r="V67" s="40">
        <f t="shared" ref="V67:V130" si="10">IF(T67=0, 0.001,T67)</f>
        <v>4.7</v>
      </c>
      <c r="W67" s="40">
        <f t="shared" ref="W67:W130" si="11">LN(V67/V68)</f>
        <v>2.1506205220963682E-2</v>
      </c>
    </row>
    <row r="68" spans="1:23" x14ac:dyDescent="0.2">
      <c r="A68" s="41">
        <v>40759</v>
      </c>
      <c r="B68" s="40">
        <v>17.21</v>
      </c>
      <c r="C68" s="40">
        <v>17.21</v>
      </c>
      <c r="D68" s="40">
        <v>17.21</v>
      </c>
      <c r="E68" s="40">
        <v>17.21</v>
      </c>
      <c r="G68" s="36">
        <v>45594</v>
      </c>
      <c r="H68" s="40">
        <v>23.47</v>
      </c>
      <c r="I68" s="40">
        <v>141.25</v>
      </c>
      <c r="J68" s="44"/>
      <c r="K68" s="40"/>
      <c r="L68" s="45">
        <v>23.47</v>
      </c>
      <c r="M68" s="46">
        <v>141.25</v>
      </c>
      <c r="N68" s="40">
        <f t="shared" si="6"/>
        <v>-0.10429475833644385</v>
      </c>
      <c r="O68" s="40">
        <f t="shared" si="7"/>
        <v>5.1815426289240412E-3</v>
      </c>
      <c r="P68" s="40">
        <f t="shared" si="8"/>
        <v>5.1949900370053355E-3</v>
      </c>
      <c r="Q68" s="40"/>
      <c r="R68" s="40"/>
      <c r="S68" t="s">
        <v>2839</v>
      </c>
      <c r="T68">
        <v>4.5999999999999996</v>
      </c>
      <c r="U68" s="40">
        <f t="shared" si="9"/>
        <v>2.1762794225954484E-3</v>
      </c>
      <c r="V68" s="40">
        <f t="shared" si="10"/>
        <v>4.5999999999999996</v>
      </c>
      <c r="W68" s="40">
        <f t="shared" si="11"/>
        <v>2.1762794225954484E-3</v>
      </c>
    </row>
    <row r="69" spans="1:23" x14ac:dyDescent="0.2">
      <c r="A69" s="41">
        <v>40851</v>
      </c>
      <c r="B69" s="40">
        <v>18.39</v>
      </c>
      <c r="C69" s="40">
        <v>18.39</v>
      </c>
      <c r="D69" s="40">
        <v>18.39</v>
      </c>
      <c r="E69" s="40">
        <v>18.39</v>
      </c>
      <c r="G69" s="36">
        <v>45593</v>
      </c>
      <c r="H69" s="40">
        <v>26.05</v>
      </c>
      <c r="I69" s="40">
        <v>140.52000000000001</v>
      </c>
      <c r="J69" s="44"/>
      <c r="K69" s="40"/>
      <c r="L69" s="45">
        <v>26.05</v>
      </c>
      <c r="M69" s="46">
        <v>140.52000000000001</v>
      </c>
      <c r="N69" s="40">
        <f t="shared" si="6"/>
        <v>9.9194874779792302E-2</v>
      </c>
      <c r="O69" s="40">
        <f t="shared" si="7"/>
        <v>-7.2325352500122939E-3</v>
      </c>
      <c r="P69" s="40">
        <f t="shared" si="8"/>
        <v>-7.2064434082236952E-3</v>
      </c>
      <c r="Q69" s="40"/>
      <c r="R69" s="40"/>
      <c r="S69" t="s">
        <v>2838</v>
      </c>
      <c r="T69">
        <v>4.59</v>
      </c>
      <c r="U69" s="40">
        <f t="shared" si="9"/>
        <v>-1.5135424065100803E-2</v>
      </c>
      <c r="V69" s="40">
        <f t="shared" si="10"/>
        <v>4.59</v>
      </c>
      <c r="W69" s="40">
        <f t="shared" si="11"/>
        <v>-1.5135424065100803E-2</v>
      </c>
    </row>
    <row r="70" spans="1:23" x14ac:dyDescent="0.2">
      <c r="A70" s="41">
        <v>40881</v>
      </c>
      <c r="B70" s="40">
        <v>18.93</v>
      </c>
      <c r="C70" s="40">
        <v>18.93</v>
      </c>
      <c r="D70" s="40">
        <v>18.93</v>
      </c>
      <c r="E70" s="40">
        <v>18.93</v>
      </c>
      <c r="G70" s="36">
        <v>45590</v>
      </c>
      <c r="H70" s="40">
        <v>23.59</v>
      </c>
      <c r="I70" s="40">
        <v>141.54</v>
      </c>
      <c r="J70" s="44"/>
      <c r="K70" s="40"/>
      <c r="L70" s="45">
        <v>23.59</v>
      </c>
      <c r="M70" s="46">
        <v>141.54</v>
      </c>
      <c r="N70" s="40">
        <f t="shared" si="6"/>
        <v>8.0290018173127642E-2</v>
      </c>
      <c r="O70" s="40">
        <f t="shared" si="7"/>
        <v>8.0156485210877634E-3</v>
      </c>
      <c r="P70" s="40">
        <f t="shared" si="8"/>
        <v>8.0478598390427702E-3</v>
      </c>
      <c r="Q70" s="40"/>
      <c r="R70" s="40"/>
      <c r="S70" t="s">
        <v>2837</v>
      </c>
      <c r="T70">
        <v>4.66</v>
      </c>
      <c r="U70" s="40">
        <f t="shared" si="9"/>
        <v>-4.2826617920007359E-3</v>
      </c>
      <c r="V70" s="40">
        <f t="shared" si="10"/>
        <v>4.66</v>
      </c>
      <c r="W70" s="40">
        <f t="shared" si="11"/>
        <v>-4.2826617920007359E-3</v>
      </c>
    </row>
    <row r="71" spans="1:23" x14ac:dyDescent="0.2">
      <c r="A71" s="40" t="s">
        <v>789</v>
      </c>
      <c r="B71" s="40">
        <v>17.97</v>
      </c>
      <c r="C71" s="40">
        <v>17.97</v>
      </c>
      <c r="D71" s="40">
        <v>17.97</v>
      </c>
      <c r="E71" s="40">
        <v>17.97</v>
      </c>
      <c r="G71" s="36">
        <v>45589</v>
      </c>
      <c r="H71" s="40">
        <v>21.77</v>
      </c>
      <c r="I71" s="40">
        <v>140.41</v>
      </c>
      <c r="J71" s="44"/>
      <c r="K71" s="40"/>
      <c r="L71" s="45">
        <v>21.77</v>
      </c>
      <c r="M71" s="46">
        <v>140.41</v>
      </c>
      <c r="N71" s="40">
        <f t="shared" si="6"/>
        <v>2.7947790099682124E-2</v>
      </c>
      <c r="O71" s="40">
        <f t="shared" si="7"/>
        <v>6.0720978079774222E-3</v>
      </c>
      <c r="P71" s="40">
        <f t="shared" si="8"/>
        <v>6.0905703640011053E-3</v>
      </c>
      <c r="Q71" s="40"/>
      <c r="R71" s="40"/>
      <c r="S71" t="s">
        <v>2836</v>
      </c>
      <c r="T71">
        <v>4.68</v>
      </c>
      <c r="U71" s="40">
        <f t="shared" si="9"/>
        <v>-2.1344725286327922E-3</v>
      </c>
      <c r="V71" s="40">
        <f t="shared" si="10"/>
        <v>4.68</v>
      </c>
      <c r="W71" s="40">
        <f t="shared" si="11"/>
        <v>-2.1344725286327922E-3</v>
      </c>
    </row>
    <row r="72" spans="1:23" x14ac:dyDescent="0.2">
      <c r="A72" s="40" t="s">
        <v>790</v>
      </c>
      <c r="B72" s="40">
        <v>15.99</v>
      </c>
      <c r="C72" s="40">
        <v>15.99</v>
      </c>
      <c r="D72" s="40">
        <v>15.99</v>
      </c>
      <c r="E72" s="40">
        <v>15.99</v>
      </c>
      <c r="G72" s="36">
        <v>45588</v>
      </c>
      <c r="H72" s="40">
        <v>21.17</v>
      </c>
      <c r="I72" s="40">
        <v>139.56</v>
      </c>
      <c r="J72" s="44"/>
      <c r="K72" s="40"/>
      <c r="L72" s="45">
        <v>21.17</v>
      </c>
      <c r="M72" s="46">
        <v>139.56</v>
      </c>
      <c r="N72" s="40">
        <f t="shared" si="6"/>
        <v>0.13535503974774052</v>
      </c>
      <c r="O72" s="40">
        <f t="shared" si="7"/>
        <v>-2.8467399987712163E-2</v>
      </c>
      <c r="P72" s="40">
        <f t="shared" si="8"/>
        <v>-2.8066021310676238E-2</v>
      </c>
      <c r="Q72" s="40"/>
      <c r="R72" s="40"/>
      <c r="S72" t="s">
        <v>2835</v>
      </c>
      <c r="T72">
        <v>4.6900000000000004</v>
      </c>
      <c r="U72" s="40">
        <f t="shared" si="9"/>
        <v>-4.2553255701382716E-3</v>
      </c>
      <c r="V72" s="40">
        <f t="shared" si="10"/>
        <v>4.6900000000000004</v>
      </c>
      <c r="W72" s="40">
        <f t="shared" si="11"/>
        <v>-4.2553255701382716E-3</v>
      </c>
    </row>
    <row r="73" spans="1:23" x14ac:dyDescent="0.2">
      <c r="A73" s="40" t="s">
        <v>791</v>
      </c>
      <c r="B73" s="40">
        <v>14.28</v>
      </c>
      <c r="C73" s="40">
        <v>14.28</v>
      </c>
      <c r="D73" s="40">
        <v>14.28</v>
      </c>
      <c r="E73" s="40">
        <v>14.28</v>
      </c>
      <c r="G73" s="36">
        <v>45587</v>
      </c>
      <c r="H73" s="40">
        <v>18.489999999999998</v>
      </c>
      <c r="I73" s="40">
        <v>143.59</v>
      </c>
      <c r="J73" s="44"/>
      <c r="K73" s="40"/>
      <c r="L73" s="45">
        <v>18.489999999999998</v>
      </c>
      <c r="M73" s="46">
        <v>143.59</v>
      </c>
      <c r="N73" s="40">
        <f t="shared" si="6"/>
        <v>0.10361934863633064</v>
      </c>
      <c r="O73" s="40">
        <f t="shared" si="7"/>
        <v>-8.3536377987001502E-4</v>
      </c>
      <c r="P73" s="40">
        <f t="shared" si="8"/>
        <v>-8.3501496068474391E-4</v>
      </c>
      <c r="Q73" s="40"/>
      <c r="R73" s="40"/>
      <c r="S73" t="s">
        <v>2834</v>
      </c>
      <c r="T73">
        <v>4.71</v>
      </c>
      <c r="U73" s="40">
        <f t="shared" si="9"/>
        <v>-2.7226812700213925E-2</v>
      </c>
      <c r="V73" s="40">
        <f t="shared" si="10"/>
        <v>4.71</v>
      </c>
      <c r="W73" s="40">
        <f t="shared" si="11"/>
        <v>-2.7226812700213925E-2</v>
      </c>
    </row>
    <row r="74" spans="1:23" x14ac:dyDescent="0.2">
      <c r="A74" s="40" t="s">
        <v>792</v>
      </c>
      <c r="B74" s="40">
        <v>17.63</v>
      </c>
      <c r="C74" s="40">
        <v>17.63</v>
      </c>
      <c r="D74" s="40">
        <v>17.63</v>
      </c>
      <c r="E74" s="40">
        <v>17.63</v>
      </c>
      <c r="G74" s="36">
        <v>45586</v>
      </c>
      <c r="H74" s="40">
        <v>16.670000000000002</v>
      </c>
      <c r="I74" s="40">
        <v>143.71</v>
      </c>
      <c r="J74" s="44"/>
      <c r="K74" s="40"/>
      <c r="L74" s="45">
        <v>16.670000000000002</v>
      </c>
      <c r="M74" s="46">
        <v>143.71</v>
      </c>
      <c r="N74" s="40">
        <f t="shared" si="6"/>
        <v>1.0856560191195281E-2</v>
      </c>
      <c r="O74" s="40">
        <f t="shared" si="7"/>
        <v>4.0543694928950949E-2</v>
      </c>
      <c r="P74" s="40">
        <f t="shared" si="8"/>
        <v>4.1376811594202957E-2</v>
      </c>
      <c r="Q74" s="40"/>
      <c r="R74" s="40"/>
      <c r="S74" t="s">
        <v>2833</v>
      </c>
      <c r="T74">
        <v>4.84</v>
      </c>
      <c r="U74" s="40">
        <f t="shared" si="9"/>
        <v>-1.2320484388040736E-2</v>
      </c>
      <c r="V74" s="40">
        <f t="shared" si="10"/>
        <v>4.84</v>
      </c>
      <c r="W74" s="40">
        <f t="shared" si="11"/>
        <v>-1.2320484388040736E-2</v>
      </c>
    </row>
    <row r="75" spans="1:23" x14ac:dyDescent="0.2">
      <c r="A75" s="40" t="s">
        <v>793</v>
      </c>
      <c r="B75" s="40">
        <v>15.91</v>
      </c>
      <c r="C75" s="40">
        <v>15.91</v>
      </c>
      <c r="D75" s="40">
        <v>15.91</v>
      </c>
      <c r="E75" s="40">
        <v>15.91</v>
      </c>
      <c r="G75" s="36">
        <v>45583</v>
      </c>
      <c r="H75" s="40">
        <v>16.489999999999998</v>
      </c>
      <c r="I75" s="40">
        <v>138</v>
      </c>
      <c r="J75" s="44"/>
      <c r="K75" s="40"/>
      <c r="L75" s="45">
        <v>16.489999999999998</v>
      </c>
      <c r="M75" s="46">
        <v>138</v>
      </c>
      <c r="N75" s="40">
        <f t="shared" si="6"/>
        <v>0.1251631429540058</v>
      </c>
      <c r="O75" s="40">
        <f t="shared" si="7"/>
        <v>7.7838388130624554E-3</v>
      </c>
      <c r="P75" s="40">
        <f t="shared" si="8"/>
        <v>7.8142116409843938E-3</v>
      </c>
      <c r="Q75" s="40"/>
      <c r="R75" s="40"/>
      <c r="S75" t="s">
        <v>2832</v>
      </c>
      <c r="T75">
        <v>4.9000000000000004</v>
      </c>
      <c r="U75" s="40">
        <f t="shared" si="9"/>
        <v>-8.1301260832501755E-3</v>
      </c>
      <c r="V75" s="40">
        <f t="shared" si="10"/>
        <v>4.9000000000000004</v>
      </c>
      <c r="W75" s="40">
        <f t="shared" si="11"/>
        <v>-8.1301260832501755E-3</v>
      </c>
    </row>
    <row r="76" spans="1:23" x14ac:dyDescent="0.2">
      <c r="A76" s="40" t="s">
        <v>794</v>
      </c>
      <c r="B76" s="40">
        <v>15.04</v>
      </c>
      <c r="C76" s="40">
        <v>15.04</v>
      </c>
      <c r="D76" s="40">
        <v>15.04</v>
      </c>
      <c r="E76" s="40">
        <v>15.04</v>
      </c>
      <c r="G76" s="36">
        <v>45582</v>
      </c>
      <c r="H76" s="40">
        <v>14.55</v>
      </c>
      <c r="I76" s="40">
        <v>136.93</v>
      </c>
      <c r="J76" s="44"/>
      <c r="K76" s="40"/>
      <c r="L76" s="45">
        <v>14.55</v>
      </c>
      <c r="M76" s="46">
        <v>136.93</v>
      </c>
      <c r="N76" s="40">
        <f t="shared" si="6"/>
        <v>1.1057472718224997E-2</v>
      </c>
      <c r="O76" s="40">
        <f t="shared" si="7"/>
        <v>8.8759064281130479E-3</v>
      </c>
      <c r="P76" s="40">
        <f t="shared" si="8"/>
        <v>8.9154140878279393E-3</v>
      </c>
      <c r="Q76" s="40"/>
      <c r="R76" s="40"/>
      <c r="S76" t="s">
        <v>2831</v>
      </c>
      <c r="T76">
        <v>4.9400000000000004</v>
      </c>
      <c r="U76" s="40">
        <f t="shared" si="9"/>
        <v>-4.7439725071560454E-2</v>
      </c>
      <c r="V76" s="40">
        <f t="shared" si="10"/>
        <v>4.9400000000000004</v>
      </c>
      <c r="W76" s="40">
        <f t="shared" si="11"/>
        <v>-4.7439725071560454E-2</v>
      </c>
    </row>
    <row r="77" spans="1:23" x14ac:dyDescent="0.2">
      <c r="A77" s="40" t="s">
        <v>795</v>
      </c>
      <c r="B77" s="40">
        <v>13.03</v>
      </c>
      <c r="C77" s="40">
        <v>13.03</v>
      </c>
      <c r="D77" s="40">
        <v>13.03</v>
      </c>
      <c r="E77" s="40">
        <v>13.03</v>
      </c>
      <c r="G77" s="36">
        <v>45581</v>
      </c>
      <c r="H77" s="40">
        <v>14.39</v>
      </c>
      <c r="I77" s="40">
        <v>135.72</v>
      </c>
      <c r="J77" s="44"/>
      <c r="K77" s="40"/>
      <c r="L77" s="45">
        <v>14.39</v>
      </c>
      <c r="M77" s="46">
        <v>135.72</v>
      </c>
      <c r="N77" s="40">
        <f t="shared" si="6"/>
        <v>0.15045125364282638</v>
      </c>
      <c r="O77" s="40">
        <f t="shared" si="7"/>
        <v>3.0826921024812545E-2</v>
      </c>
      <c r="P77" s="40">
        <f t="shared" si="8"/>
        <v>3.1306990881459003E-2</v>
      </c>
      <c r="Q77" s="40"/>
      <c r="R77" s="40"/>
      <c r="S77" t="s">
        <v>2830</v>
      </c>
      <c r="T77">
        <v>5.18</v>
      </c>
      <c r="U77" s="40">
        <f t="shared" si="9"/>
        <v>0</v>
      </c>
      <c r="V77" s="40">
        <f t="shared" si="10"/>
        <v>5.18</v>
      </c>
      <c r="W77" s="40">
        <f t="shared" si="11"/>
        <v>0</v>
      </c>
    </row>
    <row r="78" spans="1:23" x14ac:dyDescent="0.2">
      <c r="A78" s="40" t="s">
        <v>796</v>
      </c>
      <c r="B78" s="40">
        <v>15.05</v>
      </c>
      <c r="C78" s="40">
        <v>15.05</v>
      </c>
      <c r="D78" s="40">
        <v>15.05</v>
      </c>
      <c r="E78" s="40">
        <v>15.05</v>
      </c>
      <c r="G78" s="36">
        <v>45580</v>
      </c>
      <c r="H78" s="40">
        <v>12.38</v>
      </c>
      <c r="I78" s="40">
        <v>131.6</v>
      </c>
      <c r="J78" s="44"/>
      <c r="K78" s="40"/>
      <c r="L78" s="45">
        <v>12.38</v>
      </c>
      <c r="M78" s="46">
        <v>131.6</v>
      </c>
      <c r="N78" s="40">
        <f t="shared" si="6"/>
        <v>-0.11220296537689742</v>
      </c>
      <c r="O78" s="40">
        <f t="shared" si="7"/>
        <v>-4.799378403684413E-2</v>
      </c>
      <c r="P78" s="40">
        <f t="shared" si="8"/>
        <v>-4.686028825957847E-2</v>
      </c>
      <c r="Q78" s="40"/>
      <c r="R78" s="40"/>
      <c r="S78" t="s">
        <v>2829</v>
      </c>
      <c r="T78">
        <v>5.18</v>
      </c>
      <c r="U78" s="40">
        <f t="shared" si="9"/>
        <v>-9.6062218054399802E-3</v>
      </c>
      <c r="V78" s="40">
        <f t="shared" si="10"/>
        <v>5.18</v>
      </c>
      <c r="W78" s="40">
        <f t="shared" si="11"/>
        <v>-9.6062218054399802E-3</v>
      </c>
    </row>
    <row r="79" spans="1:23" x14ac:dyDescent="0.2">
      <c r="A79" s="40" t="s">
        <v>797</v>
      </c>
      <c r="B79" s="40">
        <v>15.16</v>
      </c>
      <c r="C79" s="40">
        <v>15.16</v>
      </c>
      <c r="D79" s="40">
        <v>15.16</v>
      </c>
      <c r="E79" s="40">
        <v>15.16</v>
      </c>
      <c r="G79" s="36">
        <v>45579</v>
      </c>
      <c r="H79" s="40">
        <v>13.85</v>
      </c>
      <c r="I79" s="40">
        <v>138.07</v>
      </c>
      <c r="J79" s="44"/>
      <c r="K79" s="40"/>
      <c r="L79" s="45">
        <v>13.85</v>
      </c>
      <c r="M79" s="46">
        <v>138.07</v>
      </c>
      <c r="N79" s="40">
        <f t="shared" si="6"/>
        <v>-2.8471674081312001E-2</v>
      </c>
      <c r="O79" s="40">
        <f t="shared" si="7"/>
        <v>2.3968604449854193E-2</v>
      </c>
      <c r="P79" s="40">
        <f t="shared" si="8"/>
        <v>2.4258160237388585E-2</v>
      </c>
      <c r="Q79" s="40"/>
      <c r="R79" s="40"/>
      <c r="S79" t="s">
        <v>2828</v>
      </c>
      <c r="T79">
        <v>5.23</v>
      </c>
      <c r="U79" s="40">
        <f t="shared" si="9"/>
        <v>-1.9102202561192376E-3</v>
      </c>
      <c r="V79" s="40">
        <f t="shared" si="10"/>
        <v>5.23</v>
      </c>
      <c r="W79" s="40">
        <f t="shared" si="11"/>
        <v>-1.9102202561192376E-3</v>
      </c>
    </row>
    <row r="80" spans="1:23" x14ac:dyDescent="0.2">
      <c r="A80" s="40" t="s">
        <v>798</v>
      </c>
      <c r="B80" s="40">
        <v>14.61</v>
      </c>
      <c r="C80" s="40">
        <v>14.61</v>
      </c>
      <c r="D80" s="40">
        <v>14.61</v>
      </c>
      <c r="E80" s="40">
        <v>14.61</v>
      </c>
      <c r="G80" s="36">
        <v>45576</v>
      </c>
      <c r="H80" s="40">
        <v>14.25</v>
      </c>
      <c r="I80" s="40">
        <v>134.80000000000001</v>
      </c>
      <c r="J80" s="44"/>
      <c r="K80" s="40"/>
      <c r="L80" s="45">
        <v>14.25</v>
      </c>
      <c r="M80" s="46">
        <v>134.80000000000001</v>
      </c>
      <c r="N80" s="40">
        <f t="shared" si="6"/>
        <v>-4.3261122690286292E-2</v>
      </c>
      <c r="O80" s="40">
        <f t="shared" si="7"/>
        <v>-7.4181224765981015E-5</v>
      </c>
      <c r="P80" s="40">
        <f t="shared" si="8"/>
        <v>-7.4178473406949811E-5</v>
      </c>
      <c r="Q80" s="40"/>
      <c r="R80" s="40"/>
      <c r="S80" t="s">
        <v>2827</v>
      </c>
      <c r="T80">
        <v>5.24</v>
      </c>
      <c r="U80" s="40">
        <f t="shared" si="9"/>
        <v>0</v>
      </c>
      <c r="V80" s="40">
        <f t="shared" si="10"/>
        <v>5.24</v>
      </c>
      <c r="W80" s="40">
        <f t="shared" si="11"/>
        <v>0</v>
      </c>
    </row>
    <row r="81" spans="1:23" x14ac:dyDescent="0.2">
      <c r="A81" s="40" t="s">
        <v>799</v>
      </c>
      <c r="B81" s="40">
        <v>12.81</v>
      </c>
      <c r="C81" s="40">
        <v>12.81</v>
      </c>
      <c r="D81" s="40">
        <v>12.81</v>
      </c>
      <c r="E81" s="40">
        <v>12.81</v>
      </c>
      <c r="G81" s="36">
        <v>45575</v>
      </c>
      <c r="H81" s="40">
        <v>14.88</v>
      </c>
      <c r="I81" s="40">
        <v>134.81</v>
      </c>
      <c r="J81" s="44"/>
      <c r="K81" s="40"/>
      <c r="L81" s="45">
        <v>14.88</v>
      </c>
      <c r="M81" s="46">
        <v>134.81</v>
      </c>
      <c r="N81" s="40">
        <f t="shared" si="6"/>
        <v>1.6260520871780326E-2</v>
      </c>
      <c r="O81" s="40">
        <f t="shared" si="7"/>
        <v>1.6152299119223994E-2</v>
      </c>
      <c r="P81" s="40">
        <f t="shared" si="8"/>
        <v>1.6283452695062168E-2</v>
      </c>
      <c r="Q81" s="40"/>
      <c r="R81" s="40"/>
      <c r="S81" t="s">
        <v>2826</v>
      </c>
      <c r="T81">
        <v>5.24</v>
      </c>
      <c r="U81" s="40">
        <f t="shared" si="9"/>
        <v>-1.9065782705815315E-3</v>
      </c>
      <c r="V81" s="40">
        <f t="shared" si="10"/>
        <v>5.24</v>
      </c>
      <c r="W81" s="40">
        <f t="shared" si="11"/>
        <v>-1.9065782705815315E-3</v>
      </c>
    </row>
    <row r="82" spans="1:23" x14ac:dyDescent="0.2">
      <c r="A82" s="40" t="s">
        <v>800</v>
      </c>
      <c r="B82" s="40">
        <v>13.09</v>
      </c>
      <c r="C82" s="40">
        <v>13.09</v>
      </c>
      <c r="D82" s="40">
        <v>13.09</v>
      </c>
      <c r="E82" s="40">
        <v>13.09</v>
      </c>
      <c r="G82" s="36">
        <v>45574</v>
      </c>
      <c r="H82" s="40">
        <v>14.64</v>
      </c>
      <c r="I82" s="40">
        <v>132.65</v>
      </c>
      <c r="J82" s="44"/>
      <c r="K82" s="40"/>
      <c r="L82" s="45">
        <v>14.64</v>
      </c>
      <c r="M82" s="46">
        <v>132.65</v>
      </c>
      <c r="N82" s="40">
        <f t="shared" si="6"/>
        <v>2.1402266693085155E-2</v>
      </c>
      <c r="O82" s="40">
        <f t="shared" si="7"/>
        <v>-1.8076377596675597E-3</v>
      </c>
      <c r="P82" s="40">
        <f t="shared" si="8"/>
        <v>-1.8060049665135126E-3</v>
      </c>
      <c r="Q82" s="40"/>
      <c r="R82" s="40"/>
      <c r="S82" t="s">
        <v>2825</v>
      </c>
      <c r="T82">
        <v>5.25</v>
      </c>
      <c r="U82" s="40">
        <f t="shared" si="9"/>
        <v>1.9065782705814474E-3</v>
      </c>
      <c r="V82" s="40">
        <f t="shared" si="10"/>
        <v>5.25</v>
      </c>
      <c r="W82" s="40">
        <f t="shared" si="11"/>
        <v>1.9065782705814474E-3</v>
      </c>
    </row>
    <row r="83" spans="1:23" x14ac:dyDescent="0.2">
      <c r="A83" s="41">
        <v>40579</v>
      </c>
      <c r="B83" s="40">
        <v>15.16</v>
      </c>
      <c r="C83" s="40">
        <v>15.16</v>
      </c>
      <c r="D83" s="40">
        <v>15.16</v>
      </c>
      <c r="E83" s="40">
        <v>15.16</v>
      </c>
      <c r="G83" s="36">
        <v>45573</v>
      </c>
      <c r="H83" s="40">
        <v>14.33</v>
      </c>
      <c r="I83" s="40">
        <v>132.88999999999999</v>
      </c>
      <c r="J83" s="44"/>
      <c r="K83" s="40"/>
      <c r="L83" s="45">
        <v>14.33</v>
      </c>
      <c r="M83" s="46">
        <v>132.88999999999999</v>
      </c>
      <c r="N83" s="40">
        <f t="shared" si="6"/>
        <v>-7.7839412588696838E-2</v>
      </c>
      <c r="O83" s="40">
        <f t="shared" si="7"/>
        <v>3.9681350496835091E-2</v>
      </c>
      <c r="P83" s="40">
        <f t="shared" si="8"/>
        <v>4.0479173191355994E-2</v>
      </c>
      <c r="Q83" s="40"/>
      <c r="R83" s="40"/>
      <c r="S83" t="s">
        <v>2824</v>
      </c>
      <c r="T83">
        <v>5.24</v>
      </c>
      <c r="U83" s="40">
        <f t="shared" si="9"/>
        <v>5.7416425676751828E-3</v>
      </c>
      <c r="V83" s="40">
        <f t="shared" si="10"/>
        <v>5.24</v>
      </c>
      <c r="W83" s="40">
        <f t="shared" si="11"/>
        <v>5.7416425676751828E-3</v>
      </c>
    </row>
    <row r="84" spans="1:23" x14ac:dyDescent="0.2">
      <c r="A84" s="41">
        <v>40607</v>
      </c>
      <c r="B84" s="40">
        <v>15.71</v>
      </c>
      <c r="C84" s="40">
        <v>15.71</v>
      </c>
      <c r="D84" s="40">
        <v>15.71</v>
      </c>
      <c r="E84" s="40">
        <v>15.71</v>
      </c>
      <c r="G84" s="36">
        <v>45572</v>
      </c>
      <c r="H84" s="40">
        <v>15.49</v>
      </c>
      <c r="I84" s="40">
        <v>127.72</v>
      </c>
      <c r="J84" s="44"/>
      <c r="K84" s="40"/>
      <c r="L84" s="45">
        <v>15.49</v>
      </c>
      <c r="M84" s="46">
        <v>127.72</v>
      </c>
      <c r="N84" s="40">
        <f t="shared" si="6"/>
        <v>-5.7696250673222212E-2</v>
      </c>
      <c r="O84" s="40">
        <f t="shared" si="7"/>
        <v>2.216683543170344E-2</v>
      </c>
      <c r="P84" s="40">
        <f t="shared" si="8"/>
        <v>2.2414345180915764E-2</v>
      </c>
      <c r="Q84" s="40"/>
      <c r="R84" s="40"/>
      <c r="S84" t="s">
        <v>2823</v>
      </c>
      <c r="T84">
        <v>5.21</v>
      </c>
      <c r="U84" s="40">
        <f t="shared" si="9"/>
        <v>-3.8314223115560602E-3</v>
      </c>
      <c r="V84" s="40">
        <f t="shared" si="10"/>
        <v>5.21</v>
      </c>
      <c r="W84" s="40">
        <f t="shared" si="11"/>
        <v>-3.8314223115560602E-3</v>
      </c>
    </row>
    <row r="85" spans="1:23" x14ac:dyDescent="0.2">
      <c r="A85" s="41">
        <v>40638</v>
      </c>
      <c r="B85" s="40">
        <v>16.37</v>
      </c>
      <c r="C85" s="40">
        <v>16.37</v>
      </c>
      <c r="D85" s="40">
        <v>16.37</v>
      </c>
      <c r="E85" s="40">
        <v>16.37</v>
      </c>
      <c r="G85" s="36">
        <v>45569</v>
      </c>
      <c r="H85" s="40">
        <v>16.41</v>
      </c>
      <c r="I85" s="40">
        <v>124.92</v>
      </c>
      <c r="J85" s="44"/>
      <c r="K85" s="40"/>
      <c r="L85" s="45">
        <v>16.41</v>
      </c>
      <c r="M85" s="46">
        <v>124.92</v>
      </c>
      <c r="N85" s="40">
        <f t="shared" si="6"/>
        <v>-9.2480852794165208E-2</v>
      </c>
      <c r="O85" s="40">
        <f t="shared" si="7"/>
        <v>1.6709433447689864E-2</v>
      </c>
      <c r="P85" s="40">
        <f t="shared" si="8"/>
        <v>1.6849816849816911E-2</v>
      </c>
      <c r="Q85" s="40"/>
      <c r="R85" s="40"/>
      <c r="S85" t="s">
        <v>2822</v>
      </c>
      <c r="T85">
        <v>5.23</v>
      </c>
      <c r="U85" s="40">
        <f t="shared" si="9"/>
        <v>-5.7197486727868412E-3</v>
      </c>
      <c r="V85" s="40">
        <f t="shared" si="10"/>
        <v>5.23</v>
      </c>
      <c r="W85" s="40">
        <f t="shared" si="11"/>
        <v>-5.7197486727868412E-3</v>
      </c>
    </row>
    <row r="86" spans="1:23" x14ac:dyDescent="0.2">
      <c r="A86" s="41">
        <v>40668</v>
      </c>
      <c r="B86" s="40">
        <v>18.87</v>
      </c>
      <c r="C86" s="40">
        <v>18.87</v>
      </c>
      <c r="D86" s="40">
        <v>18.87</v>
      </c>
      <c r="E86" s="40">
        <v>18.87</v>
      </c>
      <c r="G86" s="36">
        <v>45568</v>
      </c>
      <c r="H86" s="40">
        <v>18</v>
      </c>
      <c r="I86" s="40">
        <v>122.85</v>
      </c>
      <c r="J86" s="44"/>
      <c r="K86" s="40"/>
      <c r="L86" s="45">
        <v>18</v>
      </c>
      <c r="M86" s="46">
        <v>122.85</v>
      </c>
      <c r="N86" s="40">
        <f t="shared" si="6"/>
        <v>-0.10536051565782628</v>
      </c>
      <c r="O86" s="40">
        <f t="shared" si="7"/>
        <v>3.3101905160985295E-2</v>
      </c>
      <c r="P86" s="40">
        <f t="shared" si="8"/>
        <v>3.3655868742111905E-2</v>
      </c>
      <c r="Q86" s="40"/>
      <c r="R86" s="40"/>
      <c r="S86" t="s">
        <v>2821</v>
      </c>
      <c r="T86">
        <v>5.26</v>
      </c>
      <c r="U86" s="40">
        <f t="shared" si="9"/>
        <v>-1.8993358036524051E-3</v>
      </c>
      <c r="V86" s="40">
        <f t="shared" si="10"/>
        <v>5.26</v>
      </c>
      <c r="W86" s="40">
        <f t="shared" si="11"/>
        <v>-1.8993358036524051E-3</v>
      </c>
    </row>
    <row r="87" spans="1:23" x14ac:dyDescent="0.2">
      <c r="A87" s="41">
        <v>40699</v>
      </c>
      <c r="B87" s="40">
        <v>18.89</v>
      </c>
      <c r="C87" s="40">
        <v>18.89</v>
      </c>
      <c r="D87" s="40">
        <v>18.89</v>
      </c>
      <c r="E87" s="40">
        <v>18.89</v>
      </c>
      <c r="G87" s="36">
        <v>45567</v>
      </c>
      <c r="H87" s="40">
        <v>20</v>
      </c>
      <c r="I87" s="40">
        <v>118.85</v>
      </c>
      <c r="J87" s="44"/>
      <c r="K87" s="40"/>
      <c r="L87" s="45">
        <v>20</v>
      </c>
      <c r="M87" s="46">
        <v>118.85</v>
      </c>
      <c r="N87" s="40">
        <f t="shared" si="6"/>
        <v>0.19358474907266526</v>
      </c>
      <c r="O87" s="40">
        <f t="shared" si="7"/>
        <v>1.5688259008446757E-2</v>
      </c>
      <c r="P87" s="40">
        <f t="shared" si="8"/>
        <v>1.5811965811965763E-2</v>
      </c>
      <c r="Q87" s="40"/>
      <c r="R87" s="40"/>
      <c r="S87" t="s">
        <v>2820</v>
      </c>
      <c r="T87">
        <v>5.27</v>
      </c>
      <c r="U87" s="40">
        <f t="shared" si="9"/>
        <v>1.8993358036523157E-3</v>
      </c>
      <c r="V87" s="40">
        <f t="shared" si="10"/>
        <v>5.27</v>
      </c>
      <c r="W87" s="40">
        <f t="shared" si="11"/>
        <v>1.8993358036523157E-3</v>
      </c>
    </row>
    <row r="88" spans="1:23" x14ac:dyDescent="0.2">
      <c r="A88" s="41">
        <v>40791</v>
      </c>
      <c r="B88" s="40">
        <v>16.559999999999999</v>
      </c>
      <c r="C88" s="40">
        <v>16.559999999999999</v>
      </c>
      <c r="D88" s="40">
        <v>16.559999999999999</v>
      </c>
      <c r="E88" s="40">
        <v>16.559999999999999</v>
      </c>
      <c r="G88" s="36">
        <v>45566</v>
      </c>
      <c r="H88" s="40">
        <v>16.48</v>
      </c>
      <c r="I88" s="40">
        <v>117</v>
      </c>
      <c r="J88" s="44"/>
      <c r="K88" s="40"/>
      <c r="L88" s="45">
        <v>16.48</v>
      </c>
      <c r="M88" s="46">
        <v>117</v>
      </c>
      <c r="N88" s="40">
        <f t="shared" si="6"/>
        <v>-0.21387745234042774</v>
      </c>
      <c r="O88" s="40">
        <f t="shared" si="7"/>
        <v>-3.7246378849563687E-2</v>
      </c>
      <c r="P88" s="40">
        <f t="shared" si="8"/>
        <v>-3.6561264822134371E-2</v>
      </c>
      <c r="Q88" s="40"/>
      <c r="R88" s="40"/>
      <c r="S88" t="s">
        <v>2819</v>
      </c>
      <c r="T88">
        <v>5.26</v>
      </c>
      <c r="U88" s="40">
        <f t="shared" si="9"/>
        <v>3.8095284166676487E-3</v>
      </c>
      <c r="V88" s="40">
        <f t="shared" si="10"/>
        <v>5.26</v>
      </c>
      <c r="W88" s="40">
        <f t="shared" si="11"/>
        <v>3.8095284166676487E-3</v>
      </c>
    </row>
    <row r="89" spans="1:23" x14ac:dyDescent="0.2">
      <c r="A89" s="41">
        <v>40821</v>
      </c>
      <c r="B89" s="40">
        <v>14.58</v>
      </c>
      <c r="C89" s="40">
        <v>14.58</v>
      </c>
      <c r="D89" s="40">
        <v>14.58</v>
      </c>
      <c r="E89" s="40">
        <v>14.58</v>
      </c>
      <c r="G89" s="36">
        <v>45565</v>
      </c>
      <c r="H89" s="40">
        <v>20.41</v>
      </c>
      <c r="I89" s="40">
        <v>121.44</v>
      </c>
      <c r="J89" s="44"/>
      <c r="K89" s="40"/>
      <c r="L89" s="45">
        <v>20.41</v>
      </c>
      <c r="M89" s="46">
        <v>121.44</v>
      </c>
      <c r="N89" s="40">
        <f t="shared" si="6"/>
        <v>8.4298033243674728E-2</v>
      </c>
      <c r="O89" s="40">
        <f t="shared" si="7"/>
        <v>3.2943502192181391E-4</v>
      </c>
      <c r="P89" s="40">
        <f t="shared" si="8"/>
        <v>3.2948929159795751E-4</v>
      </c>
      <c r="Q89" s="40"/>
      <c r="R89" s="40"/>
      <c r="S89" t="s">
        <v>2818</v>
      </c>
      <c r="T89">
        <v>5.24</v>
      </c>
      <c r="U89" s="40">
        <f t="shared" si="9"/>
        <v>1.9102202561192452E-3</v>
      </c>
      <c r="V89" s="40">
        <f t="shared" si="10"/>
        <v>5.24</v>
      </c>
      <c r="W89" s="40">
        <f t="shared" si="11"/>
        <v>1.9102202561192452E-3</v>
      </c>
    </row>
    <row r="90" spans="1:23" x14ac:dyDescent="0.2">
      <c r="A90" s="41">
        <v>40852</v>
      </c>
      <c r="B90" s="40">
        <v>16.8</v>
      </c>
      <c r="C90" s="40">
        <v>16.8</v>
      </c>
      <c r="D90" s="40">
        <v>16.8</v>
      </c>
      <c r="E90" s="40">
        <v>16.8</v>
      </c>
      <c r="G90" s="36">
        <v>45562</v>
      </c>
      <c r="H90" s="40">
        <v>18.760000000000002</v>
      </c>
      <c r="I90" s="40">
        <v>121.4</v>
      </c>
      <c r="J90" s="44"/>
      <c r="K90" s="40"/>
      <c r="L90" s="45">
        <v>18.760000000000002</v>
      </c>
      <c r="M90" s="46">
        <v>121.4</v>
      </c>
      <c r="N90" s="40">
        <f t="shared" si="6"/>
        <v>-4.1248342853296122E-2</v>
      </c>
      <c r="O90" s="40">
        <f t="shared" si="7"/>
        <v>-2.1513215606850308E-2</v>
      </c>
      <c r="P90" s="40">
        <f t="shared" si="8"/>
        <v>-2.1283456949371175E-2</v>
      </c>
      <c r="Q90" s="40"/>
      <c r="R90" s="40"/>
      <c r="S90" t="s">
        <v>2817</v>
      </c>
      <c r="T90">
        <v>5.23</v>
      </c>
      <c r="U90" s="40">
        <f t="shared" si="9"/>
        <v>-9.5148196413385074E-3</v>
      </c>
      <c r="V90" s="40">
        <f t="shared" si="10"/>
        <v>5.23</v>
      </c>
      <c r="W90" s="40">
        <f t="shared" si="11"/>
        <v>-9.5148196413385074E-3</v>
      </c>
    </row>
    <row r="91" spans="1:23" x14ac:dyDescent="0.2">
      <c r="A91" s="41">
        <v>40882</v>
      </c>
      <c r="B91" s="40">
        <v>15.1</v>
      </c>
      <c r="C91" s="40">
        <v>15.1</v>
      </c>
      <c r="D91" s="40">
        <v>15.1</v>
      </c>
      <c r="E91" s="40">
        <v>15.1</v>
      </c>
      <c r="G91" s="36">
        <v>45561</v>
      </c>
      <c r="H91" s="40">
        <v>19.55</v>
      </c>
      <c r="I91" s="40">
        <v>124.04</v>
      </c>
      <c r="J91" s="44"/>
      <c r="K91" s="40"/>
      <c r="L91" s="45">
        <v>19.55</v>
      </c>
      <c r="M91" s="46">
        <v>124.04</v>
      </c>
      <c r="N91" s="40">
        <f t="shared" si="6"/>
        <v>0.16056507000492201</v>
      </c>
      <c r="O91" s="40">
        <f t="shared" si="7"/>
        <v>4.2819697823250902E-3</v>
      </c>
      <c r="P91" s="40">
        <f t="shared" si="8"/>
        <v>4.29115051412842E-3</v>
      </c>
      <c r="Q91" s="40"/>
      <c r="R91" s="40"/>
      <c r="S91" t="s">
        <v>2816</v>
      </c>
      <c r="T91">
        <v>5.28</v>
      </c>
      <c r="U91" s="40">
        <f t="shared" si="9"/>
        <v>-1.8921481520378152E-3</v>
      </c>
      <c r="V91" s="40">
        <f t="shared" si="10"/>
        <v>5.28</v>
      </c>
      <c r="W91" s="40">
        <f t="shared" si="11"/>
        <v>-1.8921481520378152E-3</v>
      </c>
    </row>
    <row r="92" spans="1:23" x14ac:dyDescent="0.2">
      <c r="A92" s="40" t="s">
        <v>801</v>
      </c>
      <c r="B92" s="40">
        <v>17.13</v>
      </c>
      <c r="C92" s="40">
        <v>17.13</v>
      </c>
      <c r="D92" s="40">
        <v>17.13</v>
      </c>
      <c r="E92" s="40">
        <v>17.13</v>
      </c>
      <c r="G92" s="36">
        <v>45560</v>
      </c>
      <c r="H92" s="40">
        <v>16.649999999999999</v>
      </c>
      <c r="I92" s="40">
        <v>123.51</v>
      </c>
      <c r="J92" s="44"/>
      <c r="K92" s="40"/>
      <c r="L92" s="45">
        <v>16.649999999999999</v>
      </c>
      <c r="M92" s="46">
        <v>123.51</v>
      </c>
      <c r="N92" s="40">
        <f t="shared" si="6"/>
        <v>5.6204973437195542E-2</v>
      </c>
      <c r="O92" s="40">
        <f t="shared" si="7"/>
        <v>2.1606536578557402E-2</v>
      </c>
      <c r="P92" s="40">
        <f t="shared" si="8"/>
        <v>2.1841648051625716E-2</v>
      </c>
      <c r="Q92" s="40"/>
      <c r="R92" s="40"/>
      <c r="S92" t="s">
        <v>2815</v>
      </c>
      <c r="T92">
        <v>5.29</v>
      </c>
      <c r="U92" s="40">
        <f t="shared" si="9"/>
        <v>0</v>
      </c>
      <c r="V92" s="40">
        <f t="shared" si="10"/>
        <v>5.29</v>
      </c>
      <c r="W92" s="40">
        <f t="shared" si="11"/>
        <v>0</v>
      </c>
    </row>
    <row r="93" spans="1:23" x14ac:dyDescent="0.2">
      <c r="A93" s="40" t="s">
        <v>802</v>
      </c>
      <c r="B93" s="40">
        <v>19.71</v>
      </c>
      <c r="C93" s="40">
        <v>19.71</v>
      </c>
      <c r="D93" s="40">
        <v>19.71</v>
      </c>
      <c r="E93" s="40">
        <v>19.71</v>
      </c>
      <c r="G93" s="36">
        <v>45559</v>
      </c>
      <c r="H93" s="40">
        <v>15.74</v>
      </c>
      <c r="I93" s="40">
        <v>120.87</v>
      </c>
      <c r="J93" s="44"/>
      <c r="K93" s="40"/>
      <c r="L93" s="45">
        <v>15.74</v>
      </c>
      <c r="M93" s="46">
        <v>120.87</v>
      </c>
      <c r="N93" s="40">
        <f t="shared" si="6"/>
        <v>7.7927200220717197E-2</v>
      </c>
      <c r="O93" s="40">
        <f t="shared" si="7"/>
        <v>3.8886525598161081E-2</v>
      </c>
      <c r="P93" s="40">
        <f t="shared" si="8"/>
        <v>3.9652503010493716E-2</v>
      </c>
      <c r="Q93" s="40"/>
      <c r="R93" s="40"/>
      <c r="S93" t="s">
        <v>2814</v>
      </c>
      <c r="T93">
        <v>5.29</v>
      </c>
      <c r="U93" s="40">
        <f t="shared" si="9"/>
        <v>1.8921481520379623E-3</v>
      </c>
      <c r="V93" s="40">
        <f t="shared" si="10"/>
        <v>5.29</v>
      </c>
      <c r="W93" s="40">
        <f t="shared" si="11"/>
        <v>1.8921481520379623E-3</v>
      </c>
    </row>
    <row r="94" spans="1:23" x14ac:dyDescent="0.2">
      <c r="A94" s="40" t="s">
        <v>803</v>
      </c>
      <c r="B94" s="40">
        <v>18.329999999999998</v>
      </c>
      <c r="C94" s="40">
        <v>18.329999999999998</v>
      </c>
      <c r="D94" s="40">
        <v>18.329999999999998</v>
      </c>
      <c r="E94" s="40">
        <v>18.329999999999998</v>
      </c>
      <c r="G94" s="36">
        <v>45558</v>
      </c>
      <c r="H94" s="40">
        <v>14.56</v>
      </c>
      <c r="I94" s="40">
        <v>116.26</v>
      </c>
      <c r="J94" s="44"/>
      <c r="K94" s="40"/>
      <c r="L94" s="45">
        <v>14.56</v>
      </c>
      <c r="M94" s="46">
        <v>116.26</v>
      </c>
      <c r="N94" s="40">
        <f t="shared" si="6"/>
        <v>2.2223136784710256E-2</v>
      </c>
      <c r="O94" s="40">
        <f t="shared" si="7"/>
        <v>2.2388711668398825E-3</v>
      </c>
      <c r="P94" s="40">
        <f t="shared" si="8"/>
        <v>2.2413793103448717E-3</v>
      </c>
      <c r="Q94" s="40"/>
      <c r="R94" s="40"/>
      <c r="S94" t="s">
        <v>2813</v>
      </c>
      <c r="T94">
        <v>5.28</v>
      </c>
      <c r="U94" s="40">
        <f t="shared" si="9"/>
        <v>-1.8921481520378152E-3</v>
      </c>
      <c r="V94" s="40">
        <f t="shared" si="10"/>
        <v>5.28</v>
      </c>
      <c r="W94" s="40">
        <f t="shared" si="11"/>
        <v>-1.8921481520378152E-3</v>
      </c>
    </row>
    <row r="95" spans="1:23" x14ac:dyDescent="0.2">
      <c r="A95" s="40" t="s">
        <v>804</v>
      </c>
      <c r="B95" s="40">
        <v>16.25</v>
      </c>
      <c r="C95" s="40">
        <v>16.25</v>
      </c>
      <c r="D95" s="40">
        <v>16.25</v>
      </c>
      <c r="E95" s="40">
        <v>16.25</v>
      </c>
      <c r="G95" s="36">
        <v>45555</v>
      </c>
      <c r="H95" s="40">
        <v>14.24</v>
      </c>
      <c r="I95" s="40">
        <v>116</v>
      </c>
      <c r="J95" s="44"/>
      <c r="K95" s="40"/>
      <c r="L95" s="45">
        <v>14.24</v>
      </c>
      <c r="M95" s="46">
        <v>116</v>
      </c>
      <c r="N95" s="40">
        <f t="shared" si="6"/>
        <v>8.4626739187337284E-3</v>
      </c>
      <c r="O95" s="40">
        <f t="shared" si="7"/>
        <v>-1.5992131132113445E-2</v>
      </c>
      <c r="P95" s="40">
        <f t="shared" si="8"/>
        <v>-1.5864935946381643E-2</v>
      </c>
      <c r="Q95" s="40"/>
      <c r="R95" s="40"/>
      <c r="S95" t="s">
        <v>2812</v>
      </c>
      <c r="T95">
        <v>5.29</v>
      </c>
      <c r="U95" s="40">
        <f t="shared" si="9"/>
        <v>0</v>
      </c>
      <c r="V95" s="40">
        <f t="shared" si="10"/>
        <v>5.29</v>
      </c>
      <c r="W95" s="40">
        <f t="shared" si="11"/>
        <v>0</v>
      </c>
    </row>
    <row r="96" spans="1:23" x14ac:dyDescent="0.2">
      <c r="A96" s="40" t="s">
        <v>805</v>
      </c>
      <c r="B96" s="40">
        <v>14.92</v>
      </c>
      <c r="C96" s="40">
        <v>14.92</v>
      </c>
      <c r="D96" s="40">
        <v>14.92</v>
      </c>
      <c r="E96" s="40">
        <v>14.92</v>
      </c>
      <c r="G96" s="36">
        <v>45554</v>
      </c>
      <c r="H96" s="40">
        <v>14.12</v>
      </c>
      <c r="I96" s="40">
        <v>117.87</v>
      </c>
      <c r="J96" s="44"/>
      <c r="K96" s="40"/>
      <c r="L96" s="45">
        <v>14.12</v>
      </c>
      <c r="M96" s="46">
        <v>117.87</v>
      </c>
      <c r="N96" s="40">
        <f t="shared" si="6"/>
        <v>-1.6157710140534146E-2</v>
      </c>
      <c r="O96" s="40">
        <f t="shared" si="7"/>
        <v>3.8925516208970862E-2</v>
      </c>
      <c r="P96" s="40">
        <f t="shared" si="8"/>
        <v>3.9693040486901296E-2</v>
      </c>
      <c r="Q96" s="40"/>
      <c r="R96" s="40"/>
      <c r="S96" t="s">
        <v>2811</v>
      </c>
      <c r="T96">
        <v>5.29</v>
      </c>
      <c r="U96" s="40">
        <f t="shared" si="9"/>
        <v>1.8921481520379623E-3</v>
      </c>
      <c r="V96" s="40">
        <f t="shared" si="10"/>
        <v>5.29</v>
      </c>
      <c r="W96" s="40">
        <f t="shared" si="11"/>
        <v>1.8921481520379623E-3</v>
      </c>
    </row>
    <row r="97" spans="1:23" x14ac:dyDescent="0.2">
      <c r="A97" s="40" t="s">
        <v>806</v>
      </c>
      <c r="B97" s="40">
        <v>18.100000000000001</v>
      </c>
      <c r="C97" s="40">
        <v>18.100000000000001</v>
      </c>
      <c r="D97" s="40">
        <v>18.100000000000001</v>
      </c>
      <c r="E97" s="40">
        <v>18.100000000000001</v>
      </c>
      <c r="G97" s="36">
        <v>45553</v>
      </c>
      <c r="H97" s="40">
        <v>14.35</v>
      </c>
      <c r="I97" s="40">
        <v>113.37</v>
      </c>
      <c r="J97" s="44"/>
      <c r="K97" s="40"/>
      <c r="L97" s="45">
        <v>14.35</v>
      </c>
      <c r="M97" s="46">
        <v>113.37</v>
      </c>
      <c r="N97" s="40">
        <f t="shared" si="6"/>
        <v>8.3533112613304983E-2</v>
      </c>
      <c r="O97" s="40">
        <f t="shared" si="7"/>
        <v>-1.9392641276668576E-2</v>
      </c>
      <c r="P97" s="40">
        <f t="shared" si="8"/>
        <v>-1.9205813651699963E-2</v>
      </c>
      <c r="Q97" s="40"/>
      <c r="R97" s="40"/>
      <c r="S97" t="s">
        <v>2810</v>
      </c>
      <c r="T97">
        <v>5.28</v>
      </c>
      <c r="U97" s="40">
        <f t="shared" si="9"/>
        <v>0</v>
      </c>
      <c r="V97" s="40">
        <f t="shared" si="10"/>
        <v>5.28</v>
      </c>
      <c r="W97" s="40">
        <f t="shared" si="11"/>
        <v>0</v>
      </c>
    </row>
    <row r="98" spans="1:23" x14ac:dyDescent="0.2">
      <c r="A98" s="40" t="s">
        <v>807</v>
      </c>
      <c r="B98" s="40">
        <v>18.87</v>
      </c>
      <c r="C98" s="40">
        <v>18.87</v>
      </c>
      <c r="D98" s="40">
        <v>18.87</v>
      </c>
      <c r="E98" s="40">
        <v>18.87</v>
      </c>
      <c r="G98" s="36">
        <v>45552</v>
      </c>
      <c r="H98" s="40">
        <v>13.2</v>
      </c>
      <c r="I98" s="40">
        <v>115.59</v>
      </c>
      <c r="J98" s="44"/>
      <c r="K98" s="40"/>
      <c r="L98" s="45">
        <v>13.2</v>
      </c>
      <c r="M98" s="46">
        <v>115.59</v>
      </c>
      <c r="N98" s="40">
        <f t="shared" si="6"/>
        <v>-0.10490586686618028</v>
      </c>
      <c r="O98" s="40">
        <f t="shared" si="7"/>
        <v>-1.0242375549215622E-2</v>
      </c>
      <c r="P98" s="40">
        <f t="shared" si="8"/>
        <v>-1.0190101044699416E-2</v>
      </c>
      <c r="Q98" s="40"/>
      <c r="R98" s="40"/>
      <c r="S98" t="s">
        <v>2809</v>
      </c>
      <c r="T98">
        <v>5.28</v>
      </c>
      <c r="U98" s="40">
        <f t="shared" si="9"/>
        <v>0</v>
      </c>
      <c r="V98" s="40">
        <f t="shared" si="10"/>
        <v>5.28</v>
      </c>
      <c r="W98" s="40">
        <f t="shared" si="11"/>
        <v>0</v>
      </c>
    </row>
    <row r="99" spans="1:23" x14ac:dyDescent="0.2">
      <c r="A99" s="40" t="s">
        <v>808</v>
      </c>
      <c r="B99" s="40">
        <v>17.87</v>
      </c>
      <c r="C99" s="40">
        <v>17.87</v>
      </c>
      <c r="D99" s="40">
        <v>17.87</v>
      </c>
      <c r="E99" s="40">
        <v>17.87</v>
      </c>
      <c r="G99" s="36">
        <v>45551</v>
      </c>
      <c r="H99" s="40">
        <v>14.66</v>
      </c>
      <c r="I99" s="40">
        <v>116.78</v>
      </c>
      <c r="J99" s="44"/>
      <c r="K99" s="40"/>
      <c r="L99" s="45">
        <v>14.66</v>
      </c>
      <c r="M99" s="46">
        <v>116.78</v>
      </c>
      <c r="N99" s="40">
        <f t="shared" si="6"/>
        <v>-0.20246741847578242</v>
      </c>
      <c r="O99" s="40">
        <f t="shared" si="7"/>
        <v>-1.9671653505862762E-2</v>
      </c>
      <c r="P99" s="40">
        <f t="shared" si="8"/>
        <v>-1.9479429051217408E-2</v>
      </c>
      <c r="Q99" s="40"/>
      <c r="R99" s="40"/>
      <c r="S99" t="s">
        <v>2808</v>
      </c>
      <c r="T99">
        <v>5.28</v>
      </c>
      <c r="U99" s="40">
        <f t="shared" si="9"/>
        <v>1.8957351648991973E-3</v>
      </c>
      <c r="V99" s="40">
        <f t="shared" si="10"/>
        <v>5.28</v>
      </c>
      <c r="W99" s="40">
        <f t="shared" si="11"/>
        <v>1.8957351648991973E-3</v>
      </c>
    </row>
    <row r="100" spans="1:23" x14ac:dyDescent="0.2">
      <c r="A100" s="40" t="s">
        <v>809</v>
      </c>
      <c r="B100" s="40">
        <v>16.829999999999998</v>
      </c>
      <c r="C100" s="40">
        <v>16.829999999999998</v>
      </c>
      <c r="D100" s="40">
        <v>16.829999999999998</v>
      </c>
      <c r="E100" s="40">
        <v>16.829999999999998</v>
      </c>
      <c r="G100" s="36">
        <v>45548</v>
      </c>
      <c r="H100" s="40">
        <v>17.95</v>
      </c>
      <c r="I100" s="40">
        <v>119.1</v>
      </c>
      <c r="J100" s="44"/>
      <c r="K100" s="40"/>
      <c r="L100" s="45">
        <v>17.95</v>
      </c>
      <c r="M100" s="46">
        <v>119.1</v>
      </c>
      <c r="N100" s="40">
        <f t="shared" si="6"/>
        <v>-7.7691844729159626E-3</v>
      </c>
      <c r="O100" s="40">
        <f t="shared" si="7"/>
        <v>-3.3579583928697982E-4</v>
      </c>
      <c r="P100" s="40">
        <f t="shared" si="8"/>
        <v>-3.3573946617430125E-4</v>
      </c>
      <c r="Q100" s="40"/>
      <c r="R100" s="40"/>
      <c r="S100" t="s">
        <v>2807</v>
      </c>
      <c r="T100">
        <v>5.27</v>
      </c>
      <c r="U100" s="40">
        <f t="shared" si="9"/>
        <v>3.8022859497384787E-3</v>
      </c>
      <c r="V100" s="40">
        <f t="shared" si="10"/>
        <v>5.27</v>
      </c>
      <c r="W100" s="40">
        <f t="shared" si="11"/>
        <v>3.8022859497384787E-3</v>
      </c>
    </row>
    <row r="101" spans="1:23" x14ac:dyDescent="0.2">
      <c r="A101" s="40" t="s">
        <v>810</v>
      </c>
      <c r="B101" s="40">
        <v>14.62</v>
      </c>
      <c r="C101" s="40">
        <v>14.62</v>
      </c>
      <c r="D101" s="40">
        <v>14.62</v>
      </c>
      <c r="E101" s="40">
        <v>14.62</v>
      </c>
      <c r="G101" s="36">
        <v>45547</v>
      </c>
      <c r="H101" s="40">
        <v>18.09</v>
      </c>
      <c r="I101" s="40">
        <v>119.14</v>
      </c>
      <c r="J101" s="44"/>
      <c r="K101" s="40"/>
      <c r="L101" s="45">
        <v>18.09</v>
      </c>
      <c r="M101" s="46">
        <v>119.14</v>
      </c>
      <c r="N101" s="40">
        <f t="shared" si="6"/>
        <v>5.1031480012445826E-2</v>
      </c>
      <c r="O101" s="40">
        <f t="shared" si="7"/>
        <v>1.8894864181813922E-2</v>
      </c>
      <c r="P101" s="40">
        <f t="shared" si="8"/>
        <v>1.9074501753485622E-2</v>
      </c>
      <c r="Q101" s="40"/>
      <c r="R101" s="40"/>
      <c r="S101" t="s">
        <v>2806</v>
      </c>
      <c r="T101">
        <v>5.25</v>
      </c>
      <c r="U101" s="40">
        <f t="shared" si="9"/>
        <v>-3.8022859497384592E-3</v>
      </c>
      <c r="V101" s="40">
        <f t="shared" si="10"/>
        <v>5.25</v>
      </c>
      <c r="W101" s="40">
        <f t="shared" si="11"/>
        <v>-3.8022859497384592E-3</v>
      </c>
    </row>
    <row r="102" spans="1:23" x14ac:dyDescent="0.2">
      <c r="A102" s="40" t="s">
        <v>811</v>
      </c>
      <c r="B102" s="40">
        <v>14.79</v>
      </c>
      <c r="C102" s="40">
        <v>14.79</v>
      </c>
      <c r="D102" s="40">
        <v>14.79</v>
      </c>
      <c r="E102" s="40">
        <v>14.79</v>
      </c>
      <c r="G102" s="36">
        <v>45546</v>
      </c>
      <c r="H102" s="40">
        <v>17.190000000000001</v>
      </c>
      <c r="I102" s="40">
        <v>116.91</v>
      </c>
      <c r="J102" s="44"/>
      <c r="K102" s="40"/>
      <c r="L102" s="45">
        <v>17.190000000000001</v>
      </c>
      <c r="M102" s="46">
        <v>116.91</v>
      </c>
      <c r="N102" s="40">
        <f t="shared" si="6"/>
        <v>8.4317879361836795E-2</v>
      </c>
      <c r="O102" s="40">
        <f t="shared" si="7"/>
        <v>7.8347683373565069E-2</v>
      </c>
      <c r="P102" s="40">
        <f t="shared" si="8"/>
        <v>8.1498612395929718E-2</v>
      </c>
      <c r="Q102" s="40"/>
      <c r="R102" s="40"/>
      <c r="S102" t="s">
        <v>2805</v>
      </c>
      <c r="T102">
        <v>5.27</v>
      </c>
      <c r="U102" s="40">
        <f t="shared" si="9"/>
        <v>-1.895735164899312E-3</v>
      </c>
      <c r="V102" s="40">
        <f t="shared" si="10"/>
        <v>5.27</v>
      </c>
      <c r="W102" s="40">
        <f t="shared" si="11"/>
        <v>-1.895735164899312E-3</v>
      </c>
    </row>
    <row r="103" spans="1:23" x14ac:dyDescent="0.2">
      <c r="A103" s="40" t="s">
        <v>812</v>
      </c>
      <c r="B103" s="40">
        <v>14.89</v>
      </c>
      <c r="C103" s="40">
        <v>14.89</v>
      </c>
      <c r="D103" s="40">
        <v>14.89</v>
      </c>
      <c r="E103" s="40">
        <v>14.89</v>
      </c>
      <c r="G103" s="36">
        <v>45545</v>
      </c>
      <c r="H103" s="40">
        <v>15.8</v>
      </c>
      <c r="I103" s="40">
        <v>108.1</v>
      </c>
      <c r="J103" s="44"/>
      <c r="K103" s="40"/>
      <c r="L103" s="45">
        <v>15.8</v>
      </c>
      <c r="M103" s="46">
        <v>108.1</v>
      </c>
      <c r="N103" s="40">
        <f t="shared" si="6"/>
        <v>-5.8388318238154234E-2</v>
      </c>
      <c r="O103" s="40">
        <f t="shared" si="7"/>
        <v>1.5193469318647681E-2</v>
      </c>
      <c r="P103" s="40">
        <f t="shared" si="8"/>
        <v>1.5309476847938343E-2</v>
      </c>
      <c r="Q103" s="40"/>
      <c r="R103" s="40"/>
      <c r="S103" t="s">
        <v>2804</v>
      </c>
      <c r="T103">
        <v>5.28</v>
      </c>
      <c r="U103" s="40">
        <f t="shared" si="9"/>
        <v>1.8957351648991973E-3</v>
      </c>
      <c r="V103" s="40">
        <f t="shared" si="10"/>
        <v>5.28</v>
      </c>
      <c r="W103" s="40">
        <f t="shared" si="11"/>
        <v>1.8957351648991973E-3</v>
      </c>
    </row>
    <row r="104" spans="1:23" x14ac:dyDescent="0.2">
      <c r="A104" s="41">
        <v>40549</v>
      </c>
      <c r="B104" s="40">
        <v>19.100000000000001</v>
      </c>
      <c r="C104" s="40">
        <v>19.100000000000001</v>
      </c>
      <c r="D104" s="40">
        <v>19.100000000000001</v>
      </c>
      <c r="E104" s="40">
        <v>19.100000000000001</v>
      </c>
      <c r="G104" s="36">
        <v>45544</v>
      </c>
      <c r="H104" s="40">
        <v>16.75</v>
      </c>
      <c r="I104" s="40">
        <v>106.47</v>
      </c>
      <c r="J104" s="44"/>
      <c r="K104" s="40"/>
      <c r="L104" s="45">
        <v>16.75</v>
      </c>
      <c r="M104" s="46">
        <v>106.47</v>
      </c>
      <c r="N104" s="40">
        <f t="shared" si="6"/>
        <v>-6.5284511474292595E-2</v>
      </c>
      <c r="O104" s="40">
        <f t="shared" si="7"/>
        <v>3.4786116085415604E-2</v>
      </c>
      <c r="P104" s="40">
        <f t="shared" si="8"/>
        <v>3.5398230088495582E-2</v>
      </c>
      <c r="Q104" s="40"/>
      <c r="R104" s="40"/>
      <c r="S104" t="s">
        <v>2803</v>
      </c>
      <c r="T104">
        <v>5.27</v>
      </c>
      <c r="U104" s="40">
        <f t="shared" si="9"/>
        <v>0</v>
      </c>
      <c r="V104" s="40">
        <f t="shared" si="10"/>
        <v>5.27</v>
      </c>
      <c r="W104" s="40">
        <f t="shared" si="11"/>
        <v>0</v>
      </c>
    </row>
    <row r="105" spans="1:23" x14ac:dyDescent="0.2">
      <c r="A105" s="41">
        <v>40580</v>
      </c>
      <c r="B105" s="40">
        <v>18.93</v>
      </c>
      <c r="C105" s="40">
        <v>18.93</v>
      </c>
      <c r="D105" s="40">
        <v>18.93</v>
      </c>
      <c r="E105" s="40">
        <v>18.93</v>
      </c>
      <c r="G105" s="36">
        <v>45541</v>
      </c>
      <c r="H105" s="40">
        <v>17.88</v>
      </c>
      <c r="I105" s="40">
        <v>102.83</v>
      </c>
      <c r="J105" s="44"/>
      <c r="K105" s="40"/>
      <c r="L105" s="45">
        <v>17.88</v>
      </c>
      <c r="M105" s="46">
        <v>102.83</v>
      </c>
      <c r="N105" s="40">
        <f t="shared" si="6"/>
        <v>-9.6428122905666255E-2</v>
      </c>
      <c r="O105" s="40">
        <f t="shared" si="7"/>
        <v>-4.1712388627049075E-2</v>
      </c>
      <c r="P105" s="40">
        <f t="shared" si="8"/>
        <v>-4.0854397910642624E-2</v>
      </c>
      <c r="Q105" s="40"/>
      <c r="R105" s="40"/>
      <c r="S105" t="s">
        <v>2802</v>
      </c>
      <c r="T105">
        <v>5.27</v>
      </c>
      <c r="U105" s="40">
        <f t="shared" si="9"/>
        <v>5.7088642203199794E-3</v>
      </c>
      <c r="V105" s="40">
        <f t="shared" si="10"/>
        <v>5.27</v>
      </c>
      <c r="W105" s="40">
        <f t="shared" si="11"/>
        <v>5.7088642203199794E-3</v>
      </c>
    </row>
    <row r="106" spans="1:23" x14ac:dyDescent="0.2">
      <c r="A106" s="41">
        <v>40608</v>
      </c>
      <c r="B106" s="40">
        <v>17.989999999999998</v>
      </c>
      <c r="C106" s="40">
        <v>17.989999999999998</v>
      </c>
      <c r="D106" s="40">
        <v>17.989999999999998</v>
      </c>
      <c r="E106" s="40">
        <v>17.989999999999998</v>
      </c>
      <c r="G106" s="36">
        <v>45540</v>
      </c>
      <c r="H106" s="40">
        <v>19.690000000000001</v>
      </c>
      <c r="I106" s="40">
        <v>107.21</v>
      </c>
      <c r="J106" s="44"/>
      <c r="K106" s="40"/>
      <c r="L106" s="45">
        <v>19.690000000000001</v>
      </c>
      <c r="M106" s="46">
        <v>107.21</v>
      </c>
      <c r="N106" s="40">
        <f t="shared" si="6"/>
        <v>1.0162602500663716E-3</v>
      </c>
      <c r="O106" s="40">
        <f t="shared" si="7"/>
        <v>9.371261534700203E-3</v>
      </c>
      <c r="P106" s="40">
        <f t="shared" si="8"/>
        <v>9.4153092929102726E-3</v>
      </c>
      <c r="Q106" s="40"/>
      <c r="R106" s="40"/>
      <c r="S106" t="s">
        <v>2801</v>
      </c>
      <c r="T106">
        <v>5.24</v>
      </c>
      <c r="U106" s="40">
        <f t="shared" si="9"/>
        <v>1.9102202561192452E-3</v>
      </c>
      <c r="V106" s="40">
        <f t="shared" si="10"/>
        <v>5.24</v>
      </c>
      <c r="W106" s="40">
        <f t="shared" si="11"/>
        <v>1.9102202561192452E-3</v>
      </c>
    </row>
    <row r="107" spans="1:23" x14ac:dyDescent="0.2">
      <c r="A107" s="41">
        <v>40700</v>
      </c>
      <c r="B107" s="40">
        <v>19.350000000000001</v>
      </c>
      <c r="C107" s="40">
        <v>19.350000000000001</v>
      </c>
      <c r="D107" s="40">
        <v>19.350000000000001</v>
      </c>
      <c r="E107" s="40">
        <v>19.350000000000001</v>
      </c>
      <c r="G107" s="36">
        <v>45539</v>
      </c>
      <c r="H107" s="40">
        <v>19.670000000000002</v>
      </c>
      <c r="I107" s="40">
        <v>106.21</v>
      </c>
      <c r="J107" s="44"/>
      <c r="K107" s="40"/>
      <c r="L107" s="45">
        <v>19.670000000000002</v>
      </c>
      <c r="M107" s="46">
        <v>106.21</v>
      </c>
      <c r="N107" s="40">
        <f t="shared" si="6"/>
        <v>-0.12369671344643104</v>
      </c>
      <c r="O107" s="40">
        <f t="shared" si="7"/>
        <v>-1.6712960790771555E-2</v>
      </c>
      <c r="P107" s="40">
        <f t="shared" si="8"/>
        <v>-1.6574074074074133E-2</v>
      </c>
      <c r="Q107" s="40"/>
      <c r="R107" s="40"/>
      <c r="S107" t="s">
        <v>2800</v>
      </c>
      <c r="T107">
        <v>5.23</v>
      </c>
      <c r="U107" s="40">
        <f t="shared" si="9"/>
        <v>1.9138761822844192E-3</v>
      </c>
      <c r="V107" s="40">
        <f t="shared" si="10"/>
        <v>5.23</v>
      </c>
      <c r="W107" s="40">
        <f t="shared" si="11"/>
        <v>1.9138761822844192E-3</v>
      </c>
    </row>
    <row r="108" spans="1:23" x14ac:dyDescent="0.2">
      <c r="A108" s="41">
        <v>40730</v>
      </c>
      <c r="B108" s="40">
        <v>18.41</v>
      </c>
      <c r="C108" s="40">
        <v>18.41</v>
      </c>
      <c r="D108" s="40">
        <v>18.41</v>
      </c>
      <c r="E108" s="40">
        <v>18.41</v>
      </c>
      <c r="G108" s="36">
        <v>45538</v>
      </c>
      <c r="H108" s="40">
        <v>22.26</v>
      </c>
      <c r="I108" s="40">
        <v>108</v>
      </c>
      <c r="J108" s="44"/>
      <c r="K108" s="40"/>
      <c r="L108" s="45">
        <v>22.26</v>
      </c>
      <c r="M108" s="46">
        <v>108</v>
      </c>
      <c r="N108" s="40">
        <f t="shared" si="6"/>
        <v>0.13032769923276225</v>
      </c>
      <c r="O108" s="40">
        <f t="shared" si="7"/>
        <v>-0.10009668598272735</v>
      </c>
      <c r="P108" s="40">
        <f t="shared" si="8"/>
        <v>-9.5250062829856777E-2</v>
      </c>
      <c r="Q108" s="40"/>
      <c r="R108" s="40"/>
      <c r="S108" t="s">
        <v>2799</v>
      </c>
      <c r="T108">
        <v>5.22</v>
      </c>
      <c r="U108" s="40">
        <f t="shared" si="9"/>
        <v>0</v>
      </c>
      <c r="V108" s="40">
        <f t="shared" si="10"/>
        <v>5.22</v>
      </c>
      <c r="W108" s="40">
        <f t="shared" si="11"/>
        <v>0</v>
      </c>
    </row>
    <row r="109" spans="1:23" x14ac:dyDescent="0.2">
      <c r="A109" s="41">
        <v>40761</v>
      </c>
      <c r="B109" s="40">
        <v>19.02</v>
      </c>
      <c r="C109" s="40">
        <v>19.02</v>
      </c>
      <c r="D109" s="40">
        <v>19.02</v>
      </c>
      <c r="E109" s="40">
        <v>19.02</v>
      </c>
      <c r="G109" s="36">
        <v>45534</v>
      </c>
      <c r="H109" s="40">
        <v>19.54</v>
      </c>
      <c r="I109" s="40">
        <v>119.37</v>
      </c>
      <c r="J109" s="44"/>
      <c r="K109" s="40"/>
      <c r="L109" s="45">
        <v>19.54</v>
      </c>
      <c r="M109" s="46">
        <v>119.37</v>
      </c>
      <c r="N109" s="40">
        <f t="shared" si="6"/>
        <v>-4.4540762214894093E-2</v>
      </c>
      <c r="O109" s="40">
        <f t="shared" si="7"/>
        <v>1.5023915271622633E-2</v>
      </c>
      <c r="P109" s="40">
        <f t="shared" si="8"/>
        <v>1.513734161068119E-2</v>
      </c>
      <c r="Q109" s="40"/>
      <c r="R109" s="40"/>
      <c r="S109" t="s">
        <v>2798</v>
      </c>
      <c r="T109">
        <v>5.22</v>
      </c>
      <c r="U109" s="40">
        <f t="shared" si="9"/>
        <v>0</v>
      </c>
      <c r="V109" s="40">
        <f t="shared" si="10"/>
        <v>5.22</v>
      </c>
      <c r="W109" s="40">
        <f t="shared" si="11"/>
        <v>0</v>
      </c>
    </row>
    <row r="110" spans="1:23" x14ac:dyDescent="0.2">
      <c r="A110" s="41">
        <v>40792</v>
      </c>
      <c r="B110" s="40">
        <v>18.11</v>
      </c>
      <c r="C110" s="40">
        <v>18.11</v>
      </c>
      <c r="D110" s="40">
        <v>18.11</v>
      </c>
      <c r="E110" s="40">
        <v>18.11</v>
      </c>
      <c r="G110" s="36">
        <v>45533</v>
      </c>
      <c r="H110" s="40">
        <v>20.43</v>
      </c>
      <c r="I110" s="40">
        <v>117.59</v>
      </c>
      <c r="J110" s="44"/>
      <c r="K110" s="40"/>
      <c r="L110" s="45">
        <v>20.43</v>
      </c>
      <c r="M110" s="46">
        <v>117.59</v>
      </c>
      <c r="N110" s="40">
        <f t="shared" si="6"/>
        <v>1.7778246021283969E-2</v>
      </c>
      <c r="O110" s="40">
        <f t="shared" si="7"/>
        <v>-6.597787086383719E-2</v>
      </c>
      <c r="P110" s="40">
        <f t="shared" si="8"/>
        <v>-6.3848419711806353E-2</v>
      </c>
      <c r="Q110" s="40"/>
      <c r="R110" s="40"/>
      <c r="S110" t="s">
        <v>2797</v>
      </c>
      <c r="T110">
        <v>5.22</v>
      </c>
      <c r="U110" s="40">
        <f t="shared" si="9"/>
        <v>3.8387763071656669E-3</v>
      </c>
      <c r="V110" s="40">
        <f t="shared" si="10"/>
        <v>5.22</v>
      </c>
      <c r="W110" s="40">
        <f t="shared" si="11"/>
        <v>3.8387763071656669E-3</v>
      </c>
    </row>
    <row r="111" spans="1:23" x14ac:dyDescent="0.2">
      <c r="A111" s="41">
        <v>40822</v>
      </c>
      <c r="B111" s="40">
        <v>18.920000000000002</v>
      </c>
      <c r="C111" s="40">
        <v>18.920000000000002</v>
      </c>
      <c r="D111" s="40">
        <v>18.920000000000002</v>
      </c>
      <c r="E111" s="40">
        <v>18.920000000000002</v>
      </c>
      <c r="G111" s="36">
        <v>45532</v>
      </c>
      <c r="H111" s="40">
        <v>20.07</v>
      </c>
      <c r="I111" s="40">
        <v>125.61</v>
      </c>
      <c r="J111" s="44"/>
      <c r="K111" s="40"/>
      <c r="L111" s="45">
        <v>20.07</v>
      </c>
      <c r="M111" s="46">
        <v>125.61</v>
      </c>
      <c r="N111" s="40">
        <f t="shared" si="6"/>
        <v>0.4419988514406204</v>
      </c>
      <c r="O111" s="40">
        <f t="shared" si="7"/>
        <v>-2.1189402922429205E-2</v>
      </c>
      <c r="P111" s="40">
        <f t="shared" si="8"/>
        <v>-2.096648480124717E-2</v>
      </c>
      <c r="Q111" s="40"/>
      <c r="R111" s="40"/>
      <c r="S111" t="s">
        <v>2796</v>
      </c>
      <c r="T111">
        <v>5.2</v>
      </c>
      <c r="U111" s="40">
        <f t="shared" si="9"/>
        <v>-9.5694510161506725E-3</v>
      </c>
      <c r="V111" s="40">
        <f t="shared" si="10"/>
        <v>5.2</v>
      </c>
      <c r="W111" s="40">
        <f t="shared" si="11"/>
        <v>-9.5694510161506725E-3</v>
      </c>
    </row>
    <row r="112" spans="1:23" x14ac:dyDescent="0.2">
      <c r="A112" s="40" t="s">
        <v>813</v>
      </c>
      <c r="B112" s="40">
        <v>20.28</v>
      </c>
      <c r="C112" s="40">
        <v>20.28</v>
      </c>
      <c r="D112" s="40">
        <v>20.28</v>
      </c>
      <c r="E112" s="40">
        <v>20.28</v>
      </c>
      <c r="G112" s="36">
        <v>45531</v>
      </c>
      <c r="H112" s="40">
        <v>12.9</v>
      </c>
      <c r="I112" s="40">
        <v>128.30000000000001</v>
      </c>
      <c r="J112" s="44"/>
      <c r="K112" s="40"/>
      <c r="L112" s="45">
        <v>12.9</v>
      </c>
      <c r="M112" s="46">
        <v>128.30000000000001</v>
      </c>
      <c r="N112" s="40">
        <f t="shared" si="6"/>
        <v>-6.2355908412253198E-2</v>
      </c>
      <c r="O112" s="40">
        <f t="shared" si="7"/>
        <v>1.4445218991123788E-2</v>
      </c>
      <c r="P112" s="40">
        <f t="shared" si="8"/>
        <v>1.4550055353471593E-2</v>
      </c>
      <c r="Q112" s="40"/>
      <c r="R112" s="40"/>
      <c r="S112" t="s">
        <v>2795</v>
      </c>
      <c r="T112">
        <v>5.25</v>
      </c>
      <c r="U112" s="40">
        <f t="shared" si="9"/>
        <v>-1.9029501460860756E-3</v>
      </c>
      <c r="V112" s="40">
        <f t="shared" si="10"/>
        <v>5.25</v>
      </c>
      <c r="W112" s="40">
        <f t="shared" si="11"/>
        <v>-1.9029501460860756E-3</v>
      </c>
    </row>
    <row r="113" spans="1:23" x14ac:dyDescent="0.2">
      <c r="A113" s="40" t="s">
        <v>814</v>
      </c>
      <c r="B113" s="40">
        <v>18.440000000000001</v>
      </c>
      <c r="C113" s="40">
        <v>18.440000000000001</v>
      </c>
      <c r="D113" s="40">
        <v>18.440000000000001</v>
      </c>
      <c r="E113" s="40">
        <v>18.440000000000001</v>
      </c>
      <c r="G113" s="36">
        <v>45530</v>
      </c>
      <c r="H113" s="40">
        <v>13.73</v>
      </c>
      <c r="I113" s="40">
        <v>126.46</v>
      </c>
      <c r="J113" s="44"/>
      <c r="K113" s="40"/>
      <c r="L113" s="45">
        <v>13.73</v>
      </c>
      <c r="M113" s="46">
        <v>126.46</v>
      </c>
      <c r="N113" s="40">
        <f t="shared" si="6"/>
        <v>-0.19222621561318287</v>
      </c>
      <c r="O113" s="40">
        <f t="shared" si="7"/>
        <v>-2.2750463299343521E-2</v>
      </c>
      <c r="P113" s="40">
        <f t="shared" si="8"/>
        <v>-2.249362294194953E-2</v>
      </c>
      <c r="Q113" s="40"/>
      <c r="R113" s="40"/>
      <c r="S113" t="s">
        <v>2794</v>
      </c>
      <c r="T113">
        <v>5.26</v>
      </c>
      <c r="U113" s="40">
        <f t="shared" si="9"/>
        <v>-1.8993358036524051E-3</v>
      </c>
      <c r="V113" s="40">
        <f t="shared" si="10"/>
        <v>5.26</v>
      </c>
      <c r="W113" s="40">
        <f t="shared" si="11"/>
        <v>-1.8993358036524051E-3</v>
      </c>
    </row>
    <row r="114" spans="1:23" x14ac:dyDescent="0.2">
      <c r="A114" s="40" t="s">
        <v>815</v>
      </c>
      <c r="B114" s="40">
        <v>22.03</v>
      </c>
      <c r="C114" s="40">
        <v>22.03</v>
      </c>
      <c r="D114" s="40">
        <v>22.03</v>
      </c>
      <c r="E114" s="40">
        <v>22.03</v>
      </c>
      <c r="G114" s="36">
        <v>45527</v>
      </c>
      <c r="H114" s="40">
        <v>16.64</v>
      </c>
      <c r="I114" s="40">
        <v>129.37</v>
      </c>
      <c r="J114" s="44"/>
      <c r="K114" s="40"/>
      <c r="L114" s="45">
        <v>16.64</v>
      </c>
      <c r="M114" s="46">
        <v>129.37</v>
      </c>
      <c r="N114" s="40">
        <f t="shared" si="6"/>
        <v>0.16068238169047352</v>
      </c>
      <c r="O114" s="40">
        <f t="shared" si="7"/>
        <v>4.449392582696797E-2</v>
      </c>
      <c r="P114" s="40">
        <f t="shared" si="8"/>
        <v>4.5498626151608289E-2</v>
      </c>
      <c r="Q114" s="40"/>
      <c r="R114" s="40"/>
      <c r="S114" t="s">
        <v>2793</v>
      </c>
      <c r="T114">
        <v>5.27</v>
      </c>
      <c r="U114" s="40">
        <f t="shared" si="9"/>
        <v>0</v>
      </c>
      <c r="V114" s="40">
        <f t="shared" si="10"/>
        <v>5.27</v>
      </c>
      <c r="W114" s="40">
        <f t="shared" si="11"/>
        <v>0</v>
      </c>
    </row>
    <row r="115" spans="1:23" x14ac:dyDescent="0.2">
      <c r="A115" s="40" t="s">
        <v>816</v>
      </c>
      <c r="B115" s="40">
        <v>24.63</v>
      </c>
      <c r="C115" s="40">
        <v>24.63</v>
      </c>
      <c r="D115" s="40">
        <v>24.63</v>
      </c>
      <c r="E115" s="40">
        <v>24.63</v>
      </c>
      <c r="G115" s="36">
        <v>45526</v>
      </c>
      <c r="H115" s="40">
        <v>14.17</v>
      </c>
      <c r="I115" s="40">
        <v>123.74</v>
      </c>
      <c r="J115" s="44"/>
      <c r="K115" s="40"/>
      <c r="L115" s="45">
        <v>14.17</v>
      </c>
      <c r="M115" s="46">
        <v>123.74</v>
      </c>
      <c r="N115" s="40">
        <f t="shared" si="6"/>
        <v>-4.8218706769474644E-2</v>
      </c>
      <c r="O115" s="40">
        <f t="shared" si="7"/>
        <v>-3.7746314232431778E-2</v>
      </c>
      <c r="P115" s="40">
        <f t="shared" si="8"/>
        <v>-3.7042801556420271E-2</v>
      </c>
      <c r="Q115" s="40"/>
      <c r="R115" s="40"/>
      <c r="S115" t="s">
        <v>2792</v>
      </c>
      <c r="T115">
        <v>5.27</v>
      </c>
      <c r="U115" s="40">
        <f t="shared" si="9"/>
        <v>-1.895735164899312E-3</v>
      </c>
      <c r="V115" s="40">
        <f t="shared" si="10"/>
        <v>5.27</v>
      </c>
      <c r="W115" s="40">
        <f t="shared" si="11"/>
        <v>-1.895735164899312E-3</v>
      </c>
    </row>
    <row r="116" spans="1:23" x14ac:dyDescent="0.2">
      <c r="A116" s="40" t="s">
        <v>817</v>
      </c>
      <c r="B116" s="40">
        <v>23.13</v>
      </c>
      <c r="C116" s="40">
        <v>23.13</v>
      </c>
      <c r="D116" s="40">
        <v>23.13</v>
      </c>
      <c r="E116" s="40">
        <v>23.13</v>
      </c>
      <c r="G116" s="36">
        <v>45525</v>
      </c>
      <c r="H116" s="40">
        <v>14.87</v>
      </c>
      <c r="I116" s="40">
        <v>128.5</v>
      </c>
      <c r="J116" s="44"/>
      <c r="K116" s="40"/>
      <c r="L116" s="45">
        <v>14.87</v>
      </c>
      <c r="M116" s="46">
        <v>128.5</v>
      </c>
      <c r="N116" s="40">
        <f t="shared" si="6"/>
        <v>8.2680121171706075E-2</v>
      </c>
      <c r="O116" s="40">
        <f t="shared" si="7"/>
        <v>9.7752489046424654E-3</v>
      </c>
      <c r="P116" s="40">
        <f t="shared" si="8"/>
        <v>9.823182711198428E-3</v>
      </c>
      <c r="Q116" s="40"/>
      <c r="R116" s="40"/>
      <c r="S116" t="s">
        <v>2791</v>
      </c>
      <c r="T116">
        <v>5.28</v>
      </c>
      <c r="U116" s="40">
        <f t="shared" si="9"/>
        <v>1.8957351648991973E-3</v>
      </c>
      <c r="V116" s="40">
        <f t="shared" si="10"/>
        <v>5.28</v>
      </c>
      <c r="W116" s="40">
        <f t="shared" si="11"/>
        <v>1.8957351648991973E-3</v>
      </c>
    </row>
    <row r="117" spans="1:23" x14ac:dyDescent="0.2">
      <c r="A117" s="40" t="s">
        <v>818</v>
      </c>
      <c r="B117" s="40">
        <v>20.74</v>
      </c>
      <c r="C117" s="40">
        <v>20.74</v>
      </c>
      <c r="D117" s="40">
        <v>20.74</v>
      </c>
      <c r="E117" s="40">
        <v>20.74</v>
      </c>
      <c r="G117" s="36">
        <v>45524</v>
      </c>
      <c r="H117" s="40">
        <v>13.69</v>
      </c>
      <c r="I117" s="40">
        <v>127.25</v>
      </c>
      <c r="J117" s="44"/>
      <c r="K117" s="40"/>
      <c r="L117" s="45">
        <v>13.69</v>
      </c>
      <c r="M117" s="46">
        <v>127.25</v>
      </c>
      <c r="N117" s="40">
        <f t="shared" si="6"/>
        <v>-0.18972046252271446</v>
      </c>
      <c r="O117" s="40">
        <f t="shared" si="7"/>
        <v>-2.1380795024950331E-2</v>
      </c>
      <c r="P117" s="40">
        <f t="shared" si="8"/>
        <v>-2.1153846153846155E-2</v>
      </c>
      <c r="Q117" s="40"/>
      <c r="R117" s="40"/>
      <c r="S117" t="s">
        <v>2790</v>
      </c>
      <c r="T117">
        <v>5.27</v>
      </c>
      <c r="U117" s="40">
        <f t="shared" si="9"/>
        <v>0</v>
      </c>
      <c r="V117" s="40">
        <f t="shared" si="10"/>
        <v>5.27</v>
      </c>
      <c r="W117" s="40">
        <f t="shared" si="11"/>
        <v>0</v>
      </c>
    </row>
    <row r="118" spans="1:23" x14ac:dyDescent="0.2">
      <c r="A118" s="40" t="s">
        <v>819</v>
      </c>
      <c r="B118" s="40">
        <v>20.18</v>
      </c>
      <c r="C118" s="40">
        <v>20.18</v>
      </c>
      <c r="D118" s="40">
        <v>20.18</v>
      </c>
      <c r="E118" s="40">
        <v>20.18</v>
      </c>
      <c r="G118" s="36">
        <v>45523</v>
      </c>
      <c r="H118" s="40">
        <v>16.55</v>
      </c>
      <c r="I118" s="40">
        <v>130</v>
      </c>
      <c r="J118" s="44"/>
      <c r="K118" s="40"/>
      <c r="L118" s="45">
        <v>16.55</v>
      </c>
      <c r="M118" s="46">
        <v>130</v>
      </c>
      <c r="N118" s="40">
        <f t="shared" si="6"/>
        <v>5.5915184836909763E-2</v>
      </c>
      <c r="O118" s="40">
        <f t="shared" si="7"/>
        <v>4.2586370629583002E-2</v>
      </c>
      <c r="P118" s="40">
        <f t="shared" si="8"/>
        <v>4.3506180767378402E-2</v>
      </c>
      <c r="Q118" s="40"/>
      <c r="R118" s="40"/>
      <c r="S118" t="s">
        <v>2789</v>
      </c>
      <c r="T118">
        <v>5.27</v>
      </c>
      <c r="U118" s="40">
        <f t="shared" si="9"/>
        <v>-9.4429408002821829E-3</v>
      </c>
      <c r="V118" s="40">
        <f t="shared" si="10"/>
        <v>5.27</v>
      </c>
      <c r="W118" s="40">
        <f t="shared" si="11"/>
        <v>-9.4429408002821829E-3</v>
      </c>
    </row>
    <row r="119" spans="1:23" x14ac:dyDescent="0.2">
      <c r="A119" s="40" t="s">
        <v>820</v>
      </c>
      <c r="B119" s="40">
        <v>18.64</v>
      </c>
      <c r="C119" s="40">
        <v>18.64</v>
      </c>
      <c r="D119" s="40">
        <v>18.64</v>
      </c>
      <c r="E119" s="40">
        <v>18.64</v>
      </c>
      <c r="G119" s="36">
        <v>45520</v>
      </c>
      <c r="H119" s="40">
        <v>15.65</v>
      </c>
      <c r="I119" s="40">
        <v>124.58</v>
      </c>
      <c r="J119" s="44"/>
      <c r="K119" s="40"/>
      <c r="L119" s="45">
        <v>15.65</v>
      </c>
      <c r="M119" s="46">
        <v>124.58</v>
      </c>
      <c r="N119" s="40">
        <f t="shared" si="6"/>
        <v>-1.2698583337127319E-2</v>
      </c>
      <c r="O119" s="40">
        <f t="shared" si="7"/>
        <v>1.3902584090218092E-2</v>
      </c>
      <c r="P119" s="40">
        <f t="shared" si="8"/>
        <v>1.3999674426176126E-2</v>
      </c>
      <c r="Q119" s="40"/>
      <c r="R119" s="40"/>
      <c r="S119" t="s">
        <v>2788</v>
      </c>
      <c r="T119">
        <v>5.32</v>
      </c>
      <c r="U119" s="40">
        <f t="shared" si="9"/>
        <v>9.4429408002820875E-3</v>
      </c>
      <c r="V119" s="40">
        <f t="shared" si="10"/>
        <v>5.32</v>
      </c>
      <c r="W119" s="40">
        <f t="shared" si="11"/>
        <v>9.4429408002820875E-3</v>
      </c>
    </row>
    <row r="120" spans="1:23" x14ac:dyDescent="0.2">
      <c r="A120" s="40" t="s">
        <v>821</v>
      </c>
      <c r="B120" s="40">
        <v>20.07</v>
      </c>
      <c r="C120" s="40">
        <v>20.07</v>
      </c>
      <c r="D120" s="40">
        <v>20.07</v>
      </c>
      <c r="E120" s="40">
        <v>20.07</v>
      </c>
      <c r="G120" s="36">
        <v>45519</v>
      </c>
      <c r="H120" s="40">
        <v>15.85</v>
      </c>
      <c r="I120" s="40">
        <v>122.86</v>
      </c>
      <c r="J120" s="44"/>
      <c r="K120" s="40"/>
      <c r="L120" s="45">
        <v>15.85</v>
      </c>
      <c r="M120" s="46">
        <v>122.86</v>
      </c>
      <c r="N120" s="40">
        <f t="shared" si="6"/>
        <v>0.11557726825819367</v>
      </c>
      <c r="O120" s="40">
        <f t="shared" si="7"/>
        <v>3.9683134883619096E-2</v>
      </c>
      <c r="P120" s="40">
        <f t="shared" si="8"/>
        <v>4.0481029810298115E-2</v>
      </c>
      <c r="Q120" s="40"/>
      <c r="R120" s="40"/>
      <c r="S120" t="s">
        <v>2787</v>
      </c>
      <c r="T120">
        <v>5.27</v>
      </c>
      <c r="U120" s="40">
        <f t="shared" si="9"/>
        <v>1.8993358036523157E-3</v>
      </c>
      <c r="V120" s="40">
        <f t="shared" si="10"/>
        <v>5.27</v>
      </c>
      <c r="W120" s="40">
        <f t="shared" si="11"/>
        <v>1.8993358036523157E-3</v>
      </c>
    </row>
    <row r="121" spans="1:23" x14ac:dyDescent="0.2">
      <c r="A121" s="40" t="s">
        <v>822</v>
      </c>
      <c r="B121" s="40">
        <v>22.47</v>
      </c>
      <c r="C121" s="40">
        <v>22.47</v>
      </c>
      <c r="D121" s="40">
        <v>22.47</v>
      </c>
      <c r="E121" s="40">
        <v>22.47</v>
      </c>
      <c r="G121" s="36">
        <v>45518</v>
      </c>
      <c r="H121" s="40">
        <v>14.12</v>
      </c>
      <c r="I121" s="40">
        <v>118.08</v>
      </c>
      <c r="J121" s="44"/>
      <c r="K121" s="40"/>
      <c r="L121" s="45">
        <v>14.12</v>
      </c>
      <c r="M121" s="46">
        <v>118.08</v>
      </c>
      <c r="N121" s="40">
        <f t="shared" si="6"/>
        <v>8.4953233736743489E-2</v>
      </c>
      <c r="O121" s="40">
        <f t="shared" si="7"/>
        <v>1.6566000908258448E-2</v>
      </c>
      <c r="P121" s="40">
        <f t="shared" si="8"/>
        <v>1.6703977957637315E-2</v>
      </c>
      <c r="Q121" s="40"/>
      <c r="R121" s="40"/>
      <c r="S121" t="s">
        <v>2786</v>
      </c>
      <c r="T121">
        <v>5.26</v>
      </c>
      <c r="U121" s="40">
        <f t="shared" si="9"/>
        <v>-1.8993358036524051E-3</v>
      </c>
      <c r="V121" s="40">
        <f t="shared" si="10"/>
        <v>5.26</v>
      </c>
      <c r="W121" s="40">
        <f t="shared" si="11"/>
        <v>-1.8993358036524051E-3</v>
      </c>
    </row>
    <row r="122" spans="1:23" x14ac:dyDescent="0.2">
      <c r="A122" s="40" t="s">
        <v>823</v>
      </c>
      <c r="B122" s="40">
        <v>21.99</v>
      </c>
      <c r="C122" s="40">
        <v>21.99</v>
      </c>
      <c r="D122" s="40">
        <v>21.99</v>
      </c>
      <c r="E122" s="40">
        <v>21.99</v>
      </c>
      <c r="G122" s="36">
        <v>45517</v>
      </c>
      <c r="H122" s="40">
        <v>12.97</v>
      </c>
      <c r="I122" s="40">
        <v>116.14</v>
      </c>
      <c r="J122" s="44"/>
      <c r="K122" s="40"/>
      <c r="L122" s="45">
        <v>12.97</v>
      </c>
      <c r="M122" s="46">
        <v>116.14</v>
      </c>
      <c r="N122" s="40">
        <f t="shared" si="6"/>
        <v>-0.10250370176258096</v>
      </c>
      <c r="O122" s="40">
        <f t="shared" si="7"/>
        <v>6.3265008307769016E-2</v>
      </c>
      <c r="P122" s="40">
        <f t="shared" si="8"/>
        <v>6.5309117593102234E-2</v>
      </c>
      <c r="Q122" s="40"/>
      <c r="R122" s="40"/>
      <c r="S122" t="s">
        <v>2785</v>
      </c>
      <c r="T122">
        <v>5.27</v>
      </c>
      <c r="U122" s="40">
        <f t="shared" si="9"/>
        <v>0</v>
      </c>
      <c r="V122" s="40">
        <f t="shared" si="10"/>
        <v>5.27</v>
      </c>
      <c r="W122" s="40">
        <f t="shared" si="11"/>
        <v>0</v>
      </c>
    </row>
    <row r="123" spans="1:23" x14ac:dyDescent="0.2">
      <c r="A123" s="40" t="s">
        <v>824</v>
      </c>
      <c r="B123" s="40">
        <v>19.829999999999998</v>
      </c>
      <c r="C123" s="40">
        <v>19.829999999999998</v>
      </c>
      <c r="D123" s="40">
        <v>19.829999999999998</v>
      </c>
      <c r="E123" s="40">
        <v>19.829999999999998</v>
      </c>
      <c r="G123" s="36">
        <v>45516</v>
      </c>
      <c r="H123" s="40">
        <v>14.37</v>
      </c>
      <c r="I123" s="40">
        <v>109.02</v>
      </c>
      <c r="J123" s="44"/>
      <c r="K123" s="40"/>
      <c r="L123" s="45">
        <v>14.37</v>
      </c>
      <c r="M123" s="46">
        <v>109.02</v>
      </c>
      <c r="N123" s="40">
        <f t="shared" si="6"/>
        <v>-9.4234128176617152E-2</v>
      </c>
      <c r="O123" s="40">
        <f t="shared" si="7"/>
        <v>3.9954792833887635E-2</v>
      </c>
      <c r="P123" s="40">
        <f t="shared" si="8"/>
        <v>4.0763723150357957E-2</v>
      </c>
      <c r="Q123" s="40"/>
      <c r="R123" s="40"/>
      <c r="S123" t="s">
        <v>2784</v>
      </c>
      <c r="T123">
        <v>5.27</v>
      </c>
      <c r="U123" s="40">
        <f t="shared" si="9"/>
        <v>0</v>
      </c>
      <c r="V123" s="40">
        <f t="shared" si="10"/>
        <v>5.27</v>
      </c>
      <c r="W123" s="40">
        <f t="shared" si="11"/>
        <v>0</v>
      </c>
    </row>
    <row r="124" spans="1:23" x14ac:dyDescent="0.2">
      <c r="A124" s="40" t="s">
        <v>825</v>
      </c>
      <c r="B124" s="40">
        <v>16.96</v>
      </c>
      <c r="C124" s="40">
        <v>16.96</v>
      </c>
      <c r="D124" s="40">
        <v>16.96</v>
      </c>
      <c r="E124" s="40">
        <v>16.96</v>
      </c>
      <c r="G124" s="36">
        <v>45513</v>
      </c>
      <c r="H124" s="40">
        <v>15.79</v>
      </c>
      <c r="I124" s="40">
        <v>104.75</v>
      </c>
      <c r="J124" s="44"/>
      <c r="K124" s="40"/>
      <c r="L124" s="45">
        <v>15.79</v>
      </c>
      <c r="M124" s="46">
        <v>104.75</v>
      </c>
      <c r="N124" s="40">
        <f t="shared" si="6"/>
        <v>-0.16217054709706377</v>
      </c>
      <c r="O124" s="40">
        <f t="shared" si="7"/>
        <v>-2.0980362454592664E-3</v>
      </c>
      <c r="P124" s="40">
        <f t="shared" si="8"/>
        <v>-2.0958369057825937E-3</v>
      </c>
      <c r="Q124" s="40"/>
      <c r="R124" s="40"/>
      <c r="S124" t="s">
        <v>2783</v>
      </c>
      <c r="T124">
        <v>5.27</v>
      </c>
      <c r="U124" s="40">
        <f t="shared" si="9"/>
        <v>0</v>
      </c>
      <c r="V124" s="40">
        <f t="shared" si="10"/>
        <v>5.27</v>
      </c>
      <c r="W124" s="40">
        <f t="shared" si="11"/>
        <v>0</v>
      </c>
    </row>
    <row r="125" spans="1:23" x14ac:dyDescent="0.2">
      <c r="A125" s="40" t="s">
        <v>826</v>
      </c>
      <c r="B125" s="40">
        <v>15.14</v>
      </c>
      <c r="C125" s="40">
        <v>15.14</v>
      </c>
      <c r="D125" s="40">
        <v>15.14</v>
      </c>
      <c r="E125" s="40">
        <v>15.14</v>
      </c>
      <c r="G125" s="36">
        <v>45512</v>
      </c>
      <c r="H125" s="40">
        <v>18.57</v>
      </c>
      <c r="I125" s="40">
        <v>104.97</v>
      </c>
      <c r="J125" s="44"/>
      <c r="K125" s="40"/>
      <c r="L125" s="45">
        <v>18.57</v>
      </c>
      <c r="M125" s="46">
        <v>104.97</v>
      </c>
      <c r="N125" s="40">
        <f t="shared" si="6"/>
        <v>-0.16585208671520038</v>
      </c>
      <c r="O125" s="40">
        <f t="shared" si="7"/>
        <v>5.9464249295957082E-2</v>
      </c>
      <c r="P125" s="40">
        <f t="shared" si="8"/>
        <v>6.1267819229602692E-2</v>
      </c>
      <c r="Q125" s="40"/>
      <c r="R125" s="40"/>
      <c r="S125" t="s">
        <v>2782</v>
      </c>
      <c r="T125">
        <v>5.27</v>
      </c>
      <c r="U125" s="40">
        <f t="shared" si="9"/>
        <v>1.8993358036523157E-3</v>
      </c>
      <c r="V125" s="40">
        <f t="shared" si="10"/>
        <v>5.27</v>
      </c>
      <c r="W125" s="40">
        <f t="shared" si="11"/>
        <v>1.8993358036523157E-3</v>
      </c>
    </row>
    <row r="126" spans="1:23" x14ac:dyDescent="0.2">
      <c r="A126" s="41">
        <v>40550</v>
      </c>
      <c r="B126" s="40">
        <v>15.29</v>
      </c>
      <c r="C126" s="40">
        <v>15.29</v>
      </c>
      <c r="D126" s="40">
        <v>15.29</v>
      </c>
      <c r="E126" s="40">
        <v>15.29</v>
      </c>
      <c r="G126" s="36">
        <v>45511</v>
      </c>
      <c r="H126" s="40">
        <v>21.92</v>
      </c>
      <c r="I126" s="40">
        <v>98.91</v>
      </c>
      <c r="J126" s="44"/>
      <c r="K126" s="40"/>
      <c r="L126" s="45">
        <v>21.92</v>
      </c>
      <c r="M126" s="46">
        <v>98.91</v>
      </c>
      <c r="N126" s="40">
        <f t="shared" si="6"/>
        <v>8.867167954602545E-2</v>
      </c>
      <c r="O126" s="40">
        <f t="shared" si="7"/>
        <v>-5.2581514927161482E-2</v>
      </c>
      <c r="P126" s="40">
        <f t="shared" si="8"/>
        <v>-5.1223021582733848E-2</v>
      </c>
      <c r="Q126" s="40"/>
      <c r="R126" s="40"/>
      <c r="S126" t="s">
        <v>2781</v>
      </c>
      <c r="T126">
        <v>5.26</v>
      </c>
      <c r="U126" s="40">
        <f t="shared" si="9"/>
        <v>-1.8993358036524051E-3</v>
      </c>
      <c r="V126" s="40">
        <f t="shared" si="10"/>
        <v>5.26</v>
      </c>
      <c r="W126" s="40">
        <f t="shared" si="11"/>
        <v>-1.8993358036524051E-3</v>
      </c>
    </row>
    <row r="127" spans="1:23" x14ac:dyDescent="0.2">
      <c r="A127" s="41">
        <v>40670</v>
      </c>
      <c r="B127" s="40">
        <v>15.85</v>
      </c>
      <c r="C127" s="40">
        <v>15.85</v>
      </c>
      <c r="D127" s="40">
        <v>15.85</v>
      </c>
      <c r="E127" s="40">
        <v>15.85</v>
      </c>
      <c r="G127" s="36">
        <v>45510</v>
      </c>
      <c r="H127" s="40">
        <v>20.059999999999999</v>
      </c>
      <c r="I127" s="40">
        <v>104.25</v>
      </c>
      <c r="J127" s="44"/>
      <c r="K127" s="40"/>
      <c r="L127" s="45">
        <v>20.059999999999999</v>
      </c>
      <c r="M127" s="46">
        <v>104.25</v>
      </c>
      <c r="N127" s="40">
        <f t="shared" si="6"/>
        <v>-0.17515067640367551</v>
      </c>
      <c r="O127" s="40">
        <f t="shared" si="7"/>
        <v>3.7131769417967295E-2</v>
      </c>
      <c r="P127" s="40">
        <f t="shared" si="8"/>
        <v>3.7829766052762538E-2</v>
      </c>
      <c r="Q127" s="40"/>
      <c r="R127" s="40"/>
      <c r="S127" t="s">
        <v>2780</v>
      </c>
      <c r="T127">
        <v>5.27</v>
      </c>
      <c r="U127" s="40">
        <f t="shared" si="9"/>
        <v>0</v>
      </c>
      <c r="V127" s="40">
        <f t="shared" si="10"/>
        <v>5.27</v>
      </c>
      <c r="W127" s="40">
        <f t="shared" si="11"/>
        <v>0</v>
      </c>
    </row>
    <row r="128" spans="1:23" x14ac:dyDescent="0.2">
      <c r="A128" s="41">
        <v>40701</v>
      </c>
      <c r="B128" s="40">
        <v>15.66</v>
      </c>
      <c r="C128" s="40">
        <v>15.66</v>
      </c>
      <c r="D128" s="40">
        <v>15.66</v>
      </c>
      <c r="E128" s="40">
        <v>15.66</v>
      </c>
      <c r="G128" s="36">
        <v>45509</v>
      </c>
      <c r="H128" s="40">
        <v>23.9</v>
      </c>
      <c r="I128" s="40">
        <v>100.45</v>
      </c>
      <c r="J128" s="44"/>
      <c r="K128" s="40"/>
      <c r="L128" s="45">
        <v>23.9</v>
      </c>
      <c r="M128" s="46">
        <v>100.45</v>
      </c>
      <c r="N128" s="40">
        <f t="shared" si="6"/>
        <v>-0.20234293665451342</v>
      </c>
      <c r="O128" s="40">
        <f t="shared" si="7"/>
        <v>-6.5688929348394431E-2</v>
      </c>
      <c r="P128" s="40">
        <f t="shared" si="8"/>
        <v>-6.3577887573412817E-2</v>
      </c>
      <c r="Q128" s="40"/>
      <c r="R128" s="40"/>
      <c r="S128" t="s">
        <v>2779</v>
      </c>
      <c r="T128">
        <v>5.27</v>
      </c>
      <c r="U128" s="40">
        <f t="shared" si="9"/>
        <v>-1.895735164899312E-3</v>
      </c>
      <c r="V128" s="40">
        <f t="shared" si="10"/>
        <v>5.27</v>
      </c>
      <c r="W128" s="40">
        <f t="shared" si="11"/>
        <v>-1.895735164899312E-3</v>
      </c>
    </row>
    <row r="129" spans="1:23" x14ac:dyDescent="0.2">
      <c r="A129" s="41">
        <v>40731</v>
      </c>
      <c r="B129" s="40">
        <v>15.29</v>
      </c>
      <c r="C129" s="40">
        <v>15.29</v>
      </c>
      <c r="D129" s="40">
        <v>15.29</v>
      </c>
      <c r="E129" s="40">
        <v>15.29</v>
      </c>
      <c r="G129" s="36">
        <v>45506</v>
      </c>
      <c r="H129" s="40">
        <v>29.26</v>
      </c>
      <c r="I129" s="40">
        <v>107.27</v>
      </c>
      <c r="J129" s="44"/>
      <c r="K129" s="40"/>
      <c r="L129" s="45">
        <v>29.26</v>
      </c>
      <c r="M129" s="46">
        <v>107.27</v>
      </c>
      <c r="N129" s="40">
        <f t="shared" si="6"/>
        <v>1.134227660393451E-2</v>
      </c>
      <c r="O129" s="40">
        <f t="shared" si="7"/>
        <v>-1.7923613600299107E-2</v>
      </c>
      <c r="P129" s="40">
        <f t="shared" si="8"/>
        <v>-1.7763941031041095E-2</v>
      </c>
      <c r="Q129" s="40"/>
      <c r="R129" s="40"/>
      <c r="S129" t="s">
        <v>2778</v>
      </c>
      <c r="T129">
        <v>5.28</v>
      </c>
      <c r="U129" s="40">
        <f t="shared" si="9"/>
        <v>0</v>
      </c>
      <c r="V129" s="40">
        <f t="shared" si="10"/>
        <v>5.28</v>
      </c>
      <c r="W129" s="40">
        <f t="shared" si="11"/>
        <v>0</v>
      </c>
    </row>
    <row r="130" spans="1:23" x14ac:dyDescent="0.2">
      <c r="A130" s="41">
        <v>40762</v>
      </c>
      <c r="B130" s="40">
        <v>15.56</v>
      </c>
      <c r="C130" s="40">
        <v>15.56</v>
      </c>
      <c r="D130" s="40">
        <v>15.56</v>
      </c>
      <c r="E130" s="40">
        <v>15.56</v>
      </c>
      <c r="G130" s="36">
        <v>45505</v>
      </c>
      <c r="H130" s="40">
        <v>28.93</v>
      </c>
      <c r="I130" s="40">
        <v>109.21</v>
      </c>
      <c r="J130" s="44"/>
      <c r="K130" s="40"/>
      <c r="L130" s="45">
        <v>28.93</v>
      </c>
      <c r="M130" s="46">
        <v>109.21</v>
      </c>
      <c r="N130" s="40">
        <f t="shared" si="6"/>
        <v>-0.39142531144068171</v>
      </c>
      <c r="O130" s="40">
        <f t="shared" si="7"/>
        <v>-6.9072226150453053E-2</v>
      </c>
      <c r="P130" s="40">
        <f t="shared" si="8"/>
        <v>-6.6740728080669998E-2</v>
      </c>
      <c r="Q130" s="40"/>
      <c r="R130" s="40"/>
      <c r="S130" t="s">
        <v>2777</v>
      </c>
      <c r="T130">
        <v>5.28</v>
      </c>
      <c r="U130" s="40">
        <f t="shared" si="9"/>
        <v>0</v>
      </c>
      <c r="V130" s="40">
        <f t="shared" si="10"/>
        <v>5.28</v>
      </c>
      <c r="W130" s="40">
        <f t="shared" si="11"/>
        <v>0</v>
      </c>
    </row>
    <row r="131" spans="1:23" x14ac:dyDescent="0.2">
      <c r="A131" s="41">
        <v>40854</v>
      </c>
      <c r="B131" s="40">
        <v>20.14</v>
      </c>
      <c r="C131" s="40">
        <v>20.14</v>
      </c>
      <c r="D131" s="40">
        <v>20.14</v>
      </c>
      <c r="E131" s="40">
        <v>20.14</v>
      </c>
      <c r="G131" s="36">
        <v>45504</v>
      </c>
      <c r="H131" s="40">
        <v>42.79</v>
      </c>
      <c r="I131" s="40">
        <v>117.02</v>
      </c>
      <c r="J131" s="44"/>
      <c r="K131" s="40"/>
      <c r="L131" s="45">
        <v>42.79</v>
      </c>
      <c r="M131" s="46">
        <v>117.02</v>
      </c>
      <c r="N131" s="40">
        <f t="shared" ref="N131:N194" si="12">LN(L131/L132)</f>
        <v>0.60742197738105974</v>
      </c>
      <c r="O131" s="40">
        <f t="shared" ref="O131:O194" si="13">LN(M131/M132)</f>
        <v>0.12055349091635324</v>
      </c>
      <c r="P131" s="40">
        <f t="shared" ref="P131:P194" si="14">(M131-M132)/M132</f>
        <v>0.12812108358237725</v>
      </c>
      <c r="Q131" s="40"/>
      <c r="R131" s="40"/>
      <c r="S131" t="s">
        <v>2776</v>
      </c>
      <c r="T131">
        <v>5.28</v>
      </c>
      <c r="U131" s="40">
        <f t="shared" ref="U131:U194" si="15">LN(T131/T132)</f>
        <v>0</v>
      </c>
      <c r="V131" s="40">
        <f t="shared" ref="V131:V194" si="16">IF(T131=0, 0.001,T131)</f>
        <v>5.28</v>
      </c>
      <c r="W131" s="40">
        <f t="shared" ref="W131:W194" si="17">LN(V131/V132)</f>
        <v>0</v>
      </c>
    </row>
    <row r="132" spans="1:23" x14ac:dyDescent="0.2">
      <c r="A132" s="41">
        <v>40884</v>
      </c>
      <c r="B132" s="40">
        <v>21.5</v>
      </c>
      <c r="C132" s="40">
        <v>21.5</v>
      </c>
      <c r="D132" s="40">
        <v>21.5</v>
      </c>
      <c r="E132" s="40">
        <v>21.5</v>
      </c>
      <c r="G132" s="36">
        <v>45503</v>
      </c>
      <c r="H132" s="40">
        <v>23.31</v>
      </c>
      <c r="I132" s="40">
        <v>103.73</v>
      </c>
      <c r="J132" s="44"/>
      <c r="K132" s="40"/>
      <c r="L132" s="45">
        <v>23.31</v>
      </c>
      <c r="M132" s="46">
        <v>103.73</v>
      </c>
      <c r="N132" s="40">
        <f t="shared" si="12"/>
        <v>0.17641880643302912</v>
      </c>
      <c r="O132" s="40">
        <f t="shared" si="13"/>
        <v>-7.3040070753873143E-2</v>
      </c>
      <c r="P132" s="40">
        <f t="shared" si="14"/>
        <v>-7.043641903396361E-2</v>
      </c>
      <c r="Q132" s="40"/>
      <c r="R132" s="40"/>
      <c r="S132" t="s">
        <v>2775</v>
      </c>
      <c r="T132">
        <v>5.28</v>
      </c>
      <c r="U132" s="40">
        <f t="shared" si="15"/>
        <v>0</v>
      </c>
      <c r="V132" s="40">
        <f t="shared" si="16"/>
        <v>5.28</v>
      </c>
      <c r="W132" s="40">
        <f t="shared" si="17"/>
        <v>0</v>
      </c>
    </row>
    <row r="133" spans="1:23" x14ac:dyDescent="0.2">
      <c r="A133" s="40" t="s">
        <v>827</v>
      </c>
      <c r="B133" s="40">
        <v>20.65</v>
      </c>
      <c r="C133" s="40">
        <v>20.65</v>
      </c>
      <c r="D133" s="40">
        <v>20.65</v>
      </c>
      <c r="E133" s="40">
        <v>20.65</v>
      </c>
      <c r="G133" s="36">
        <v>45502</v>
      </c>
      <c r="H133" s="40">
        <v>19.54</v>
      </c>
      <c r="I133" s="40">
        <v>111.59</v>
      </c>
      <c r="J133" s="44"/>
      <c r="K133" s="40"/>
      <c r="L133" s="45">
        <v>19.54</v>
      </c>
      <c r="M133" s="46">
        <v>111.59</v>
      </c>
      <c r="N133" s="40">
        <f t="shared" si="12"/>
        <v>0.16849738868259997</v>
      </c>
      <c r="O133" s="40">
        <f t="shared" si="13"/>
        <v>-1.3087211049534848E-2</v>
      </c>
      <c r="P133" s="40">
        <f t="shared" si="14"/>
        <v>-1.3001945869449839E-2</v>
      </c>
      <c r="Q133" s="40"/>
      <c r="R133" s="40"/>
      <c r="S133" t="s">
        <v>2774</v>
      </c>
      <c r="T133">
        <v>5.28</v>
      </c>
      <c r="U133" s="40">
        <f t="shared" si="15"/>
        <v>-1.8921481520378152E-3</v>
      </c>
      <c r="V133" s="40">
        <f t="shared" si="16"/>
        <v>5.28</v>
      </c>
      <c r="W133" s="40">
        <f t="shared" si="17"/>
        <v>-1.8921481520378152E-3</v>
      </c>
    </row>
    <row r="134" spans="1:23" x14ac:dyDescent="0.2">
      <c r="A134" s="40" t="s">
        <v>828</v>
      </c>
      <c r="B134" s="40">
        <v>22.19</v>
      </c>
      <c r="C134" s="40">
        <v>22.19</v>
      </c>
      <c r="D134" s="40">
        <v>22.19</v>
      </c>
      <c r="E134" s="40">
        <v>22.19</v>
      </c>
      <c r="G134" s="36">
        <v>45499</v>
      </c>
      <c r="H134" s="40">
        <v>16.510000000000002</v>
      </c>
      <c r="I134" s="40">
        <v>113.06</v>
      </c>
      <c r="J134" s="44"/>
      <c r="K134" s="40"/>
      <c r="L134" s="45">
        <v>16.510000000000002</v>
      </c>
      <c r="M134" s="46">
        <v>113.06</v>
      </c>
      <c r="N134" s="40">
        <f t="shared" si="12"/>
        <v>-0.13519566413355982</v>
      </c>
      <c r="O134" s="40">
        <f t="shared" si="13"/>
        <v>6.9228997534629107E-3</v>
      </c>
      <c r="P134" s="40">
        <f t="shared" si="14"/>
        <v>6.9469184182401238E-3</v>
      </c>
      <c r="Q134" s="40"/>
      <c r="R134" s="40"/>
      <c r="S134" t="s">
        <v>2773</v>
      </c>
      <c r="T134">
        <v>5.29</v>
      </c>
      <c r="U134" s="40">
        <f t="shared" si="15"/>
        <v>1.8921481520379623E-3</v>
      </c>
      <c r="V134" s="40">
        <f t="shared" si="16"/>
        <v>5.29</v>
      </c>
      <c r="W134" s="40">
        <f t="shared" si="17"/>
        <v>1.8921481520379623E-3</v>
      </c>
    </row>
    <row r="135" spans="1:23" x14ac:dyDescent="0.2">
      <c r="A135" s="40" t="s">
        <v>829</v>
      </c>
      <c r="B135" s="40">
        <v>19.82</v>
      </c>
      <c r="C135" s="40">
        <v>19.82</v>
      </c>
      <c r="D135" s="40">
        <v>19.82</v>
      </c>
      <c r="E135" s="40">
        <v>19.82</v>
      </c>
      <c r="G135" s="36">
        <v>45498</v>
      </c>
      <c r="H135" s="40">
        <v>18.899999999999999</v>
      </c>
      <c r="I135" s="40">
        <v>112.28</v>
      </c>
      <c r="J135" s="44"/>
      <c r="K135" s="40"/>
      <c r="L135" s="45">
        <v>18.899999999999999</v>
      </c>
      <c r="M135" s="46">
        <v>112.28</v>
      </c>
      <c r="N135" s="40">
        <f t="shared" si="12"/>
        <v>8.3266593699404909E-2</v>
      </c>
      <c r="O135" s="40">
        <f t="shared" si="13"/>
        <v>-1.7393278280632297E-2</v>
      </c>
      <c r="P135" s="40">
        <f t="shared" si="14"/>
        <v>-1.7242888402625809E-2</v>
      </c>
      <c r="Q135" s="40"/>
      <c r="R135" s="40"/>
      <c r="S135" t="s">
        <v>2772</v>
      </c>
      <c r="T135">
        <v>5.28</v>
      </c>
      <c r="U135" s="40">
        <f t="shared" si="15"/>
        <v>0</v>
      </c>
      <c r="V135" s="40">
        <f t="shared" si="16"/>
        <v>5.28</v>
      </c>
      <c r="W135" s="40">
        <f t="shared" si="17"/>
        <v>0</v>
      </c>
    </row>
    <row r="136" spans="1:23" x14ac:dyDescent="0.2">
      <c r="A136" s="40" t="s">
        <v>830</v>
      </c>
      <c r="B136" s="40">
        <v>22.13</v>
      </c>
      <c r="C136" s="40">
        <v>22.13</v>
      </c>
      <c r="D136" s="40">
        <v>22.13</v>
      </c>
      <c r="E136" s="40">
        <v>22.13</v>
      </c>
      <c r="G136" s="36">
        <v>45497</v>
      </c>
      <c r="H136" s="40">
        <v>17.39</v>
      </c>
      <c r="I136" s="40">
        <v>114.25</v>
      </c>
      <c r="J136" s="44"/>
      <c r="K136" s="40"/>
      <c r="L136" s="45">
        <v>17.39</v>
      </c>
      <c r="M136" s="46">
        <v>114.25</v>
      </c>
      <c r="N136" s="40">
        <f t="shared" si="12"/>
        <v>3.3921380945667601E-2</v>
      </c>
      <c r="O136" s="40">
        <f t="shared" si="13"/>
        <v>-7.0456424332588821E-2</v>
      </c>
      <c r="P136" s="40">
        <f t="shared" si="14"/>
        <v>-6.8031650216167736E-2</v>
      </c>
      <c r="Q136" s="40"/>
      <c r="R136" s="40"/>
      <c r="S136" t="s">
        <v>2771</v>
      </c>
      <c r="T136">
        <v>5.28</v>
      </c>
      <c r="U136" s="40">
        <f t="shared" si="15"/>
        <v>0</v>
      </c>
      <c r="V136" s="40">
        <f t="shared" si="16"/>
        <v>5.28</v>
      </c>
      <c r="W136" s="40">
        <f t="shared" si="17"/>
        <v>0</v>
      </c>
    </row>
    <row r="137" spans="1:23" x14ac:dyDescent="0.2">
      <c r="A137" s="40" t="s">
        <v>831</v>
      </c>
      <c r="B137" s="40">
        <v>19.690000000000001</v>
      </c>
      <c r="C137" s="40">
        <v>19.690000000000001</v>
      </c>
      <c r="D137" s="40">
        <v>19.690000000000001</v>
      </c>
      <c r="E137" s="40">
        <v>19.690000000000001</v>
      </c>
      <c r="G137" s="36">
        <v>45496</v>
      </c>
      <c r="H137" s="40">
        <v>16.809999999999999</v>
      </c>
      <c r="I137" s="40">
        <v>122.59</v>
      </c>
      <c r="J137" s="44"/>
      <c r="K137" s="40"/>
      <c r="L137" s="45">
        <v>16.809999999999999</v>
      </c>
      <c r="M137" s="46">
        <v>122.59</v>
      </c>
      <c r="N137" s="40">
        <f t="shared" si="12"/>
        <v>-0.16471758148131774</v>
      </c>
      <c r="O137" s="40">
        <f t="shared" si="13"/>
        <v>-7.7195361608502922E-3</v>
      </c>
      <c r="P137" s="40">
        <f t="shared" si="14"/>
        <v>-7.6898170632993586E-3</v>
      </c>
      <c r="Q137" s="40"/>
      <c r="R137" s="40"/>
      <c r="S137" t="s">
        <v>2770</v>
      </c>
      <c r="T137">
        <v>5.28</v>
      </c>
      <c r="U137" s="40">
        <f t="shared" si="15"/>
        <v>-1.8921481520378152E-3</v>
      </c>
      <c r="V137" s="40">
        <f t="shared" si="16"/>
        <v>5.28</v>
      </c>
      <c r="W137" s="40">
        <f t="shared" si="17"/>
        <v>-1.8921481520378152E-3</v>
      </c>
    </row>
    <row r="138" spans="1:23" x14ac:dyDescent="0.2">
      <c r="A138" s="40" t="s">
        <v>832</v>
      </c>
      <c r="B138" s="40">
        <v>19.75</v>
      </c>
      <c r="C138" s="40">
        <v>19.75</v>
      </c>
      <c r="D138" s="40">
        <v>19.75</v>
      </c>
      <c r="E138" s="40">
        <v>19.75</v>
      </c>
      <c r="G138" s="36">
        <v>45495</v>
      </c>
      <c r="H138" s="40">
        <v>19.82</v>
      </c>
      <c r="I138" s="40">
        <v>123.54</v>
      </c>
      <c r="J138" s="44"/>
      <c r="K138" s="40"/>
      <c r="L138" s="45">
        <v>19.82</v>
      </c>
      <c r="M138" s="46">
        <v>123.54</v>
      </c>
      <c r="N138" s="40">
        <f t="shared" si="12"/>
        <v>1.5147692873675469E-3</v>
      </c>
      <c r="O138" s="40">
        <f t="shared" si="13"/>
        <v>4.6473762165874448E-2</v>
      </c>
      <c r="P138" s="40">
        <f t="shared" si="14"/>
        <v>4.7570592724497575E-2</v>
      </c>
      <c r="Q138" s="40"/>
      <c r="R138" s="40"/>
      <c r="S138" t="s">
        <v>2769</v>
      </c>
      <c r="T138">
        <v>5.29</v>
      </c>
      <c r="U138" s="40">
        <f t="shared" si="15"/>
        <v>0</v>
      </c>
      <c r="V138" s="40">
        <f t="shared" si="16"/>
        <v>5.29</v>
      </c>
      <c r="W138" s="40">
        <f t="shared" si="17"/>
        <v>0</v>
      </c>
    </row>
    <row r="139" spans="1:23" x14ac:dyDescent="0.2">
      <c r="A139" s="40" t="s">
        <v>833</v>
      </c>
      <c r="B139" s="40">
        <v>17.54</v>
      </c>
      <c r="C139" s="40">
        <v>17.54</v>
      </c>
      <c r="D139" s="40">
        <v>17.54</v>
      </c>
      <c r="E139" s="40">
        <v>17.54</v>
      </c>
      <c r="G139" s="36">
        <v>45492</v>
      </c>
      <c r="H139" s="40">
        <v>19.79</v>
      </c>
      <c r="I139" s="40">
        <v>117.93</v>
      </c>
      <c r="J139" s="44"/>
      <c r="K139" s="40"/>
      <c r="L139" s="45">
        <v>19.79</v>
      </c>
      <c r="M139" s="46">
        <v>117.93</v>
      </c>
      <c r="N139" s="40">
        <f t="shared" si="12"/>
        <v>0.30347053385186618</v>
      </c>
      <c r="O139" s="40">
        <f t="shared" si="13"/>
        <v>-2.644284266439623E-2</v>
      </c>
      <c r="P139" s="40">
        <f t="shared" si="14"/>
        <v>-2.609629201420428E-2</v>
      </c>
      <c r="Q139" s="40"/>
      <c r="R139" s="40"/>
      <c r="S139" t="s">
        <v>2768</v>
      </c>
      <c r="T139">
        <v>5.29</v>
      </c>
      <c r="U139" s="40">
        <f t="shared" si="15"/>
        <v>0</v>
      </c>
      <c r="V139" s="40">
        <f t="shared" si="16"/>
        <v>5.29</v>
      </c>
      <c r="W139" s="40">
        <f t="shared" si="17"/>
        <v>0</v>
      </c>
    </row>
    <row r="140" spans="1:23" x14ac:dyDescent="0.2">
      <c r="A140" s="40" t="s">
        <v>834</v>
      </c>
      <c r="B140" s="40">
        <v>16.96</v>
      </c>
      <c r="C140" s="40">
        <v>16.96</v>
      </c>
      <c r="D140" s="40">
        <v>16.96</v>
      </c>
      <c r="E140" s="40">
        <v>16.96</v>
      </c>
      <c r="G140" s="36">
        <v>45491</v>
      </c>
      <c r="H140" s="40">
        <v>14.61</v>
      </c>
      <c r="I140" s="40">
        <v>121.09</v>
      </c>
      <c r="J140" s="44"/>
      <c r="K140" s="40"/>
      <c r="L140" s="45">
        <v>14.61</v>
      </c>
      <c r="M140" s="46">
        <v>121.09</v>
      </c>
      <c r="N140" s="40">
        <f t="shared" si="12"/>
        <v>-1.2245050960100288E-2</v>
      </c>
      <c r="O140" s="40">
        <f t="shared" si="13"/>
        <v>2.5934195654447028E-2</v>
      </c>
      <c r="P140" s="40">
        <f t="shared" si="14"/>
        <v>2.6273413001101861E-2</v>
      </c>
      <c r="Q140" s="40"/>
      <c r="R140" s="40"/>
      <c r="S140" t="s">
        <v>2767</v>
      </c>
      <c r="T140">
        <v>5.29</v>
      </c>
      <c r="U140" s="40">
        <f t="shared" si="15"/>
        <v>0</v>
      </c>
      <c r="V140" s="40">
        <f t="shared" si="16"/>
        <v>5.29</v>
      </c>
      <c r="W140" s="40">
        <f t="shared" si="17"/>
        <v>0</v>
      </c>
    </row>
    <row r="141" spans="1:23" x14ac:dyDescent="0.2">
      <c r="A141" s="40" t="s">
        <v>835</v>
      </c>
      <c r="B141" s="40">
        <v>20.399999999999999</v>
      </c>
      <c r="C141" s="40">
        <v>20.399999999999999</v>
      </c>
      <c r="D141" s="40">
        <v>20.399999999999999</v>
      </c>
      <c r="E141" s="40">
        <v>20.399999999999999</v>
      </c>
      <c r="G141" s="36">
        <v>45490</v>
      </c>
      <c r="H141" s="40">
        <v>14.79</v>
      </c>
      <c r="I141" s="40">
        <v>117.99</v>
      </c>
      <c r="J141" s="44"/>
      <c r="K141" s="40"/>
      <c r="L141" s="45">
        <v>14.79</v>
      </c>
      <c r="M141" s="46">
        <v>117.99</v>
      </c>
      <c r="N141" s="40">
        <f t="shared" si="12"/>
        <v>-1.6762041798985321E-2</v>
      </c>
      <c r="O141" s="40">
        <f t="shared" si="13"/>
        <v>-6.8535100822056577E-2</v>
      </c>
      <c r="P141" s="40">
        <f t="shared" si="14"/>
        <v>-6.6239316239316282E-2</v>
      </c>
      <c r="Q141" s="40"/>
      <c r="R141" s="40"/>
      <c r="S141" t="s">
        <v>2766</v>
      </c>
      <c r="T141">
        <v>5.29</v>
      </c>
      <c r="U141" s="40">
        <f t="shared" si="15"/>
        <v>3.7878833169371563E-3</v>
      </c>
      <c r="V141" s="40">
        <f t="shared" si="16"/>
        <v>5.29</v>
      </c>
      <c r="W141" s="40">
        <f t="shared" si="17"/>
        <v>3.7878833169371563E-3</v>
      </c>
    </row>
    <row r="142" spans="1:23" x14ac:dyDescent="0.2">
      <c r="A142" s="40" t="s">
        <v>836</v>
      </c>
      <c r="B142" s="40">
        <v>20.83</v>
      </c>
      <c r="C142" s="40">
        <v>20.83</v>
      </c>
      <c r="D142" s="40">
        <v>20.83</v>
      </c>
      <c r="E142" s="40">
        <v>20.83</v>
      </c>
      <c r="G142" s="36">
        <v>45489</v>
      </c>
      <c r="H142" s="40">
        <v>15.04</v>
      </c>
      <c r="I142" s="40">
        <v>126.36</v>
      </c>
      <c r="J142" s="44"/>
      <c r="K142" s="40"/>
      <c r="L142" s="45">
        <v>15.04</v>
      </c>
      <c r="M142" s="46">
        <v>126.36</v>
      </c>
      <c r="N142" s="40">
        <f t="shared" si="12"/>
        <v>9.352105570280142E-3</v>
      </c>
      <c r="O142" s="40">
        <f t="shared" si="13"/>
        <v>-1.6326893287428781E-2</v>
      </c>
      <c r="P142" s="40">
        <f t="shared" si="14"/>
        <v>-1.6194331983805654E-2</v>
      </c>
      <c r="Q142" s="40"/>
      <c r="R142" s="40"/>
      <c r="S142" t="s">
        <v>2765</v>
      </c>
      <c r="T142">
        <v>5.27</v>
      </c>
      <c r="U142" s="40">
        <f t="shared" si="15"/>
        <v>0</v>
      </c>
      <c r="V142" s="40">
        <f t="shared" si="16"/>
        <v>5.27</v>
      </c>
      <c r="W142" s="40">
        <f t="shared" si="17"/>
        <v>0</v>
      </c>
    </row>
    <row r="143" spans="1:23" x14ac:dyDescent="0.2">
      <c r="A143" s="40" t="s">
        <v>837</v>
      </c>
      <c r="B143" s="40">
        <v>24.41</v>
      </c>
      <c r="C143" s="40">
        <v>24.41</v>
      </c>
      <c r="D143" s="40">
        <v>24.41</v>
      </c>
      <c r="E143" s="40">
        <v>24.41</v>
      </c>
      <c r="G143" s="36">
        <v>45488</v>
      </c>
      <c r="H143" s="40">
        <v>14.9</v>
      </c>
      <c r="I143" s="40">
        <v>128.44</v>
      </c>
      <c r="J143" s="44"/>
      <c r="K143" s="40"/>
      <c r="L143" s="45">
        <v>14.9</v>
      </c>
      <c r="M143" s="46">
        <v>128.44</v>
      </c>
      <c r="N143" s="40">
        <f t="shared" si="12"/>
        <v>0.12417928705424239</v>
      </c>
      <c r="O143" s="40">
        <f t="shared" si="13"/>
        <v>-6.2092717349844411E-3</v>
      </c>
      <c r="P143" s="40">
        <f t="shared" si="14"/>
        <v>-6.1900340451873362E-3</v>
      </c>
      <c r="Q143" s="40"/>
      <c r="R143" s="40"/>
      <c r="S143" t="s">
        <v>2764</v>
      </c>
      <c r="T143">
        <v>5.27</v>
      </c>
      <c r="U143" s="40">
        <f t="shared" si="15"/>
        <v>-1.895735164899312E-3</v>
      </c>
      <c r="V143" s="40">
        <f t="shared" si="16"/>
        <v>5.27</v>
      </c>
      <c r="W143" s="40">
        <f t="shared" si="17"/>
        <v>-1.895735164899312E-3</v>
      </c>
    </row>
    <row r="144" spans="1:23" x14ac:dyDescent="0.2">
      <c r="A144" s="40" t="s">
        <v>838</v>
      </c>
      <c r="B144" s="40">
        <v>27.52</v>
      </c>
      <c r="C144" s="40">
        <v>27.52</v>
      </c>
      <c r="D144" s="40">
        <v>27.52</v>
      </c>
      <c r="E144" s="40">
        <v>27.52</v>
      </c>
      <c r="G144" s="36">
        <v>45485</v>
      </c>
      <c r="H144" s="40">
        <v>13.16</v>
      </c>
      <c r="I144" s="40">
        <v>129.24</v>
      </c>
      <c r="J144" s="44"/>
      <c r="K144" s="40"/>
      <c r="L144" s="45">
        <v>13.16</v>
      </c>
      <c r="M144" s="46">
        <v>129.24</v>
      </c>
      <c r="N144" s="40">
        <f t="shared" si="12"/>
        <v>0.10908239442555202</v>
      </c>
      <c r="O144" s="40">
        <f t="shared" si="13"/>
        <v>1.4339397818234453E-2</v>
      </c>
      <c r="P144" s="40">
        <f t="shared" si="14"/>
        <v>1.4442700156985898E-2</v>
      </c>
      <c r="Q144" s="40"/>
      <c r="R144" s="40"/>
      <c r="S144" t="s">
        <v>2763</v>
      </c>
      <c r="T144">
        <v>5.28</v>
      </c>
      <c r="U144" s="40">
        <f t="shared" si="15"/>
        <v>1.8957351648991973E-3</v>
      </c>
      <c r="V144" s="40">
        <f t="shared" si="16"/>
        <v>5.28</v>
      </c>
      <c r="W144" s="40">
        <f t="shared" si="17"/>
        <v>1.8957351648991973E-3</v>
      </c>
    </row>
    <row r="145" spans="1:23" x14ac:dyDescent="0.2">
      <c r="A145" s="40" t="s">
        <v>839</v>
      </c>
      <c r="B145" s="40">
        <v>30.35</v>
      </c>
      <c r="C145" s="40">
        <v>30.35</v>
      </c>
      <c r="D145" s="40">
        <v>30.35</v>
      </c>
      <c r="E145" s="40">
        <v>30.35</v>
      </c>
      <c r="G145" s="36">
        <v>45484</v>
      </c>
      <c r="H145" s="40">
        <v>11.8</v>
      </c>
      <c r="I145" s="40">
        <v>127.4</v>
      </c>
      <c r="J145" s="44"/>
      <c r="K145" s="40"/>
      <c r="L145" s="45">
        <v>11.8</v>
      </c>
      <c r="M145" s="46">
        <v>127.4</v>
      </c>
      <c r="N145" s="40">
        <f t="shared" si="12"/>
        <v>-3.1695730810131849E-2</v>
      </c>
      <c r="O145" s="40">
        <f t="shared" si="13"/>
        <v>-5.7276146312662667E-2</v>
      </c>
      <c r="P145" s="40">
        <f t="shared" si="14"/>
        <v>-5.5666740790156335E-2</v>
      </c>
      <c r="Q145" s="40"/>
      <c r="R145" s="40"/>
      <c r="S145" t="s">
        <v>2762</v>
      </c>
      <c r="T145">
        <v>5.27</v>
      </c>
      <c r="U145" s="40">
        <f t="shared" si="15"/>
        <v>0</v>
      </c>
      <c r="V145" s="40">
        <f t="shared" si="16"/>
        <v>5.27</v>
      </c>
      <c r="W145" s="40">
        <f t="shared" si="17"/>
        <v>0</v>
      </c>
    </row>
    <row r="146" spans="1:23" x14ac:dyDescent="0.2">
      <c r="A146" s="41">
        <v>40551</v>
      </c>
      <c r="B146" s="40">
        <v>26.85</v>
      </c>
      <c r="C146" s="40">
        <v>26.85</v>
      </c>
      <c r="D146" s="40">
        <v>26.85</v>
      </c>
      <c r="E146" s="40">
        <v>26.85</v>
      </c>
      <c r="G146" s="36">
        <v>45483</v>
      </c>
      <c r="H146" s="40">
        <v>12.18</v>
      </c>
      <c r="I146" s="40">
        <v>134.91</v>
      </c>
      <c r="J146" s="44"/>
      <c r="K146" s="40"/>
      <c r="L146" s="45">
        <v>12.18</v>
      </c>
      <c r="M146" s="46">
        <v>134.91</v>
      </c>
      <c r="N146" s="40">
        <f t="shared" si="12"/>
        <v>0.1436694023596754</v>
      </c>
      <c r="O146" s="40">
        <f t="shared" si="13"/>
        <v>2.6514001986398836E-2</v>
      </c>
      <c r="P146" s="40">
        <f t="shared" si="14"/>
        <v>2.6868625361546668E-2</v>
      </c>
      <c r="Q146" s="40"/>
      <c r="R146" s="40"/>
      <c r="S146" t="s">
        <v>2761</v>
      </c>
      <c r="T146">
        <v>5.27</v>
      </c>
      <c r="U146" s="40">
        <f t="shared" si="15"/>
        <v>0</v>
      </c>
      <c r="V146" s="40">
        <f t="shared" si="16"/>
        <v>5.27</v>
      </c>
      <c r="W146" s="40">
        <f t="shared" si="17"/>
        <v>0</v>
      </c>
    </row>
    <row r="147" spans="1:23" x14ac:dyDescent="0.2">
      <c r="A147" s="41">
        <v>40582</v>
      </c>
      <c r="B147" s="40">
        <v>27.78</v>
      </c>
      <c r="C147" s="40">
        <v>27.78</v>
      </c>
      <c r="D147" s="40">
        <v>27.78</v>
      </c>
      <c r="E147" s="40">
        <v>27.78</v>
      </c>
      <c r="G147" s="36">
        <v>45482</v>
      </c>
      <c r="H147" s="40">
        <v>10.55</v>
      </c>
      <c r="I147" s="40">
        <v>131.38</v>
      </c>
      <c r="J147" s="44"/>
      <c r="K147" s="40"/>
      <c r="L147" s="45">
        <v>10.55</v>
      </c>
      <c r="M147" s="46">
        <v>131.38</v>
      </c>
      <c r="N147" s="40">
        <f t="shared" si="12"/>
        <v>-7.9240344305788579E-2</v>
      </c>
      <c r="O147" s="40">
        <f t="shared" si="13"/>
        <v>2.4502342977757247E-2</v>
      </c>
      <c r="P147" s="40">
        <f t="shared" si="14"/>
        <v>2.4804992199688042E-2</v>
      </c>
      <c r="Q147" s="40"/>
      <c r="R147" s="40"/>
      <c r="S147" t="s">
        <v>2760</v>
      </c>
      <c r="T147">
        <v>5.27</v>
      </c>
      <c r="U147" s="40">
        <f t="shared" si="15"/>
        <v>-3.7878833169370917E-3</v>
      </c>
      <c r="V147" s="40">
        <f t="shared" si="16"/>
        <v>5.27</v>
      </c>
      <c r="W147" s="40">
        <f t="shared" si="17"/>
        <v>-3.7878833169370917E-3</v>
      </c>
    </row>
    <row r="148" spans="1:23" x14ac:dyDescent="0.2">
      <c r="A148" s="41">
        <v>40610</v>
      </c>
      <c r="B148" s="40">
        <v>24.7</v>
      </c>
      <c r="C148" s="40">
        <v>24.7</v>
      </c>
      <c r="D148" s="40">
        <v>24.7</v>
      </c>
      <c r="E148" s="40">
        <v>24.7</v>
      </c>
      <c r="G148" s="36">
        <v>45481</v>
      </c>
      <c r="H148" s="40">
        <v>11.42</v>
      </c>
      <c r="I148" s="40">
        <v>128.19999999999999</v>
      </c>
      <c r="J148" s="44"/>
      <c r="K148" s="40"/>
      <c r="L148" s="45">
        <v>11.42</v>
      </c>
      <c r="M148" s="46">
        <v>128.19999999999999</v>
      </c>
      <c r="N148" s="40">
        <f t="shared" si="12"/>
        <v>-4.9540445560136155E-2</v>
      </c>
      <c r="O148" s="40">
        <f t="shared" si="13"/>
        <v>1.8659754882693017E-2</v>
      </c>
      <c r="P148" s="40">
        <f t="shared" si="14"/>
        <v>1.8834936024795284E-2</v>
      </c>
      <c r="Q148" s="40"/>
      <c r="R148" s="40"/>
      <c r="S148" t="s">
        <v>2759</v>
      </c>
      <c r="T148">
        <v>5.29</v>
      </c>
      <c r="U148" s="40">
        <f t="shared" si="15"/>
        <v>0</v>
      </c>
      <c r="V148" s="40">
        <f t="shared" si="16"/>
        <v>5.29</v>
      </c>
      <c r="W148" s="40">
        <f t="shared" si="17"/>
        <v>0</v>
      </c>
    </row>
    <row r="149" spans="1:23" x14ac:dyDescent="0.2">
      <c r="A149" s="41">
        <v>40641</v>
      </c>
      <c r="B149" s="40">
        <v>39.89</v>
      </c>
      <c r="C149" s="40">
        <v>39.89</v>
      </c>
      <c r="D149" s="40">
        <v>39.89</v>
      </c>
      <c r="E149" s="40">
        <v>39.89</v>
      </c>
      <c r="G149" s="36">
        <v>45478</v>
      </c>
      <c r="H149" s="40">
        <v>12</v>
      </c>
      <c r="I149" s="40">
        <v>125.83</v>
      </c>
      <c r="J149" s="44"/>
      <c r="K149" s="40"/>
      <c r="L149" s="45">
        <v>12</v>
      </c>
      <c r="M149" s="46">
        <v>125.83</v>
      </c>
      <c r="N149" s="40">
        <f t="shared" si="12"/>
        <v>7.7061046136461669E-2</v>
      </c>
      <c r="O149" s="40">
        <f t="shared" si="13"/>
        <v>-1.9283585221077631E-2</v>
      </c>
      <c r="P149" s="40">
        <f t="shared" si="14"/>
        <v>-1.9098846273776136E-2</v>
      </c>
      <c r="Q149" s="40"/>
      <c r="R149" s="40"/>
      <c r="S149" t="s">
        <v>2758</v>
      </c>
      <c r="T149">
        <v>5.29</v>
      </c>
      <c r="U149" s="40">
        <f t="shared" si="15"/>
        <v>0</v>
      </c>
      <c r="V149" s="40">
        <f t="shared" si="16"/>
        <v>5.29</v>
      </c>
      <c r="W149" s="40">
        <f t="shared" si="17"/>
        <v>0</v>
      </c>
    </row>
    <row r="150" spans="1:23" x14ac:dyDescent="0.2">
      <c r="A150" s="41">
        <v>40671</v>
      </c>
      <c r="B150" s="40">
        <v>37.58</v>
      </c>
      <c r="C150" s="40">
        <v>37.58</v>
      </c>
      <c r="D150" s="40">
        <v>37.58</v>
      </c>
      <c r="E150" s="40">
        <v>37.58</v>
      </c>
      <c r="G150" s="36">
        <v>45476</v>
      </c>
      <c r="H150" s="40">
        <v>11.11</v>
      </c>
      <c r="I150" s="40">
        <v>128.28</v>
      </c>
      <c r="J150" s="44"/>
      <c r="K150" s="40"/>
      <c r="L150" s="45">
        <v>11.11</v>
      </c>
      <c r="M150" s="46">
        <v>128.28</v>
      </c>
      <c r="N150" s="40">
        <f t="shared" si="12"/>
        <v>5.4151756877767847E-3</v>
      </c>
      <c r="O150" s="40">
        <f t="shared" si="13"/>
        <v>4.4717551780293567E-2</v>
      </c>
      <c r="P150" s="40">
        <f t="shared" si="14"/>
        <v>4.573245292247493E-2</v>
      </c>
      <c r="Q150" s="40"/>
      <c r="R150" s="40"/>
      <c r="S150" t="s">
        <v>2757</v>
      </c>
      <c r="T150">
        <v>5.29</v>
      </c>
      <c r="U150" s="40">
        <f t="shared" si="15"/>
        <v>0</v>
      </c>
      <c r="V150" s="40">
        <f t="shared" si="16"/>
        <v>5.29</v>
      </c>
      <c r="W150" s="40">
        <f t="shared" si="17"/>
        <v>0</v>
      </c>
    </row>
    <row r="151" spans="1:23" x14ac:dyDescent="0.2">
      <c r="A151" s="41">
        <v>40763</v>
      </c>
      <c r="B151" s="40">
        <v>68</v>
      </c>
      <c r="C151" s="40">
        <v>68</v>
      </c>
      <c r="D151" s="40">
        <v>68</v>
      </c>
      <c r="E151" s="40">
        <v>68</v>
      </c>
      <c r="G151" s="36">
        <v>45475</v>
      </c>
      <c r="H151" s="40">
        <v>11.05</v>
      </c>
      <c r="I151" s="40">
        <v>122.67</v>
      </c>
      <c r="J151" s="44"/>
      <c r="K151" s="40"/>
      <c r="L151" s="45">
        <v>11.05</v>
      </c>
      <c r="M151" s="46">
        <v>122.67</v>
      </c>
      <c r="N151" s="40">
        <f t="shared" si="12"/>
        <v>2.1958796312644965E-2</v>
      </c>
      <c r="O151" s="40">
        <f t="shared" si="13"/>
        <v>-1.3200175472004753E-2</v>
      </c>
      <c r="P151" s="40">
        <f t="shared" si="14"/>
        <v>-1.3113435237329007E-2</v>
      </c>
      <c r="Q151" s="40"/>
      <c r="R151" s="40"/>
      <c r="S151" t="s">
        <v>2756</v>
      </c>
      <c r="T151">
        <v>5.29</v>
      </c>
      <c r="U151" s="40">
        <f t="shared" si="15"/>
        <v>0</v>
      </c>
      <c r="V151" s="40">
        <f t="shared" si="16"/>
        <v>5.29</v>
      </c>
      <c r="W151" s="40">
        <f t="shared" si="17"/>
        <v>0</v>
      </c>
    </row>
    <row r="152" spans="1:23" x14ac:dyDescent="0.2">
      <c r="A152" s="41">
        <v>40794</v>
      </c>
      <c r="B152" s="40">
        <v>43.38</v>
      </c>
      <c r="C152" s="40">
        <v>43.38</v>
      </c>
      <c r="D152" s="40">
        <v>43.38</v>
      </c>
      <c r="E152" s="40">
        <v>43.38</v>
      </c>
      <c r="G152" s="36">
        <v>45474</v>
      </c>
      <c r="H152" s="40">
        <v>10.81</v>
      </c>
      <c r="I152" s="40">
        <v>124.3</v>
      </c>
      <c r="J152" s="44"/>
      <c r="K152" s="40"/>
      <c r="L152" s="45">
        <v>10.81</v>
      </c>
      <c r="M152" s="46">
        <v>124.3</v>
      </c>
      <c r="N152" s="40">
        <f t="shared" si="12"/>
        <v>8.3604760084609077E-3</v>
      </c>
      <c r="O152" s="40">
        <f t="shared" si="13"/>
        <v>6.1330082489121848E-3</v>
      </c>
      <c r="P152" s="40">
        <f t="shared" si="14"/>
        <v>6.1518536506393953E-3</v>
      </c>
      <c r="Q152" s="40"/>
      <c r="R152" s="40"/>
      <c r="S152" t="s">
        <v>2755</v>
      </c>
      <c r="T152">
        <v>5.29</v>
      </c>
      <c r="U152" s="40">
        <f t="shared" si="15"/>
        <v>-1.8885746878681362E-3</v>
      </c>
      <c r="V152" s="40">
        <f t="shared" si="16"/>
        <v>5.29</v>
      </c>
      <c r="W152" s="40">
        <f t="shared" si="17"/>
        <v>-1.8885746878681362E-3</v>
      </c>
    </row>
    <row r="153" spans="1:23" x14ac:dyDescent="0.2">
      <c r="A153" s="41">
        <v>40824</v>
      </c>
      <c r="B153" s="40">
        <v>56.66</v>
      </c>
      <c r="C153" s="40">
        <v>56.66</v>
      </c>
      <c r="D153" s="40">
        <v>56.66</v>
      </c>
      <c r="E153" s="40">
        <v>56.66</v>
      </c>
      <c r="G153" s="36">
        <v>45471</v>
      </c>
      <c r="H153" s="40">
        <v>10.72</v>
      </c>
      <c r="I153" s="40">
        <v>123.54</v>
      </c>
      <c r="J153" s="44"/>
      <c r="K153" s="40"/>
      <c r="L153" s="45">
        <v>10.72</v>
      </c>
      <c r="M153" s="46">
        <v>123.54</v>
      </c>
      <c r="N153" s="40">
        <f t="shared" si="12"/>
        <v>1.1257154524634468E-2</v>
      </c>
      <c r="O153" s="40">
        <f t="shared" si="13"/>
        <v>-3.6359269239974838E-3</v>
      </c>
      <c r="P153" s="40">
        <f t="shared" si="14"/>
        <v>-3.6293249455600341E-3</v>
      </c>
      <c r="Q153" s="40"/>
      <c r="R153" s="40"/>
      <c r="S153" t="s">
        <v>2754</v>
      </c>
      <c r="T153">
        <v>5.3</v>
      </c>
      <c r="U153" s="40">
        <f t="shared" si="15"/>
        <v>1.8885746878681546E-3</v>
      </c>
      <c r="V153" s="40">
        <f t="shared" si="16"/>
        <v>5.3</v>
      </c>
      <c r="W153" s="40">
        <f t="shared" si="17"/>
        <v>1.8885746878681546E-3</v>
      </c>
    </row>
    <row r="154" spans="1:23" x14ac:dyDescent="0.2">
      <c r="A154" s="41">
        <v>40855</v>
      </c>
      <c r="B154" s="40">
        <v>46.98</v>
      </c>
      <c r="C154" s="40">
        <v>46.98</v>
      </c>
      <c r="D154" s="40">
        <v>46.98</v>
      </c>
      <c r="E154" s="40">
        <v>46.98</v>
      </c>
      <c r="G154" s="36">
        <v>45470</v>
      </c>
      <c r="H154" s="40">
        <v>10.6</v>
      </c>
      <c r="I154" s="40">
        <v>123.99</v>
      </c>
      <c r="J154" s="44"/>
      <c r="K154" s="40"/>
      <c r="L154" s="45">
        <v>10.6</v>
      </c>
      <c r="M154" s="46">
        <v>123.99</v>
      </c>
      <c r="N154" s="40">
        <f t="shared" si="12"/>
        <v>-3.0657301070425774E-2</v>
      </c>
      <c r="O154" s="40">
        <f t="shared" si="13"/>
        <v>-1.9250564521006413E-2</v>
      </c>
      <c r="P154" s="40">
        <f t="shared" si="14"/>
        <v>-1.9066455696202616E-2</v>
      </c>
      <c r="Q154" s="40"/>
      <c r="R154" s="40"/>
      <c r="S154" t="s">
        <v>2753</v>
      </c>
      <c r="T154">
        <v>5.29</v>
      </c>
      <c r="U154" s="40">
        <f t="shared" si="15"/>
        <v>-1.8885746878681362E-3</v>
      </c>
      <c r="V154" s="40">
        <f t="shared" si="16"/>
        <v>5.29</v>
      </c>
      <c r="W154" s="40">
        <f t="shared" si="17"/>
        <v>-1.8885746878681362E-3</v>
      </c>
    </row>
    <row r="155" spans="1:23" x14ac:dyDescent="0.2">
      <c r="A155" s="41">
        <v>40885</v>
      </c>
      <c r="B155" s="40">
        <v>38.409999999999997</v>
      </c>
      <c r="C155" s="40">
        <v>38.409999999999997</v>
      </c>
      <c r="D155" s="40">
        <v>38.409999999999997</v>
      </c>
      <c r="E155" s="40">
        <v>38.409999999999997</v>
      </c>
      <c r="G155" s="36">
        <v>45469</v>
      </c>
      <c r="H155" s="40">
        <v>10.93</v>
      </c>
      <c r="I155" s="40">
        <v>126.4</v>
      </c>
      <c r="J155" s="44"/>
      <c r="K155" s="40"/>
      <c r="L155" s="45">
        <v>10.93</v>
      </c>
      <c r="M155" s="46">
        <v>126.4</v>
      </c>
      <c r="N155" s="40">
        <f t="shared" si="12"/>
        <v>3.6333759075231016E-2</v>
      </c>
      <c r="O155" s="40">
        <f t="shared" si="13"/>
        <v>2.4555440276219911E-3</v>
      </c>
      <c r="P155" s="40">
        <f t="shared" si="14"/>
        <v>2.4585613450709989E-3</v>
      </c>
      <c r="Q155" s="40"/>
      <c r="R155" s="40"/>
      <c r="S155" t="s">
        <v>2752</v>
      </c>
      <c r="T155">
        <v>5.3</v>
      </c>
      <c r="U155" s="40">
        <f t="shared" si="15"/>
        <v>1.8885746878681546E-3</v>
      </c>
      <c r="V155" s="40">
        <f t="shared" si="16"/>
        <v>5.3</v>
      </c>
      <c r="W155" s="40">
        <f t="shared" si="17"/>
        <v>1.8885746878681546E-3</v>
      </c>
    </row>
    <row r="156" spans="1:23" x14ac:dyDescent="0.2">
      <c r="A156" s="40" t="s">
        <v>840</v>
      </c>
      <c r="B156" s="40">
        <v>32.94</v>
      </c>
      <c r="C156" s="40">
        <v>32.94</v>
      </c>
      <c r="D156" s="40">
        <v>32.94</v>
      </c>
      <c r="E156" s="40">
        <v>32.94</v>
      </c>
      <c r="G156" s="36">
        <v>45468</v>
      </c>
      <c r="H156" s="40">
        <v>10.54</v>
      </c>
      <c r="I156" s="40">
        <v>126.09</v>
      </c>
      <c r="J156" s="44"/>
      <c r="K156" s="40"/>
      <c r="L156" s="45">
        <v>10.54</v>
      </c>
      <c r="M156" s="46">
        <v>126.09</v>
      </c>
      <c r="N156" s="40">
        <f t="shared" si="12"/>
        <v>4.7551207050102896E-3</v>
      </c>
      <c r="O156" s="40">
        <f t="shared" si="13"/>
        <v>6.5379544061379219E-2</v>
      </c>
      <c r="P156" s="40">
        <f t="shared" si="14"/>
        <v>6.7564135128270295E-2</v>
      </c>
      <c r="Q156" s="40"/>
      <c r="R156" s="40"/>
      <c r="S156" t="s">
        <v>2751</v>
      </c>
      <c r="T156">
        <v>5.29</v>
      </c>
      <c r="U156" s="40">
        <f t="shared" si="15"/>
        <v>0</v>
      </c>
      <c r="V156" s="40">
        <f t="shared" si="16"/>
        <v>5.29</v>
      </c>
      <c r="W156" s="40">
        <f t="shared" si="17"/>
        <v>0</v>
      </c>
    </row>
    <row r="157" spans="1:23" x14ac:dyDescent="0.2">
      <c r="A157" s="40" t="s">
        <v>841</v>
      </c>
      <c r="B157" s="40">
        <v>33.090000000000003</v>
      </c>
      <c r="C157" s="40">
        <v>33.090000000000003</v>
      </c>
      <c r="D157" s="40">
        <v>33.090000000000003</v>
      </c>
      <c r="E157" s="40">
        <v>33.090000000000003</v>
      </c>
      <c r="G157" s="36">
        <v>45467</v>
      </c>
      <c r="H157" s="40">
        <v>10.49</v>
      </c>
      <c r="I157" s="40">
        <v>118.11</v>
      </c>
      <c r="J157" s="44"/>
      <c r="K157" s="40"/>
      <c r="L157" s="45">
        <v>10.49</v>
      </c>
      <c r="M157" s="46">
        <v>118.11</v>
      </c>
      <c r="N157" s="40">
        <f t="shared" si="12"/>
        <v>-1.9047624806539474E-3</v>
      </c>
      <c r="O157" s="40">
        <f t="shared" si="13"/>
        <v>-6.9179121180601127E-2</v>
      </c>
      <c r="P157" s="40">
        <f t="shared" si="14"/>
        <v>-6.684048352690207E-2</v>
      </c>
      <c r="Q157" s="40"/>
      <c r="R157" s="40"/>
      <c r="S157" t="s">
        <v>2750</v>
      </c>
      <c r="T157">
        <v>5.29</v>
      </c>
      <c r="U157" s="40">
        <f t="shared" si="15"/>
        <v>1.8921481520379623E-3</v>
      </c>
      <c r="V157" s="40">
        <f t="shared" si="16"/>
        <v>5.29</v>
      </c>
      <c r="W157" s="40">
        <f t="shared" si="17"/>
        <v>1.8921481520379623E-3</v>
      </c>
    </row>
    <row r="158" spans="1:23" x14ac:dyDescent="0.2">
      <c r="A158" s="40" t="s">
        <v>842</v>
      </c>
      <c r="B158" s="40">
        <v>31.22</v>
      </c>
      <c r="C158" s="40">
        <v>31.22</v>
      </c>
      <c r="D158" s="40">
        <v>31.22</v>
      </c>
      <c r="E158" s="40">
        <v>31.22</v>
      </c>
      <c r="G158" s="36">
        <v>45464</v>
      </c>
      <c r="H158" s="40">
        <v>10.51</v>
      </c>
      <c r="I158" s="40">
        <v>126.57</v>
      </c>
      <c r="J158" s="44"/>
      <c r="K158" s="40"/>
      <c r="L158" s="45">
        <v>10.51</v>
      </c>
      <c r="M158" s="46">
        <v>126.57</v>
      </c>
      <c r="N158" s="40">
        <f t="shared" si="12"/>
        <v>-5.4617923429428707E-2</v>
      </c>
      <c r="O158" s="40">
        <f t="shared" si="13"/>
        <v>-3.2721007328772991E-2</v>
      </c>
      <c r="P158" s="40">
        <f t="shared" si="14"/>
        <v>-3.2191466585104814E-2</v>
      </c>
      <c r="Q158" s="40"/>
      <c r="R158" s="40"/>
      <c r="S158" t="s">
        <v>2749</v>
      </c>
      <c r="T158">
        <v>5.28</v>
      </c>
      <c r="U158" s="40">
        <f t="shared" si="15"/>
        <v>-1.8921481520378152E-3</v>
      </c>
      <c r="V158" s="40">
        <f t="shared" si="16"/>
        <v>5.28</v>
      </c>
      <c r="W158" s="40">
        <f t="shared" si="17"/>
        <v>-1.8921481520378152E-3</v>
      </c>
    </row>
    <row r="159" spans="1:23" x14ac:dyDescent="0.2">
      <c r="A159" s="40" t="s">
        <v>843</v>
      </c>
      <c r="B159" s="40">
        <v>46.55</v>
      </c>
      <c r="C159" s="40">
        <v>46.55</v>
      </c>
      <c r="D159" s="40">
        <v>46.55</v>
      </c>
      <c r="E159" s="40">
        <v>46.55</v>
      </c>
      <c r="G159" s="36">
        <v>45463</v>
      </c>
      <c r="H159" s="40">
        <v>11.1</v>
      </c>
      <c r="I159" s="40">
        <v>130.78</v>
      </c>
      <c r="J159" s="44"/>
      <c r="K159" s="40"/>
      <c r="L159" s="45">
        <v>11.1</v>
      </c>
      <c r="M159" s="46">
        <v>130.78</v>
      </c>
      <c r="N159" s="40">
        <f t="shared" si="12"/>
        <v>-6.3693569672007011E-2</v>
      </c>
      <c r="O159" s="40">
        <f t="shared" si="13"/>
        <v>-3.6045349869689741E-2</v>
      </c>
      <c r="P159" s="40">
        <f t="shared" si="14"/>
        <v>-3.5403451836554148E-2</v>
      </c>
      <c r="Q159" s="40"/>
      <c r="R159" s="40"/>
      <c r="S159" t="s">
        <v>2748</v>
      </c>
      <c r="T159">
        <v>5.29</v>
      </c>
      <c r="U159" s="40">
        <f t="shared" si="15"/>
        <v>0</v>
      </c>
      <c r="V159" s="40">
        <f t="shared" si="16"/>
        <v>5.29</v>
      </c>
      <c r="W159" s="40">
        <f t="shared" si="17"/>
        <v>0</v>
      </c>
    </row>
    <row r="160" spans="1:23" x14ac:dyDescent="0.2">
      <c r="A160" s="40" t="s">
        <v>844</v>
      </c>
      <c r="B160" s="40">
        <v>47.41</v>
      </c>
      <c r="C160" s="40">
        <v>47.41</v>
      </c>
      <c r="D160" s="40">
        <v>47.41</v>
      </c>
      <c r="E160" s="40">
        <v>47.41</v>
      </c>
      <c r="G160" s="36">
        <v>45461</v>
      </c>
      <c r="H160" s="40">
        <v>11.83</v>
      </c>
      <c r="I160" s="40">
        <v>135.58000000000001</v>
      </c>
      <c r="J160" s="44"/>
      <c r="K160" s="40"/>
      <c r="L160" s="45">
        <v>11.83</v>
      </c>
      <c r="M160" s="46">
        <v>135.58000000000001</v>
      </c>
      <c r="N160" s="40">
        <f t="shared" si="12"/>
        <v>7.6386396470425902E-2</v>
      </c>
      <c r="O160" s="40">
        <f t="shared" si="13"/>
        <v>3.4517232212912273E-2</v>
      </c>
      <c r="P160" s="40">
        <f t="shared" si="14"/>
        <v>3.511986562834038E-2</v>
      </c>
      <c r="Q160" s="40"/>
      <c r="R160" s="40"/>
      <c r="S160" t="s">
        <v>2747</v>
      </c>
      <c r="T160">
        <v>5.29</v>
      </c>
      <c r="U160" s="40">
        <f t="shared" si="15"/>
        <v>1.8921481520379623E-3</v>
      </c>
      <c r="V160" s="40">
        <f t="shared" si="16"/>
        <v>5.29</v>
      </c>
      <c r="W160" s="40">
        <f t="shared" si="17"/>
        <v>1.8921481520379623E-3</v>
      </c>
    </row>
    <row r="161" spans="1:23" x14ac:dyDescent="0.2">
      <c r="A161" s="40" t="s">
        <v>845</v>
      </c>
      <c r="B161" s="40">
        <v>44.57</v>
      </c>
      <c r="C161" s="40">
        <v>44.57</v>
      </c>
      <c r="D161" s="40">
        <v>44.57</v>
      </c>
      <c r="E161" s="40">
        <v>44.57</v>
      </c>
      <c r="G161" s="36">
        <v>45460</v>
      </c>
      <c r="H161" s="40">
        <v>10.96</v>
      </c>
      <c r="I161" s="40">
        <v>130.97999999999999</v>
      </c>
      <c r="J161" s="44"/>
      <c r="K161" s="40"/>
      <c r="L161" s="45">
        <v>10.96</v>
      </c>
      <c r="M161" s="46">
        <v>130.97999999999999</v>
      </c>
      <c r="N161" s="40">
        <f t="shared" si="12"/>
        <v>-0.1202131705096751</v>
      </c>
      <c r="O161" s="40">
        <f t="shared" si="13"/>
        <v>-6.8477784136228076E-3</v>
      </c>
      <c r="P161" s="40">
        <f t="shared" si="14"/>
        <v>-6.8243858052775682E-3</v>
      </c>
      <c r="Q161" s="40"/>
      <c r="R161" s="40"/>
      <c r="S161" t="s">
        <v>2746</v>
      </c>
      <c r="T161">
        <v>5.28</v>
      </c>
      <c r="U161" s="40">
        <f t="shared" si="15"/>
        <v>0</v>
      </c>
      <c r="V161" s="40">
        <f t="shared" si="16"/>
        <v>5.28</v>
      </c>
      <c r="W161" s="40">
        <f t="shared" si="17"/>
        <v>0</v>
      </c>
    </row>
    <row r="162" spans="1:23" x14ac:dyDescent="0.2">
      <c r="A162" s="40" t="s">
        <v>846</v>
      </c>
      <c r="B162" s="40">
        <v>37.81</v>
      </c>
      <c r="C162" s="40">
        <v>37.81</v>
      </c>
      <c r="D162" s="40">
        <v>37.81</v>
      </c>
      <c r="E162" s="40">
        <v>37.81</v>
      </c>
      <c r="G162" s="36">
        <v>45457</v>
      </c>
      <c r="H162" s="40">
        <v>12.36</v>
      </c>
      <c r="I162" s="40">
        <v>131.88</v>
      </c>
      <c r="J162" s="44"/>
      <c r="K162" s="40"/>
      <c r="L162" s="45">
        <v>12.36</v>
      </c>
      <c r="M162" s="46">
        <v>131.88</v>
      </c>
      <c r="N162" s="40">
        <f t="shared" si="12"/>
        <v>0.10572016320710838</v>
      </c>
      <c r="O162" s="40">
        <f t="shared" si="13"/>
        <v>1.7362476768246544E-2</v>
      </c>
      <c r="P162" s="40">
        <f t="shared" si="14"/>
        <v>1.7514080703649269E-2</v>
      </c>
      <c r="Q162" s="40"/>
      <c r="R162" s="40"/>
      <c r="S162" t="s">
        <v>2745</v>
      </c>
      <c r="T162">
        <v>5.28</v>
      </c>
      <c r="U162" s="40">
        <f t="shared" si="15"/>
        <v>0</v>
      </c>
      <c r="V162" s="40">
        <f t="shared" si="16"/>
        <v>5.28</v>
      </c>
      <c r="W162" s="40">
        <f t="shared" si="17"/>
        <v>0</v>
      </c>
    </row>
    <row r="163" spans="1:23" x14ac:dyDescent="0.2">
      <c r="A163" s="40" t="s">
        <v>847</v>
      </c>
      <c r="B163" s="40">
        <v>37.43</v>
      </c>
      <c r="C163" s="40">
        <v>37.43</v>
      </c>
      <c r="D163" s="40">
        <v>37.43</v>
      </c>
      <c r="E163" s="40">
        <v>37.43</v>
      </c>
      <c r="G163" s="36">
        <v>45456</v>
      </c>
      <c r="H163" s="40">
        <v>11.12</v>
      </c>
      <c r="I163" s="40">
        <v>129.61000000000001</v>
      </c>
      <c r="J163" s="44"/>
      <c r="K163" s="40"/>
      <c r="L163" s="45">
        <v>11.12</v>
      </c>
      <c r="M163" s="46">
        <v>129.61000000000001</v>
      </c>
      <c r="N163" s="40">
        <f t="shared" si="12"/>
        <v>-7.1148819142019745E-2</v>
      </c>
      <c r="O163" s="40">
        <f t="shared" si="13"/>
        <v>3.4617482769285633E-2</v>
      </c>
      <c r="P163" s="40">
        <f t="shared" si="14"/>
        <v>3.522364217252405E-2</v>
      </c>
      <c r="Q163" s="40"/>
      <c r="R163" s="40"/>
      <c r="S163" t="s">
        <v>2744</v>
      </c>
      <c r="T163">
        <v>5.28</v>
      </c>
      <c r="U163" s="40">
        <f t="shared" si="15"/>
        <v>1.8957351648991973E-3</v>
      </c>
      <c r="V163" s="40">
        <f t="shared" si="16"/>
        <v>5.28</v>
      </c>
      <c r="W163" s="40">
        <f t="shared" si="17"/>
        <v>1.8957351648991973E-3</v>
      </c>
    </row>
    <row r="164" spans="1:23" x14ac:dyDescent="0.2">
      <c r="A164" s="40" t="s">
        <v>848</v>
      </c>
      <c r="B164" s="40">
        <v>44.08</v>
      </c>
      <c r="C164" s="40">
        <v>44.08</v>
      </c>
      <c r="D164" s="40">
        <v>44.08</v>
      </c>
      <c r="E164" s="40">
        <v>44.08</v>
      </c>
      <c r="G164" s="36">
        <v>45455</v>
      </c>
      <c r="H164" s="40">
        <v>11.94</v>
      </c>
      <c r="I164" s="40">
        <v>125.2</v>
      </c>
      <c r="J164" s="44"/>
      <c r="K164" s="40"/>
      <c r="L164" s="45">
        <v>11.94</v>
      </c>
      <c r="M164" s="46">
        <v>125.2</v>
      </c>
      <c r="N164" s="40">
        <f t="shared" si="12"/>
        <v>8.1998835166085485E-2</v>
      </c>
      <c r="O164" s="40">
        <f t="shared" si="13"/>
        <v>3.486599147984281E-2</v>
      </c>
      <c r="P164" s="40">
        <f t="shared" si="14"/>
        <v>3.5480936233562209E-2</v>
      </c>
      <c r="Q164" s="40"/>
      <c r="R164" s="40"/>
      <c r="S164" t="s">
        <v>2743</v>
      </c>
      <c r="T164">
        <v>5.27</v>
      </c>
      <c r="U164" s="40">
        <f t="shared" si="15"/>
        <v>0</v>
      </c>
      <c r="V164" s="40">
        <f t="shared" si="16"/>
        <v>5.27</v>
      </c>
      <c r="W164" s="40">
        <f t="shared" si="17"/>
        <v>0</v>
      </c>
    </row>
    <row r="165" spans="1:23" x14ac:dyDescent="0.2">
      <c r="A165" s="40" t="s">
        <v>849</v>
      </c>
      <c r="B165" s="40">
        <v>36.340000000000003</v>
      </c>
      <c r="C165" s="40">
        <v>36.340000000000003</v>
      </c>
      <c r="D165" s="40">
        <v>36.340000000000003</v>
      </c>
      <c r="E165" s="40">
        <v>36.340000000000003</v>
      </c>
      <c r="G165" s="36">
        <v>45454</v>
      </c>
      <c r="H165" s="40">
        <v>11</v>
      </c>
      <c r="I165" s="40">
        <v>120.91</v>
      </c>
      <c r="J165" s="44"/>
      <c r="K165" s="40"/>
      <c r="L165" s="45">
        <v>11</v>
      </c>
      <c r="M165" s="46">
        <v>120.91</v>
      </c>
      <c r="N165" s="40">
        <f t="shared" si="12"/>
        <v>6.7695012771351468E-2</v>
      </c>
      <c r="O165" s="40">
        <f t="shared" si="13"/>
        <v>-7.2517829128638201E-3</v>
      </c>
      <c r="P165" s="40">
        <f t="shared" si="14"/>
        <v>-7.2255521799820151E-3</v>
      </c>
      <c r="Q165" s="40"/>
      <c r="R165" s="40"/>
      <c r="S165" t="s">
        <v>2742</v>
      </c>
      <c r="T165">
        <v>5.27</v>
      </c>
      <c r="U165" s="40">
        <f t="shared" si="15"/>
        <v>0</v>
      </c>
      <c r="V165" s="40">
        <f t="shared" si="16"/>
        <v>5.27</v>
      </c>
      <c r="W165" s="40">
        <f t="shared" si="17"/>
        <v>0</v>
      </c>
    </row>
    <row r="166" spans="1:23" x14ac:dyDescent="0.2">
      <c r="A166" s="40" t="s">
        <v>850</v>
      </c>
      <c r="B166" s="40">
        <v>33.39</v>
      </c>
      <c r="C166" s="40">
        <v>33.39</v>
      </c>
      <c r="D166" s="40">
        <v>33.39</v>
      </c>
      <c r="E166" s="40">
        <v>33.39</v>
      </c>
      <c r="G166" s="36">
        <v>45453</v>
      </c>
      <c r="H166" s="40">
        <v>10.28</v>
      </c>
      <c r="I166" s="40">
        <v>121.79</v>
      </c>
      <c r="J166" s="44"/>
      <c r="K166" s="40"/>
      <c r="L166" s="45">
        <v>10.28</v>
      </c>
      <c r="M166" s="46">
        <v>121.79</v>
      </c>
      <c r="N166" s="40">
        <f t="shared" si="12"/>
        <v>-1.1605546120308003E-2</v>
      </c>
      <c r="O166" s="40">
        <f t="shared" si="13"/>
        <v>7.4337529875599679E-3</v>
      </c>
      <c r="P166" s="40">
        <f t="shared" si="14"/>
        <v>7.4614519224406144E-3</v>
      </c>
      <c r="Q166" s="40"/>
      <c r="R166" s="40"/>
      <c r="S166" t="s">
        <v>2741</v>
      </c>
      <c r="T166">
        <v>5.27</v>
      </c>
      <c r="U166" s="40">
        <f t="shared" si="15"/>
        <v>0</v>
      </c>
      <c r="V166" s="40">
        <f t="shared" si="16"/>
        <v>5.27</v>
      </c>
      <c r="W166" s="40">
        <f t="shared" si="17"/>
        <v>0</v>
      </c>
    </row>
    <row r="167" spans="1:23" x14ac:dyDescent="0.2">
      <c r="A167" s="40" t="s">
        <v>851</v>
      </c>
      <c r="B167" s="40">
        <v>34.67</v>
      </c>
      <c r="C167" s="40">
        <v>34.67</v>
      </c>
      <c r="D167" s="40">
        <v>34.67</v>
      </c>
      <c r="E167" s="40">
        <v>34.67</v>
      </c>
      <c r="G167" s="36">
        <v>45450</v>
      </c>
      <c r="H167" s="40">
        <v>10.4</v>
      </c>
      <c r="I167" s="40">
        <v>120.88800000000001</v>
      </c>
      <c r="J167" s="44"/>
      <c r="K167" s="40"/>
      <c r="L167" s="45">
        <v>10.4</v>
      </c>
      <c r="M167" s="46">
        <v>120.88800000000001</v>
      </c>
      <c r="N167" s="40">
        <f t="shared" si="12"/>
        <v>-0.2130932154607082</v>
      </c>
      <c r="O167" s="40">
        <f t="shared" si="13"/>
        <v>-9.09519423057991E-4</v>
      </c>
      <c r="P167" s="40">
        <f t="shared" si="14"/>
        <v>-9.0910593563529505E-4</v>
      </c>
      <c r="Q167" s="40"/>
      <c r="R167" s="40"/>
      <c r="S167" t="s">
        <v>2740</v>
      </c>
      <c r="T167">
        <v>5.27</v>
      </c>
      <c r="U167" s="40">
        <f t="shared" si="15"/>
        <v>0</v>
      </c>
      <c r="V167" s="40">
        <f t="shared" si="16"/>
        <v>5.27</v>
      </c>
      <c r="W167" s="40">
        <f t="shared" si="17"/>
        <v>0</v>
      </c>
    </row>
    <row r="168" spans="1:23" x14ac:dyDescent="0.2">
      <c r="A168" s="40" t="s">
        <v>852</v>
      </c>
      <c r="B168" s="40">
        <v>32.33</v>
      </c>
      <c r="C168" s="40">
        <v>32.33</v>
      </c>
      <c r="D168" s="40">
        <v>32.33</v>
      </c>
      <c r="E168" s="40">
        <v>32.33</v>
      </c>
      <c r="G168" s="36">
        <v>45449</v>
      </c>
      <c r="H168" s="40">
        <v>12.87</v>
      </c>
      <c r="I168" s="40">
        <v>120.998</v>
      </c>
      <c r="J168" s="44"/>
      <c r="K168" s="40"/>
      <c r="L168" s="45">
        <v>12.87</v>
      </c>
      <c r="M168" s="46">
        <v>120.998</v>
      </c>
      <c r="N168" s="40">
        <f t="shared" si="12"/>
        <v>1.5552102668064845E-3</v>
      </c>
      <c r="O168" s="40">
        <f t="shared" si="13"/>
        <v>-1.1847097542694677E-2</v>
      </c>
      <c r="P168" s="40">
        <f t="shared" si="14"/>
        <v>-1.1777196994446203E-2</v>
      </c>
      <c r="Q168" s="40"/>
      <c r="R168" s="40"/>
      <c r="S168" t="s">
        <v>2739</v>
      </c>
      <c r="T168">
        <v>5.27</v>
      </c>
      <c r="U168" s="40">
        <f t="shared" si="15"/>
        <v>-1.895735164899312E-3</v>
      </c>
      <c r="V168" s="40">
        <f t="shared" si="16"/>
        <v>5.27</v>
      </c>
      <c r="W168" s="40">
        <f t="shared" si="17"/>
        <v>-1.895735164899312E-3</v>
      </c>
    </row>
    <row r="169" spans="1:23" x14ac:dyDescent="0.2">
      <c r="A169" s="41">
        <v>40552</v>
      </c>
      <c r="B169" s="40">
        <v>31.78</v>
      </c>
      <c r="C169" s="40">
        <v>31.78</v>
      </c>
      <c r="D169" s="40">
        <v>31.78</v>
      </c>
      <c r="E169" s="40">
        <v>31.78</v>
      </c>
      <c r="G169" s="36">
        <v>45448</v>
      </c>
      <c r="H169" s="40">
        <v>12.85</v>
      </c>
      <c r="I169" s="40">
        <v>122.44</v>
      </c>
      <c r="J169" s="44"/>
      <c r="K169" s="40"/>
      <c r="L169" s="45">
        <v>12.85</v>
      </c>
      <c r="M169" s="46">
        <v>122.44</v>
      </c>
      <c r="N169" s="40">
        <f t="shared" si="12"/>
        <v>4.1308494164975756E-2</v>
      </c>
      <c r="O169" s="40">
        <f t="shared" si="13"/>
        <v>5.0270759873846028E-2</v>
      </c>
      <c r="P169" s="40">
        <f t="shared" si="14"/>
        <v>5.1555776943754995E-2</v>
      </c>
      <c r="Q169" s="40"/>
      <c r="R169" s="40"/>
      <c r="S169" t="s">
        <v>2738</v>
      </c>
      <c r="T169">
        <v>5.28</v>
      </c>
      <c r="U169" s="40">
        <f t="shared" si="15"/>
        <v>1.8957351648991973E-3</v>
      </c>
      <c r="V169" s="40">
        <f t="shared" si="16"/>
        <v>5.28</v>
      </c>
      <c r="W169" s="40">
        <f t="shared" si="17"/>
        <v>1.8957351648991973E-3</v>
      </c>
    </row>
    <row r="170" spans="1:23" x14ac:dyDescent="0.2">
      <c r="A170" s="41">
        <v>40583</v>
      </c>
      <c r="B170" s="40">
        <v>31.94</v>
      </c>
      <c r="C170" s="40">
        <v>31.94</v>
      </c>
      <c r="D170" s="40">
        <v>31.94</v>
      </c>
      <c r="E170" s="40">
        <v>31.94</v>
      </c>
      <c r="G170" s="36">
        <v>45447</v>
      </c>
      <c r="H170" s="40">
        <v>12.33</v>
      </c>
      <c r="I170" s="40">
        <v>116.437</v>
      </c>
      <c r="J170" s="44"/>
      <c r="K170" s="40"/>
      <c r="L170" s="45">
        <v>12.33</v>
      </c>
      <c r="M170" s="46">
        <v>116.437</v>
      </c>
      <c r="N170" s="40">
        <f t="shared" si="12"/>
        <v>-8.8429673246019747E-2</v>
      </c>
      <c r="O170" s="40">
        <f t="shared" si="13"/>
        <v>1.2418225840115558E-2</v>
      </c>
      <c r="P170" s="40">
        <f t="shared" si="14"/>
        <v>1.2495652173913022E-2</v>
      </c>
      <c r="Q170" s="40"/>
      <c r="R170" s="40"/>
      <c r="S170" t="s">
        <v>2737</v>
      </c>
      <c r="T170">
        <v>5.27</v>
      </c>
      <c r="U170" s="40">
        <f t="shared" si="15"/>
        <v>-1.895735164899312E-3</v>
      </c>
      <c r="V170" s="40">
        <f t="shared" si="16"/>
        <v>5.27</v>
      </c>
      <c r="W170" s="40">
        <f t="shared" si="17"/>
        <v>-1.895735164899312E-3</v>
      </c>
    </row>
    <row r="171" spans="1:23" x14ac:dyDescent="0.2">
      <c r="A171" s="41">
        <v>40703</v>
      </c>
      <c r="B171" s="40">
        <v>39.24</v>
      </c>
      <c r="C171" s="40">
        <v>39.24</v>
      </c>
      <c r="D171" s="40">
        <v>39.24</v>
      </c>
      <c r="E171" s="40">
        <v>39.24</v>
      </c>
      <c r="G171" s="36">
        <v>45446</v>
      </c>
      <c r="H171" s="40">
        <v>13.47</v>
      </c>
      <c r="I171" s="40">
        <v>115</v>
      </c>
      <c r="J171" s="44"/>
      <c r="K171" s="40"/>
      <c r="L171" s="45">
        <v>13.47</v>
      </c>
      <c r="M171" s="46">
        <v>115</v>
      </c>
      <c r="N171" s="40">
        <f t="shared" si="12"/>
        <v>-3.7877798255117216E-2</v>
      </c>
      <c r="O171" s="40">
        <f t="shared" si="13"/>
        <v>4.7793704278793744E-2</v>
      </c>
      <c r="P171" s="40">
        <f t="shared" si="14"/>
        <v>4.8954238231189558E-2</v>
      </c>
      <c r="Q171" s="40"/>
      <c r="R171" s="40"/>
      <c r="S171" t="s">
        <v>2736</v>
      </c>
      <c r="T171">
        <v>5.28</v>
      </c>
      <c r="U171" s="40">
        <f t="shared" si="15"/>
        <v>1.8957351648991973E-3</v>
      </c>
      <c r="V171" s="40">
        <f t="shared" si="16"/>
        <v>5.28</v>
      </c>
      <c r="W171" s="40">
        <f t="shared" si="17"/>
        <v>1.8957351648991973E-3</v>
      </c>
    </row>
    <row r="172" spans="1:23" x14ac:dyDescent="0.2">
      <c r="A172" s="41">
        <v>40733</v>
      </c>
      <c r="B172" s="40">
        <v>32.44</v>
      </c>
      <c r="C172" s="40">
        <v>32.44</v>
      </c>
      <c r="D172" s="40">
        <v>32.44</v>
      </c>
      <c r="E172" s="40">
        <v>32.44</v>
      </c>
      <c r="G172" s="36">
        <v>45443</v>
      </c>
      <c r="H172" s="40">
        <v>13.99</v>
      </c>
      <c r="I172" s="40">
        <v>109.633</v>
      </c>
      <c r="J172" s="44"/>
      <c r="K172" s="40"/>
      <c r="L172" s="45">
        <v>13.99</v>
      </c>
      <c r="M172" s="46">
        <v>109.633</v>
      </c>
      <c r="N172" s="40">
        <f t="shared" si="12"/>
        <v>-2.0517168234048446E-2</v>
      </c>
      <c r="O172" s="40">
        <f t="shared" si="13"/>
        <v>-7.8770968733510877E-3</v>
      </c>
      <c r="P172" s="40">
        <f t="shared" si="14"/>
        <v>-7.8461538461538863E-3</v>
      </c>
      <c r="Q172" s="40"/>
      <c r="R172" s="40"/>
      <c r="S172" t="s">
        <v>2735</v>
      </c>
      <c r="T172">
        <v>5.27</v>
      </c>
      <c r="U172" s="40">
        <f t="shared" si="15"/>
        <v>-1.895735164899312E-3</v>
      </c>
      <c r="V172" s="40">
        <f t="shared" si="16"/>
        <v>5.27</v>
      </c>
      <c r="W172" s="40">
        <f t="shared" si="17"/>
        <v>-1.895735164899312E-3</v>
      </c>
    </row>
    <row r="173" spans="1:23" x14ac:dyDescent="0.2">
      <c r="A173" s="41">
        <v>40764</v>
      </c>
      <c r="B173" s="40">
        <v>34.409999999999997</v>
      </c>
      <c r="C173" s="40">
        <v>34.409999999999997</v>
      </c>
      <c r="D173" s="40">
        <v>34.409999999999997</v>
      </c>
      <c r="E173" s="40">
        <v>34.409999999999997</v>
      </c>
      <c r="G173" s="36">
        <v>45442</v>
      </c>
      <c r="H173" s="40">
        <v>14.28</v>
      </c>
      <c r="I173" s="40">
        <v>110.5</v>
      </c>
      <c r="J173" s="44"/>
      <c r="K173" s="40"/>
      <c r="L173" s="45">
        <v>14.28</v>
      </c>
      <c r="M173" s="46">
        <v>110.5</v>
      </c>
      <c r="N173" s="40">
        <f t="shared" si="12"/>
        <v>2.6251950976086649E-2</v>
      </c>
      <c r="O173" s="40">
        <f t="shared" si="13"/>
        <v>-3.8393709254049606E-2</v>
      </c>
      <c r="P173" s="40">
        <f t="shared" si="14"/>
        <v>-3.7666013498802546E-2</v>
      </c>
      <c r="Q173" s="40"/>
      <c r="R173" s="40"/>
      <c r="S173" t="s">
        <v>2734</v>
      </c>
      <c r="T173">
        <v>5.28</v>
      </c>
      <c r="U173" s="40">
        <f t="shared" si="15"/>
        <v>3.7950709685517555E-3</v>
      </c>
      <c r="V173" s="40">
        <f t="shared" si="16"/>
        <v>5.28</v>
      </c>
      <c r="W173" s="40">
        <f t="shared" si="17"/>
        <v>3.7950709685517555E-3</v>
      </c>
    </row>
    <row r="174" spans="1:23" x14ac:dyDescent="0.2">
      <c r="A174" s="41">
        <v>40795</v>
      </c>
      <c r="B174" s="40">
        <v>40.42</v>
      </c>
      <c r="C174" s="40">
        <v>40.42</v>
      </c>
      <c r="D174" s="40">
        <v>40.42</v>
      </c>
      <c r="E174" s="40">
        <v>40.42</v>
      </c>
      <c r="G174" s="36">
        <v>45441</v>
      </c>
      <c r="H174" s="40">
        <v>13.91</v>
      </c>
      <c r="I174" s="40">
        <v>114.825</v>
      </c>
      <c r="J174" s="44"/>
      <c r="K174" s="40"/>
      <c r="L174" s="45">
        <v>13.91</v>
      </c>
      <c r="M174" s="46">
        <v>114.825</v>
      </c>
      <c r="N174" s="40">
        <f t="shared" si="12"/>
        <v>0.17473002853527064</v>
      </c>
      <c r="O174" s="40">
        <f t="shared" si="13"/>
        <v>8.0795801660059896E-3</v>
      </c>
      <c r="P174" s="40">
        <f t="shared" si="14"/>
        <v>8.1123080569969232E-3</v>
      </c>
      <c r="Q174" s="40"/>
      <c r="R174" s="40"/>
      <c r="S174" t="s">
        <v>2733</v>
      </c>
      <c r="T174">
        <v>5.26</v>
      </c>
      <c r="U174" s="40">
        <f t="shared" si="15"/>
        <v>-5.687219120589576E-3</v>
      </c>
      <c r="V174" s="40">
        <f t="shared" si="16"/>
        <v>5.26</v>
      </c>
      <c r="W174" s="40">
        <f t="shared" si="17"/>
        <v>-5.687219120589576E-3</v>
      </c>
    </row>
    <row r="175" spans="1:23" x14ac:dyDescent="0.2">
      <c r="A175" s="41">
        <v>40886</v>
      </c>
      <c r="B175" s="40">
        <v>40.450000000000003</v>
      </c>
      <c r="C175" s="40">
        <v>40.450000000000003</v>
      </c>
      <c r="D175" s="40">
        <v>40.450000000000003</v>
      </c>
      <c r="E175" s="40">
        <v>40.450000000000003</v>
      </c>
      <c r="G175" s="36">
        <v>45440</v>
      </c>
      <c r="H175" s="40">
        <v>11.68</v>
      </c>
      <c r="I175" s="40">
        <v>113.901</v>
      </c>
      <c r="J175" s="44"/>
      <c r="K175" s="40"/>
      <c r="L175" s="45">
        <v>11.68</v>
      </c>
      <c r="M175" s="46">
        <v>113.901</v>
      </c>
      <c r="N175" s="40">
        <f t="shared" si="12"/>
        <v>-0.15732567333577727</v>
      </c>
      <c r="O175" s="40">
        <f t="shared" si="13"/>
        <v>6.7475787080529218E-2</v>
      </c>
      <c r="P175" s="40">
        <f t="shared" si="14"/>
        <v>6.980435619757866E-2</v>
      </c>
      <c r="Q175" s="40"/>
      <c r="R175" s="40"/>
      <c r="S175" t="s">
        <v>2732</v>
      </c>
      <c r="T175">
        <v>5.29</v>
      </c>
      <c r="U175" s="40">
        <f t="shared" si="15"/>
        <v>0</v>
      </c>
      <c r="V175" s="40">
        <f t="shared" si="16"/>
        <v>5.29</v>
      </c>
      <c r="W175" s="40">
        <f t="shared" si="17"/>
        <v>0</v>
      </c>
    </row>
    <row r="176" spans="1:23" x14ac:dyDescent="0.2">
      <c r="A176" s="40" t="s">
        <v>853</v>
      </c>
      <c r="B176" s="40">
        <v>37.630000000000003</v>
      </c>
      <c r="C176" s="40">
        <v>37.630000000000003</v>
      </c>
      <c r="D176" s="40">
        <v>37.630000000000003</v>
      </c>
      <c r="E176" s="40">
        <v>37.630000000000003</v>
      </c>
      <c r="G176" s="36">
        <v>45436</v>
      </c>
      <c r="H176" s="40">
        <v>13.67</v>
      </c>
      <c r="I176" s="40">
        <v>106.46899999999999</v>
      </c>
      <c r="J176" s="44"/>
      <c r="K176" s="40"/>
      <c r="L176" s="45">
        <v>13.67</v>
      </c>
      <c r="M176" s="46">
        <v>106.46899999999999</v>
      </c>
      <c r="N176" s="40">
        <f t="shared" si="12"/>
        <v>1.9202953442271034E-2</v>
      </c>
      <c r="O176" s="40">
        <f t="shared" si="13"/>
        <v>2.5397526191308143E-2</v>
      </c>
      <c r="P176" s="40">
        <f t="shared" si="14"/>
        <v>2.5722791163691243E-2</v>
      </c>
      <c r="Q176" s="40"/>
      <c r="R176" s="40"/>
      <c r="S176" t="s">
        <v>2731</v>
      </c>
      <c r="T176">
        <v>5.29</v>
      </c>
      <c r="U176" s="40">
        <f t="shared" si="15"/>
        <v>0.2212549766263415</v>
      </c>
      <c r="V176" s="40">
        <f t="shared" si="16"/>
        <v>5.29</v>
      </c>
      <c r="W176" s="40">
        <f t="shared" si="17"/>
        <v>0.2212549766263415</v>
      </c>
    </row>
    <row r="177" spans="1:23" x14ac:dyDescent="0.2">
      <c r="A177" s="40" t="s">
        <v>854</v>
      </c>
      <c r="B177" s="40">
        <v>35.03</v>
      </c>
      <c r="C177" s="40">
        <v>35.03</v>
      </c>
      <c r="D177" s="40">
        <v>35.03</v>
      </c>
      <c r="E177" s="40">
        <v>35.03</v>
      </c>
      <c r="G177" s="36">
        <v>45435</v>
      </c>
      <c r="H177" s="40">
        <v>13.41</v>
      </c>
      <c r="I177" s="40">
        <v>103.79900000000001</v>
      </c>
      <c r="J177" s="44"/>
      <c r="K177" s="40"/>
      <c r="L177" s="45">
        <v>13.41</v>
      </c>
      <c r="M177" s="46">
        <v>103.79900000000001</v>
      </c>
      <c r="N177" s="40">
        <f t="shared" si="12"/>
        <v>0.15278447455979588</v>
      </c>
      <c r="O177" s="40">
        <f t="shared" si="13"/>
        <v>8.9105899515719053E-2</v>
      </c>
      <c r="P177" s="40">
        <f t="shared" si="14"/>
        <v>9.3196419167983185E-2</v>
      </c>
      <c r="Q177" s="40"/>
      <c r="R177" s="40"/>
      <c r="S177">
        <v>45638</v>
      </c>
      <c r="T177">
        <v>4.24</v>
      </c>
      <c r="U177" s="40">
        <f t="shared" si="15"/>
        <v>-6.3948724600273288E-2</v>
      </c>
      <c r="V177" s="40">
        <f t="shared" si="16"/>
        <v>4.24</v>
      </c>
      <c r="W177" s="40">
        <f t="shared" si="17"/>
        <v>-6.3948724600273288E-2</v>
      </c>
    </row>
    <row r="178" spans="1:23" x14ac:dyDescent="0.2">
      <c r="A178" s="40" t="s">
        <v>855</v>
      </c>
      <c r="B178" s="40">
        <v>32.79</v>
      </c>
      <c r="C178" s="40">
        <v>32.79</v>
      </c>
      <c r="D178" s="40">
        <v>32.79</v>
      </c>
      <c r="E178" s="40">
        <v>32.79</v>
      </c>
      <c r="G178" s="36">
        <v>45434</v>
      </c>
      <c r="H178" s="40">
        <v>11.51</v>
      </c>
      <c r="I178" s="40">
        <v>94.95</v>
      </c>
      <c r="J178" s="44"/>
      <c r="K178" s="40"/>
      <c r="L178" s="45">
        <v>11.51</v>
      </c>
      <c r="M178" s="46">
        <v>94.95</v>
      </c>
      <c r="N178" s="40">
        <f t="shared" si="12"/>
        <v>0.22510028636619556</v>
      </c>
      <c r="O178" s="40">
        <f t="shared" si="13"/>
        <v>-4.58137990292514E-3</v>
      </c>
      <c r="P178" s="40">
        <f t="shared" si="14"/>
        <v>-4.5709013901410363E-3</v>
      </c>
      <c r="Q178" s="40"/>
      <c r="R178" s="40"/>
      <c r="S178">
        <v>45637</v>
      </c>
      <c r="T178">
        <v>4.5199999999999996</v>
      </c>
      <c r="U178" s="40">
        <f t="shared" si="15"/>
        <v>-9.4907846264397577E-2</v>
      </c>
      <c r="V178" s="40">
        <f t="shared" si="16"/>
        <v>4.5199999999999996</v>
      </c>
      <c r="W178" s="40">
        <f t="shared" si="17"/>
        <v>-9.4907846264397577E-2</v>
      </c>
    </row>
    <row r="179" spans="1:23" x14ac:dyDescent="0.2">
      <c r="A179" s="40" t="s">
        <v>856</v>
      </c>
      <c r="B179" s="40">
        <v>32.520000000000003</v>
      </c>
      <c r="C179" s="40">
        <v>32.520000000000003</v>
      </c>
      <c r="D179" s="40">
        <v>32.520000000000003</v>
      </c>
      <c r="E179" s="40">
        <v>32.520000000000003</v>
      </c>
      <c r="G179" s="36">
        <v>45433</v>
      </c>
      <c r="H179" s="40">
        <v>9.19</v>
      </c>
      <c r="I179" s="40">
        <v>95.385999999999996</v>
      </c>
      <c r="J179" s="44"/>
      <c r="K179" s="40"/>
      <c r="L179" s="45">
        <v>9.19</v>
      </c>
      <c r="M179" s="46">
        <v>95.385999999999996</v>
      </c>
      <c r="N179" s="40">
        <f t="shared" si="12"/>
        <v>-0.16050384290244762</v>
      </c>
      <c r="O179" s="40">
        <f t="shared" si="13"/>
        <v>6.3734006217777929E-3</v>
      </c>
      <c r="P179" s="40">
        <f t="shared" si="14"/>
        <v>6.3937539565308557E-3</v>
      </c>
      <c r="Q179" s="40"/>
      <c r="R179" s="40"/>
      <c r="S179">
        <v>45635</v>
      </c>
      <c r="T179">
        <v>4.97</v>
      </c>
      <c r="U179" s="40">
        <f t="shared" si="15"/>
        <v>-5.8610522444733561E-2</v>
      </c>
      <c r="V179" s="40">
        <f t="shared" si="16"/>
        <v>4.97</v>
      </c>
      <c r="W179" s="40">
        <f t="shared" si="17"/>
        <v>-5.8610522444733561E-2</v>
      </c>
    </row>
    <row r="180" spans="1:23" x14ac:dyDescent="0.2">
      <c r="A180" s="40" t="s">
        <v>857</v>
      </c>
      <c r="B180" s="40">
        <v>34.6</v>
      </c>
      <c r="C180" s="40">
        <v>34.6</v>
      </c>
      <c r="D180" s="40">
        <v>34.6</v>
      </c>
      <c r="E180" s="40">
        <v>34.6</v>
      </c>
      <c r="G180" s="36">
        <v>45432</v>
      </c>
      <c r="H180" s="40">
        <v>10.79</v>
      </c>
      <c r="I180" s="40">
        <v>94.78</v>
      </c>
      <c r="J180" s="44"/>
      <c r="K180" s="40"/>
      <c r="L180" s="45">
        <v>10.79</v>
      </c>
      <c r="M180" s="46">
        <v>94.78</v>
      </c>
      <c r="N180" s="40">
        <f t="shared" si="12"/>
        <v>-3.192245522909485E-2</v>
      </c>
      <c r="O180" s="40">
        <f t="shared" si="13"/>
        <v>2.4576824822626301E-2</v>
      </c>
      <c r="P180" s="40">
        <f t="shared" si="14"/>
        <v>2.4881324408784718E-2</v>
      </c>
      <c r="Q180" s="40"/>
      <c r="R180" s="40"/>
      <c r="S180">
        <v>45634</v>
      </c>
      <c r="T180">
        <v>5.27</v>
      </c>
      <c r="U180" s="40">
        <f t="shared" si="15"/>
        <v>0</v>
      </c>
      <c r="V180" s="40">
        <f t="shared" si="16"/>
        <v>5.27</v>
      </c>
      <c r="W180" s="40">
        <f t="shared" si="17"/>
        <v>0</v>
      </c>
    </row>
    <row r="181" spans="1:23" x14ac:dyDescent="0.2">
      <c r="A181" s="40" t="s">
        <v>858</v>
      </c>
      <c r="B181" s="40">
        <v>34.49</v>
      </c>
      <c r="C181" s="40">
        <v>34.49</v>
      </c>
      <c r="D181" s="40">
        <v>34.49</v>
      </c>
      <c r="E181" s="40">
        <v>34.49</v>
      </c>
      <c r="G181" s="36">
        <v>45429</v>
      </c>
      <c r="H181" s="40">
        <v>11.14</v>
      </c>
      <c r="I181" s="40">
        <v>92.478999999999999</v>
      </c>
      <c r="J181" s="44"/>
      <c r="K181" s="40"/>
      <c r="L181" s="45">
        <v>11.14</v>
      </c>
      <c r="M181" s="46">
        <v>92.478999999999999</v>
      </c>
      <c r="N181" s="40">
        <f t="shared" si="12"/>
        <v>9.9988971855915473E-2</v>
      </c>
      <c r="O181" s="40">
        <f t="shared" si="13"/>
        <v>-2.012506505560778E-2</v>
      </c>
      <c r="P181" s="40">
        <f t="shared" si="14"/>
        <v>-1.9923907629372881E-2</v>
      </c>
      <c r="Q181" s="40"/>
      <c r="R181" s="40"/>
      <c r="S181">
        <v>45633</v>
      </c>
      <c r="T181">
        <v>5.27</v>
      </c>
      <c r="U181" s="40">
        <f t="shared" si="15"/>
        <v>1.8993358036523157E-3</v>
      </c>
      <c r="V181" s="40">
        <f t="shared" si="16"/>
        <v>5.27</v>
      </c>
      <c r="W181" s="40">
        <f t="shared" si="17"/>
        <v>1.8993358036523157E-3</v>
      </c>
    </row>
    <row r="182" spans="1:23" x14ac:dyDescent="0.2">
      <c r="A182" s="40" t="s">
        <v>859</v>
      </c>
      <c r="B182" s="40">
        <v>37.76</v>
      </c>
      <c r="C182" s="40">
        <v>37.76</v>
      </c>
      <c r="D182" s="40">
        <v>37.76</v>
      </c>
      <c r="E182" s="40">
        <v>37.76</v>
      </c>
      <c r="G182" s="36">
        <v>45428</v>
      </c>
      <c r="H182" s="40">
        <v>10.08</v>
      </c>
      <c r="I182" s="40">
        <v>94.358999999999995</v>
      </c>
      <c r="J182" s="44"/>
      <c r="K182" s="40"/>
      <c r="L182" s="45">
        <v>10.08</v>
      </c>
      <c r="M182" s="46">
        <v>94.358999999999995</v>
      </c>
      <c r="N182" s="40">
        <f t="shared" si="12"/>
        <v>-4.3675063502661531E-2</v>
      </c>
      <c r="O182" s="40">
        <f t="shared" si="13"/>
        <v>-2.8678937477175826E-3</v>
      </c>
      <c r="P182" s="40">
        <f t="shared" si="14"/>
        <v>-2.8637852689422046E-3</v>
      </c>
      <c r="Q182" s="40"/>
      <c r="R182" s="40"/>
      <c r="S182">
        <v>45632</v>
      </c>
      <c r="T182">
        <v>5.26</v>
      </c>
      <c r="U182" s="40">
        <f t="shared" si="15"/>
        <v>-3.7950709685517208E-3</v>
      </c>
      <c r="V182" s="40">
        <f t="shared" si="16"/>
        <v>5.26</v>
      </c>
      <c r="W182" s="40">
        <f t="shared" si="17"/>
        <v>-3.7950709685517208E-3</v>
      </c>
    </row>
    <row r="183" spans="1:23" x14ac:dyDescent="0.2">
      <c r="A183" s="40" t="s">
        <v>860</v>
      </c>
      <c r="B183" s="40">
        <v>43.49</v>
      </c>
      <c r="C183" s="40">
        <v>43.49</v>
      </c>
      <c r="D183" s="40">
        <v>43.49</v>
      </c>
      <c r="E183" s="40">
        <v>43.49</v>
      </c>
      <c r="G183" s="36">
        <v>45427</v>
      </c>
      <c r="H183" s="40">
        <v>10.53</v>
      </c>
      <c r="I183" s="40">
        <v>94.63</v>
      </c>
      <c r="J183" s="44"/>
      <c r="K183" s="40"/>
      <c r="L183" s="45">
        <v>10.53</v>
      </c>
      <c r="M183" s="46">
        <v>94.63</v>
      </c>
      <c r="N183" s="40">
        <f t="shared" si="12"/>
        <v>8.5200016680681084E-2</v>
      </c>
      <c r="O183" s="40">
        <f t="shared" si="13"/>
        <v>3.5210588408065527E-2</v>
      </c>
      <c r="P183" s="40">
        <f t="shared" si="14"/>
        <v>3.5837821270633577E-2</v>
      </c>
      <c r="Q183" s="40"/>
      <c r="R183" s="40"/>
      <c r="S183">
        <v>45630</v>
      </c>
      <c r="T183">
        <v>5.28</v>
      </c>
      <c r="U183" s="40">
        <f t="shared" si="15"/>
        <v>-1.8921481520378152E-3</v>
      </c>
      <c r="V183" s="40">
        <f t="shared" si="16"/>
        <v>5.28</v>
      </c>
      <c r="W183" s="40">
        <f t="shared" si="17"/>
        <v>-1.8921481520378152E-3</v>
      </c>
    </row>
    <row r="184" spans="1:23" x14ac:dyDescent="0.2">
      <c r="A184" s="40" t="s">
        <v>861</v>
      </c>
      <c r="B184" s="40">
        <v>42.66</v>
      </c>
      <c r="C184" s="40">
        <v>42.66</v>
      </c>
      <c r="D184" s="40">
        <v>42.66</v>
      </c>
      <c r="E184" s="40">
        <v>42.66</v>
      </c>
      <c r="G184" s="36">
        <v>45426</v>
      </c>
      <c r="H184" s="40">
        <v>9.67</v>
      </c>
      <c r="I184" s="40">
        <v>91.355999999999995</v>
      </c>
      <c r="J184" s="44"/>
      <c r="K184" s="40"/>
      <c r="L184" s="45">
        <v>9.67</v>
      </c>
      <c r="M184" s="46">
        <v>91.355999999999995</v>
      </c>
      <c r="N184" s="40">
        <f t="shared" si="12"/>
        <v>-0.12522397205466665</v>
      </c>
      <c r="O184" s="40">
        <f t="shared" si="13"/>
        <v>1.0530756722031461E-2</v>
      </c>
      <c r="P184" s="40">
        <f t="shared" si="14"/>
        <v>1.0586400292038558E-2</v>
      </c>
      <c r="Q184" s="40"/>
      <c r="R184" s="40"/>
      <c r="S184">
        <v>45629</v>
      </c>
      <c r="T184">
        <v>5.29</v>
      </c>
      <c r="U184" s="40">
        <f t="shared" si="15"/>
        <v>1.8921481520379623E-3</v>
      </c>
      <c r="V184" s="40">
        <f t="shared" si="16"/>
        <v>5.29</v>
      </c>
      <c r="W184" s="40">
        <f t="shared" si="17"/>
        <v>1.8921481520379623E-3</v>
      </c>
    </row>
    <row r="185" spans="1:23" x14ac:dyDescent="0.2">
      <c r="A185" s="40" t="s">
        <v>862</v>
      </c>
      <c r="B185" s="40">
        <v>40.17</v>
      </c>
      <c r="C185" s="40">
        <v>40.17</v>
      </c>
      <c r="D185" s="40">
        <v>40.17</v>
      </c>
      <c r="E185" s="40">
        <v>40.17</v>
      </c>
      <c r="G185" s="36">
        <v>45425</v>
      </c>
      <c r="H185" s="40">
        <v>10.96</v>
      </c>
      <c r="I185" s="40">
        <v>90.399000000000001</v>
      </c>
      <c r="J185" s="44"/>
      <c r="K185" s="40"/>
      <c r="L185" s="45">
        <v>10.96</v>
      </c>
      <c r="M185" s="46">
        <v>90.399000000000001</v>
      </c>
      <c r="N185" s="40">
        <f t="shared" si="12"/>
        <v>-4.1113922707994646E-2</v>
      </c>
      <c r="O185" s="40">
        <f t="shared" si="13"/>
        <v>5.7800102119038039E-3</v>
      </c>
      <c r="P185" s="40">
        <f t="shared" si="14"/>
        <v>5.7967467010837E-3</v>
      </c>
      <c r="Q185" s="40"/>
      <c r="R185" s="40"/>
      <c r="S185">
        <v>45628</v>
      </c>
      <c r="T185">
        <v>5.28</v>
      </c>
      <c r="U185" s="40">
        <f t="shared" si="15"/>
        <v>0</v>
      </c>
      <c r="V185" s="40">
        <f t="shared" si="16"/>
        <v>5.28</v>
      </c>
      <c r="W185" s="40">
        <f t="shared" si="17"/>
        <v>0</v>
      </c>
    </row>
    <row r="186" spans="1:23" x14ac:dyDescent="0.2">
      <c r="A186" s="40" t="s">
        <v>863</v>
      </c>
      <c r="B186" s="40">
        <v>38.93</v>
      </c>
      <c r="C186" s="40">
        <v>38.93</v>
      </c>
      <c r="D186" s="40">
        <v>38.93</v>
      </c>
      <c r="E186" s="40">
        <v>38.93</v>
      </c>
      <c r="G186" s="36">
        <v>45422</v>
      </c>
      <c r="H186" s="40">
        <v>11.42</v>
      </c>
      <c r="I186" s="40">
        <v>89.878</v>
      </c>
      <c r="J186" s="44"/>
      <c r="K186" s="40"/>
      <c r="L186" s="45">
        <v>11.42</v>
      </c>
      <c r="M186" s="46">
        <v>89.878</v>
      </c>
      <c r="N186" s="40">
        <f t="shared" si="12"/>
        <v>-0.15314942817915619</v>
      </c>
      <c r="O186" s="40">
        <f t="shared" si="13"/>
        <v>1.2663570210844997E-2</v>
      </c>
      <c r="P186" s="40">
        <f t="shared" si="14"/>
        <v>1.2744092758065064E-2</v>
      </c>
      <c r="Q186" s="40"/>
      <c r="R186" s="40"/>
      <c r="S186">
        <v>45627</v>
      </c>
      <c r="T186">
        <v>5.28</v>
      </c>
      <c r="U186" s="40">
        <f t="shared" si="15"/>
        <v>0.20531107501865345</v>
      </c>
      <c r="V186" s="40">
        <f t="shared" si="16"/>
        <v>5.28</v>
      </c>
      <c r="W186" s="40">
        <f t="shared" si="17"/>
        <v>0.20531107501865345</v>
      </c>
    </row>
    <row r="187" spans="1:23" x14ac:dyDescent="0.2">
      <c r="A187" s="40" t="s">
        <v>864</v>
      </c>
      <c r="B187" s="40">
        <v>42.81</v>
      </c>
      <c r="C187" s="40">
        <v>42.81</v>
      </c>
      <c r="D187" s="40">
        <v>42.81</v>
      </c>
      <c r="E187" s="40">
        <v>42.81</v>
      </c>
      <c r="G187" s="36">
        <v>45421</v>
      </c>
      <c r="H187" s="40">
        <v>13.31</v>
      </c>
      <c r="I187" s="40">
        <v>88.747</v>
      </c>
      <c r="J187" s="44"/>
      <c r="K187" s="40"/>
      <c r="L187" s="45">
        <v>13.31</v>
      </c>
      <c r="M187" s="46">
        <v>88.747</v>
      </c>
      <c r="N187" s="40">
        <f t="shared" si="12"/>
        <v>-2.960986116720284E-2</v>
      </c>
      <c r="O187" s="40">
        <f t="shared" si="13"/>
        <v>-1.8587376984046475E-2</v>
      </c>
      <c r="P187" s="40">
        <f t="shared" si="14"/>
        <v>-1.8415697031367584E-2</v>
      </c>
      <c r="Q187" s="40"/>
      <c r="R187" s="40"/>
      <c r="S187">
        <v>45608</v>
      </c>
      <c r="T187">
        <v>4.3</v>
      </c>
      <c r="U187" s="40">
        <f t="shared" si="15"/>
        <v>-9.9529595347033178E-2</v>
      </c>
      <c r="V187" s="40">
        <f t="shared" si="16"/>
        <v>4.3</v>
      </c>
      <c r="W187" s="40">
        <f t="shared" si="17"/>
        <v>-9.9529595347033178E-2</v>
      </c>
    </row>
    <row r="188" spans="1:23" x14ac:dyDescent="0.2">
      <c r="A188" s="40" t="s">
        <v>865</v>
      </c>
      <c r="B188" s="40">
        <v>39.79</v>
      </c>
      <c r="C188" s="40">
        <v>39.79</v>
      </c>
      <c r="D188" s="40">
        <v>39.79</v>
      </c>
      <c r="E188" s="40">
        <v>39.79</v>
      </c>
      <c r="G188" s="36">
        <v>45420</v>
      </c>
      <c r="H188" s="40">
        <v>13.71</v>
      </c>
      <c r="I188" s="40">
        <v>90.412000000000006</v>
      </c>
      <c r="J188" s="44"/>
      <c r="K188" s="40"/>
      <c r="L188" s="45">
        <v>13.71</v>
      </c>
      <c r="M188" s="46">
        <v>90.412000000000006</v>
      </c>
      <c r="N188" s="40">
        <f t="shared" si="12"/>
        <v>0.14833248159627085</v>
      </c>
      <c r="O188" s="40">
        <f t="shared" si="13"/>
        <v>-1.5693558916487305E-3</v>
      </c>
      <c r="P188" s="40">
        <f t="shared" si="14"/>
        <v>-1.5681250966273815E-3</v>
      </c>
      <c r="Q188" s="40"/>
      <c r="R188" s="40"/>
      <c r="S188">
        <v>45606</v>
      </c>
      <c r="T188">
        <v>4.75</v>
      </c>
      <c r="U188" s="40">
        <f t="shared" si="15"/>
        <v>-5.1293294387550578E-2</v>
      </c>
      <c r="V188" s="40">
        <f t="shared" si="16"/>
        <v>4.75</v>
      </c>
      <c r="W188" s="40">
        <f t="shared" si="17"/>
        <v>-5.1293294387550578E-2</v>
      </c>
    </row>
    <row r="189" spans="1:23" x14ac:dyDescent="0.2">
      <c r="A189" s="40" t="s">
        <v>866</v>
      </c>
      <c r="B189" s="40">
        <v>43.73</v>
      </c>
      <c r="C189" s="40">
        <v>43.73</v>
      </c>
      <c r="D189" s="40">
        <v>43.73</v>
      </c>
      <c r="E189" s="40">
        <v>43.73</v>
      </c>
      <c r="G189" s="36">
        <v>45419</v>
      </c>
      <c r="H189" s="40">
        <v>11.82</v>
      </c>
      <c r="I189" s="40">
        <v>90.554000000000002</v>
      </c>
      <c r="J189" s="44"/>
      <c r="K189" s="40"/>
      <c r="L189" s="45">
        <v>11.82</v>
      </c>
      <c r="M189" s="46">
        <v>90.554000000000002</v>
      </c>
      <c r="N189" s="40">
        <f t="shared" si="12"/>
        <v>-8.424649659251578E-3</v>
      </c>
      <c r="O189" s="40">
        <f t="shared" si="13"/>
        <v>-1.7362801664780089E-2</v>
      </c>
      <c r="P189" s="40">
        <f t="shared" si="14"/>
        <v>-1.721293683525069E-2</v>
      </c>
      <c r="Q189" s="40"/>
      <c r="R189" s="40"/>
      <c r="S189">
        <v>45605</v>
      </c>
      <c r="T189">
        <v>5</v>
      </c>
      <c r="U189" s="40">
        <f t="shared" si="15"/>
        <v>-5.4488185284069797E-2</v>
      </c>
      <c r="V189" s="40">
        <f t="shared" si="16"/>
        <v>5</v>
      </c>
      <c r="W189" s="40">
        <f t="shared" si="17"/>
        <v>-5.4488185284069797E-2</v>
      </c>
    </row>
    <row r="190" spans="1:23" x14ac:dyDescent="0.2">
      <c r="A190" s="41">
        <v>40612</v>
      </c>
      <c r="B190" s="40">
        <v>48.64</v>
      </c>
      <c r="C190" s="40">
        <v>48.64</v>
      </c>
      <c r="D190" s="40">
        <v>48.64</v>
      </c>
      <c r="E190" s="40">
        <v>48.64</v>
      </c>
      <c r="G190" s="36">
        <v>45418</v>
      </c>
      <c r="H190" s="40">
        <v>11.92</v>
      </c>
      <c r="I190" s="40">
        <v>92.14</v>
      </c>
      <c r="J190" s="44"/>
      <c r="K190" s="40"/>
      <c r="L190" s="45">
        <v>11.92</v>
      </c>
      <c r="M190" s="46">
        <v>92.14</v>
      </c>
      <c r="N190" s="40">
        <f t="shared" si="12"/>
        <v>-4.5909701304077968E-2</v>
      </c>
      <c r="O190" s="40">
        <f t="shared" si="13"/>
        <v>3.7046391056522465E-2</v>
      </c>
      <c r="P190" s="40">
        <f t="shared" si="14"/>
        <v>3.7741161630382131E-2</v>
      </c>
      <c r="Q190" s="40"/>
      <c r="R190" s="40"/>
      <c r="S190">
        <v>45603</v>
      </c>
      <c r="T190">
        <v>5.28</v>
      </c>
      <c r="U190" s="40">
        <f t="shared" si="15"/>
        <v>3.7950709685517555E-3</v>
      </c>
      <c r="V190" s="40">
        <f t="shared" si="16"/>
        <v>5.28</v>
      </c>
      <c r="W190" s="40">
        <f t="shared" si="17"/>
        <v>3.7950709685517555E-3</v>
      </c>
    </row>
    <row r="191" spans="1:23" x14ac:dyDescent="0.2">
      <c r="A191" s="41">
        <v>40643</v>
      </c>
      <c r="B191" s="40">
        <v>41.47</v>
      </c>
      <c r="C191" s="40">
        <v>41.47</v>
      </c>
      <c r="D191" s="40">
        <v>41.47</v>
      </c>
      <c r="E191" s="40">
        <v>41.47</v>
      </c>
      <c r="G191" s="36">
        <v>45415</v>
      </c>
      <c r="H191" s="40">
        <v>12.48</v>
      </c>
      <c r="I191" s="40">
        <v>88.789000000000001</v>
      </c>
      <c r="J191" s="44"/>
      <c r="K191" s="40"/>
      <c r="L191" s="45">
        <v>12.48</v>
      </c>
      <c r="M191" s="46">
        <v>88.789000000000001</v>
      </c>
      <c r="N191" s="40">
        <f t="shared" si="12"/>
        <v>-2.2187914975362218E-2</v>
      </c>
      <c r="O191" s="40">
        <f t="shared" si="13"/>
        <v>3.4045646385382898E-2</v>
      </c>
      <c r="P191" s="40">
        <f t="shared" si="14"/>
        <v>3.4631832853630501E-2</v>
      </c>
      <c r="Q191" s="40"/>
      <c r="R191" s="40"/>
      <c r="S191">
        <v>45602</v>
      </c>
      <c r="T191">
        <v>5.26</v>
      </c>
      <c r="U191" s="40">
        <f t="shared" si="15"/>
        <v>-3.7950709685517208E-3</v>
      </c>
      <c r="V191" s="40">
        <f t="shared" si="16"/>
        <v>5.26</v>
      </c>
      <c r="W191" s="40">
        <f t="shared" si="17"/>
        <v>-3.7950709685517208E-3</v>
      </c>
    </row>
    <row r="192" spans="1:23" x14ac:dyDescent="0.2">
      <c r="A192" s="41">
        <v>40673</v>
      </c>
      <c r="B192" s="40">
        <v>37.58</v>
      </c>
      <c r="C192" s="40">
        <v>37.58</v>
      </c>
      <c r="D192" s="40">
        <v>37.58</v>
      </c>
      <c r="E192" s="40">
        <v>37.58</v>
      </c>
      <c r="G192" s="36">
        <v>45414</v>
      </c>
      <c r="H192" s="40">
        <v>12.76</v>
      </c>
      <c r="I192" s="40">
        <v>85.816999999999993</v>
      </c>
      <c r="J192" s="44"/>
      <c r="K192" s="40"/>
      <c r="L192" s="45">
        <v>12.76</v>
      </c>
      <c r="M192" s="46">
        <v>85.816999999999993</v>
      </c>
      <c r="N192" s="40">
        <f t="shared" si="12"/>
        <v>-2.8584410398061092E-2</v>
      </c>
      <c r="O192" s="40">
        <f t="shared" si="13"/>
        <v>3.2882660331586287E-2</v>
      </c>
      <c r="P192" s="40">
        <f t="shared" si="14"/>
        <v>3.3429269878734555E-2</v>
      </c>
      <c r="Q192" s="40"/>
      <c r="R192" s="40"/>
      <c r="S192">
        <v>45600</v>
      </c>
      <c r="T192">
        <v>5.28</v>
      </c>
      <c r="U192" s="40">
        <f t="shared" si="15"/>
        <v>1.8957351648991973E-3</v>
      </c>
      <c r="V192" s="40">
        <f t="shared" si="16"/>
        <v>5.28</v>
      </c>
      <c r="W192" s="40">
        <f t="shared" si="17"/>
        <v>1.8957351648991973E-3</v>
      </c>
    </row>
    <row r="193" spans="1:23" x14ac:dyDescent="0.2">
      <c r="A193" s="41">
        <v>40704</v>
      </c>
      <c r="B193" s="40">
        <v>34.96</v>
      </c>
      <c r="C193" s="40">
        <v>34.96</v>
      </c>
      <c r="D193" s="40">
        <v>34.96</v>
      </c>
      <c r="E193" s="40">
        <v>34.96</v>
      </c>
      <c r="G193" s="36">
        <v>45413</v>
      </c>
      <c r="H193" s="40">
        <v>13.13</v>
      </c>
      <c r="I193" s="40">
        <v>83.040999999999997</v>
      </c>
      <c r="J193" s="44"/>
      <c r="K193" s="40"/>
      <c r="L193" s="45">
        <v>13.13</v>
      </c>
      <c r="M193" s="46">
        <v>83.040999999999997</v>
      </c>
      <c r="N193" s="40">
        <f t="shared" si="12"/>
        <v>8.9993038526704566E-2</v>
      </c>
      <c r="O193" s="40">
        <f t="shared" si="13"/>
        <v>-3.9676361955964384E-2</v>
      </c>
      <c r="P193" s="40">
        <f t="shared" si="14"/>
        <v>-3.8899562510127127E-2</v>
      </c>
      <c r="Q193" s="40"/>
      <c r="R193" s="40"/>
      <c r="S193">
        <v>45599</v>
      </c>
      <c r="T193">
        <v>5.27</v>
      </c>
      <c r="U193" s="40">
        <f t="shared" si="15"/>
        <v>-1.895735164899312E-3</v>
      </c>
      <c r="V193" s="40">
        <f t="shared" si="16"/>
        <v>5.27</v>
      </c>
      <c r="W193" s="40">
        <f t="shared" si="17"/>
        <v>-1.895735164899312E-3</v>
      </c>
    </row>
    <row r="194" spans="1:23" x14ac:dyDescent="0.2">
      <c r="A194" s="41">
        <v>40734</v>
      </c>
      <c r="B194" s="40">
        <v>33.619999999999997</v>
      </c>
      <c r="C194" s="40">
        <v>33.619999999999997</v>
      </c>
      <c r="D194" s="40">
        <v>33.619999999999997</v>
      </c>
      <c r="E194" s="40">
        <v>33.619999999999997</v>
      </c>
      <c r="G194" s="36">
        <v>45412</v>
      </c>
      <c r="H194" s="40">
        <v>12</v>
      </c>
      <c r="I194" s="40">
        <v>86.402000000000001</v>
      </c>
      <c r="J194" s="44"/>
      <c r="K194" s="40"/>
      <c r="L194" s="45">
        <v>12</v>
      </c>
      <c r="M194" s="46">
        <v>86.402000000000001</v>
      </c>
      <c r="N194" s="40">
        <f t="shared" si="12"/>
        <v>-0.21376638950161281</v>
      </c>
      <c r="O194" s="40">
        <f t="shared" si="13"/>
        <v>-1.5560807553880278E-2</v>
      </c>
      <c r="P194" s="40">
        <f t="shared" si="14"/>
        <v>-1.5440363731668174E-2</v>
      </c>
      <c r="Q194" s="40"/>
      <c r="R194" s="40"/>
      <c r="S194">
        <v>45597</v>
      </c>
      <c r="T194">
        <v>5.28</v>
      </c>
      <c r="U194" s="40">
        <f t="shared" si="15"/>
        <v>0.19605174960585667</v>
      </c>
      <c r="V194" s="40">
        <f t="shared" si="16"/>
        <v>5.28</v>
      </c>
      <c r="W194" s="40">
        <f t="shared" si="17"/>
        <v>0.19605174960585667</v>
      </c>
    </row>
    <row r="195" spans="1:23" x14ac:dyDescent="0.2">
      <c r="A195" s="41">
        <v>40826</v>
      </c>
      <c r="B195" s="40">
        <v>31.3</v>
      </c>
      <c r="C195" s="40">
        <v>31.3</v>
      </c>
      <c r="D195" s="40">
        <v>31.3</v>
      </c>
      <c r="E195" s="40">
        <v>31.3</v>
      </c>
      <c r="G195" s="36">
        <v>45411</v>
      </c>
      <c r="H195" s="40">
        <v>14.86</v>
      </c>
      <c r="I195" s="40">
        <v>87.757000000000005</v>
      </c>
      <c r="J195" s="44"/>
      <c r="K195" s="40"/>
      <c r="L195" s="45">
        <v>14.86</v>
      </c>
      <c r="M195" s="46">
        <v>87.757000000000005</v>
      </c>
      <c r="N195" s="40">
        <f t="shared" ref="N195:N258" si="18">LN(L195/L196)</f>
        <v>-6.8274803060082392E-2</v>
      </c>
      <c r="O195" s="40">
        <f t="shared" ref="O195:O258" si="19">LN(M195/M196)</f>
        <v>2.5072368102539683E-4</v>
      </c>
      <c r="P195" s="40">
        <f t="shared" ref="P195:P258" si="20">(M195-M196)/M196</f>
        <v>2.5075511483450813E-4</v>
      </c>
      <c r="Q195" s="40"/>
      <c r="R195" s="40"/>
      <c r="S195">
        <v>45577</v>
      </c>
      <c r="T195">
        <v>4.34</v>
      </c>
      <c r="U195" s="40">
        <f t="shared" ref="U195:U258" si="21">LN(T195/T196)</f>
        <v>-9.2373320131015166E-2</v>
      </c>
      <c r="V195" s="40">
        <f t="shared" ref="V195:V258" si="22">IF(T195=0, 0.001,T195)</f>
        <v>4.34</v>
      </c>
      <c r="W195" s="40">
        <f t="shared" ref="W195:W258" si="23">LN(V195/V196)</f>
        <v>-9.2373320131015166E-2</v>
      </c>
    </row>
    <row r="196" spans="1:23" x14ac:dyDescent="0.2">
      <c r="A196" s="41">
        <v>40857</v>
      </c>
      <c r="B196" s="40">
        <v>30.01</v>
      </c>
      <c r="C196" s="40">
        <v>30.01</v>
      </c>
      <c r="D196" s="40">
        <v>30.01</v>
      </c>
      <c r="E196" s="40">
        <v>30.01</v>
      </c>
      <c r="G196" s="36">
        <v>45408</v>
      </c>
      <c r="H196" s="40">
        <v>15.91</v>
      </c>
      <c r="I196" s="40">
        <v>87.734999999999999</v>
      </c>
      <c r="J196" s="44"/>
      <c r="K196" s="40"/>
      <c r="L196" s="45">
        <v>15.91</v>
      </c>
      <c r="M196" s="46">
        <v>87.734999999999999</v>
      </c>
      <c r="N196" s="40">
        <f t="shared" si="18"/>
        <v>-4.6062794389001162E-2</v>
      </c>
      <c r="O196" s="40">
        <f t="shared" si="19"/>
        <v>5.9923892858766314E-2</v>
      </c>
      <c r="P196" s="40">
        <f t="shared" si="20"/>
        <v>6.1755736276502979E-2</v>
      </c>
      <c r="Q196" s="40"/>
      <c r="R196" s="40"/>
      <c r="S196">
        <v>45575</v>
      </c>
      <c r="T196">
        <v>4.76</v>
      </c>
      <c r="U196" s="40">
        <f t="shared" si="21"/>
        <v>-4.3172171865208664E-2</v>
      </c>
      <c r="V196" s="40">
        <f t="shared" si="22"/>
        <v>4.76</v>
      </c>
      <c r="W196" s="40">
        <f t="shared" si="23"/>
        <v>-4.3172171865208664E-2</v>
      </c>
    </row>
    <row r="197" spans="1:23" x14ac:dyDescent="0.2">
      <c r="A197" s="41">
        <v>40887</v>
      </c>
      <c r="B197" s="40">
        <v>29.02</v>
      </c>
      <c r="C197" s="40">
        <v>29.02</v>
      </c>
      <c r="D197" s="40">
        <v>29.02</v>
      </c>
      <c r="E197" s="40">
        <v>29.02</v>
      </c>
      <c r="G197" s="36">
        <v>45407</v>
      </c>
      <c r="H197" s="40">
        <v>16.66</v>
      </c>
      <c r="I197" s="40">
        <v>82.632000000000005</v>
      </c>
      <c r="J197" s="44"/>
      <c r="K197" s="40"/>
      <c r="L197" s="45">
        <v>16.66</v>
      </c>
      <c r="M197" s="46">
        <v>82.632000000000005</v>
      </c>
      <c r="N197" s="40">
        <f t="shared" si="18"/>
        <v>9.7653860454048461E-2</v>
      </c>
      <c r="O197" s="40">
        <f t="shared" si="19"/>
        <v>3.6416052739200969E-2</v>
      </c>
      <c r="P197" s="40">
        <f t="shared" si="20"/>
        <v>3.708723973041151E-2</v>
      </c>
      <c r="Q197" s="40"/>
      <c r="R197" s="40"/>
      <c r="S197">
        <v>45574</v>
      </c>
      <c r="T197">
        <v>4.97</v>
      </c>
      <c r="U197" s="40">
        <f t="shared" si="21"/>
        <v>-5.2901658224413554E-2</v>
      </c>
      <c r="V197" s="40">
        <f t="shared" si="22"/>
        <v>4.97</v>
      </c>
      <c r="W197" s="40">
        <f t="shared" si="23"/>
        <v>-5.2901658224413554E-2</v>
      </c>
    </row>
    <row r="198" spans="1:23" x14ac:dyDescent="0.2">
      <c r="A198" s="40" t="s">
        <v>867</v>
      </c>
      <c r="B198" s="40">
        <v>27.71</v>
      </c>
      <c r="C198" s="40">
        <v>27.71</v>
      </c>
      <c r="D198" s="40">
        <v>27.71</v>
      </c>
      <c r="E198" s="40">
        <v>27.71</v>
      </c>
      <c r="G198" s="36">
        <v>45406</v>
      </c>
      <c r="H198" s="40">
        <v>15.11</v>
      </c>
      <c r="I198" s="40">
        <v>79.677000000000007</v>
      </c>
      <c r="J198" s="44"/>
      <c r="K198" s="40"/>
      <c r="L198" s="45">
        <v>15.11</v>
      </c>
      <c r="M198" s="46">
        <v>79.677000000000007</v>
      </c>
      <c r="N198" s="40">
        <f t="shared" si="18"/>
        <v>2.9552184129757877E-2</v>
      </c>
      <c r="O198" s="40">
        <f t="shared" si="19"/>
        <v>-3.3883562215412728E-2</v>
      </c>
      <c r="P198" s="40">
        <f t="shared" si="20"/>
        <v>-3.3315943365322724E-2</v>
      </c>
      <c r="Q198" s="40"/>
      <c r="R198" s="40"/>
      <c r="S198">
        <v>45572</v>
      </c>
      <c r="T198">
        <v>5.24</v>
      </c>
      <c r="U198" s="40">
        <f t="shared" si="21"/>
        <v>-5.7088642203200922E-3</v>
      </c>
      <c r="V198" s="40">
        <f t="shared" si="22"/>
        <v>5.24</v>
      </c>
      <c r="W198" s="40">
        <f t="shared" si="23"/>
        <v>-5.7088642203200922E-3</v>
      </c>
    </row>
    <row r="199" spans="1:23" x14ac:dyDescent="0.2">
      <c r="A199" s="40" t="s">
        <v>868</v>
      </c>
      <c r="B199" s="40">
        <v>26.49</v>
      </c>
      <c r="C199" s="40">
        <v>26.49</v>
      </c>
      <c r="D199" s="40">
        <v>26.49</v>
      </c>
      <c r="E199" s="40">
        <v>26.49</v>
      </c>
      <c r="G199" s="36">
        <v>45405</v>
      </c>
      <c r="H199" s="40">
        <v>14.67</v>
      </c>
      <c r="I199" s="40">
        <v>82.423000000000002</v>
      </c>
      <c r="J199" s="44"/>
      <c r="K199" s="40"/>
      <c r="L199" s="45">
        <v>14.67</v>
      </c>
      <c r="M199" s="46">
        <v>82.423000000000002</v>
      </c>
      <c r="N199" s="40">
        <f t="shared" si="18"/>
        <v>-7.4838059066490339E-2</v>
      </c>
      <c r="O199" s="40">
        <f t="shared" si="19"/>
        <v>3.5881113053947616E-2</v>
      </c>
      <c r="P199" s="40">
        <f t="shared" si="20"/>
        <v>3.6532608969038469E-2</v>
      </c>
      <c r="Q199" s="40"/>
      <c r="R199" s="40"/>
      <c r="S199">
        <v>45571</v>
      </c>
      <c r="T199">
        <v>5.27</v>
      </c>
      <c r="U199" s="40">
        <f t="shared" si="21"/>
        <v>0</v>
      </c>
      <c r="V199" s="40">
        <f t="shared" si="22"/>
        <v>5.27</v>
      </c>
      <c r="W199" s="40">
        <f t="shared" si="23"/>
        <v>0</v>
      </c>
    </row>
    <row r="200" spans="1:23" x14ac:dyDescent="0.2">
      <c r="A200" s="40" t="s">
        <v>869</v>
      </c>
      <c r="B200" s="40">
        <v>33.950000000000003</v>
      </c>
      <c r="C200" s="40">
        <v>33.950000000000003</v>
      </c>
      <c r="D200" s="40">
        <v>33.950000000000003</v>
      </c>
      <c r="E200" s="40">
        <v>33.950000000000003</v>
      </c>
      <c r="G200" s="36">
        <v>45404</v>
      </c>
      <c r="H200" s="40">
        <v>15.81</v>
      </c>
      <c r="I200" s="40">
        <v>79.518000000000001</v>
      </c>
      <c r="J200" s="44"/>
      <c r="K200" s="40"/>
      <c r="L200" s="45">
        <v>15.81</v>
      </c>
      <c r="M200" s="46">
        <v>79.518000000000001</v>
      </c>
      <c r="N200" s="40">
        <f t="shared" si="18"/>
        <v>-2.9908771392573034E-2</v>
      </c>
      <c r="O200" s="40">
        <f t="shared" si="19"/>
        <v>4.2621948433996158E-2</v>
      </c>
      <c r="P200" s="40">
        <f t="shared" si="20"/>
        <v>4.3543307086614143E-2</v>
      </c>
      <c r="Q200" s="40"/>
      <c r="R200" s="40"/>
      <c r="S200">
        <v>45570</v>
      </c>
      <c r="T200">
        <v>5.27</v>
      </c>
      <c r="U200" s="40">
        <f t="shared" si="21"/>
        <v>-1.895735164899312E-3</v>
      </c>
      <c r="V200" s="40">
        <f t="shared" si="22"/>
        <v>5.27</v>
      </c>
      <c r="W200" s="40">
        <f t="shared" si="23"/>
        <v>-1.895735164899312E-3</v>
      </c>
    </row>
    <row r="201" spans="1:23" x14ac:dyDescent="0.2">
      <c r="A201" s="40" t="s">
        <v>870</v>
      </c>
      <c r="B201" s="40">
        <v>32.21</v>
      </c>
      <c r="C201" s="40">
        <v>32.21</v>
      </c>
      <c r="D201" s="40">
        <v>32.21</v>
      </c>
      <c r="E201" s="40">
        <v>32.21</v>
      </c>
      <c r="G201" s="36">
        <v>45401</v>
      </c>
      <c r="H201" s="40">
        <v>16.29</v>
      </c>
      <c r="I201" s="40">
        <v>76.2</v>
      </c>
      <c r="J201" s="44"/>
      <c r="K201" s="40"/>
      <c r="L201" s="45">
        <v>16.29</v>
      </c>
      <c r="M201" s="46">
        <v>76.2</v>
      </c>
      <c r="N201" s="40">
        <f t="shared" si="18"/>
        <v>2.4585138382073233E-3</v>
      </c>
      <c r="O201" s="40">
        <f t="shared" si="19"/>
        <v>-0.10541169545048067</v>
      </c>
      <c r="P201" s="40">
        <f t="shared" si="20"/>
        <v>-0.10004606063469196</v>
      </c>
      <c r="Q201" s="40"/>
      <c r="R201" s="40"/>
      <c r="S201">
        <v>45569</v>
      </c>
      <c r="T201">
        <v>5.28</v>
      </c>
      <c r="U201" s="40">
        <f t="shared" si="21"/>
        <v>1.8957351648991973E-3</v>
      </c>
      <c r="V201" s="40">
        <f t="shared" si="22"/>
        <v>5.28</v>
      </c>
      <c r="W201" s="40">
        <f t="shared" si="23"/>
        <v>1.8957351648991973E-3</v>
      </c>
    </row>
    <row r="202" spans="1:23" x14ac:dyDescent="0.2">
      <c r="A202" s="40" t="s">
        <v>871</v>
      </c>
      <c r="B202" s="40">
        <v>34.700000000000003</v>
      </c>
      <c r="C202" s="40">
        <v>34.700000000000003</v>
      </c>
      <c r="D202" s="40">
        <v>34.700000000000003</v>
      </c>
      <c r="E202" s="40">
        <v>34.700000000000003</v>
      </c>
      <c r="G202" s="36">
        <v>45400</v>
      </c>
      <c r="H202" s="40">
        <v>16.25</v>
      </c>
      <c r="I202" s="40">
        <v>84.671000000000006</v>
      </c>
      <c r="J202" s="44"/>
      <c r="K202" s="40"/>
      <c r="L202" s="45">
        <v>16.25</v>
      </c>
      <c r="M202" s="46">
        <v>84.671000000000006</v>
      </c>
      <c r="N202" s="40">
        <f t="shared" si="18"/>
        <v>-7.1246739872689646E-2</v>
      </c>
      <c r="O202" s="40">
        <f t="shared" si="19"/>
        <v>7.5397794145513307E-3</v>
      </c>
      <c r="P202" s="40">
        <f t="shared" si="20"/>
        <v>7.5682751234605805E-3</v>
      </c>
      <c r="Q202" s="40"/>
      <c r="R202" s="40"/>
      <c r="S202">
        <v>45566</v>
      </c>
      <c r="T202">
        <v>5.27</v>
      </c>
      <c r="U202" s="40">
        <f t="shared" si="21"/>
        <v>0.187267353445772</v>
      </c>
      <c r="V202" s="40">
        <f t="shared" si="22"/>
        <v>5.27</v>
      </c>
      <c r="W202" s="40">
        <f t="shared" si="23"/>
        <v>0.187267353445772</v>
      </c>
    </row>
    <row r="203" spans="1:23" x14ac:dyDescent="0.2">
      <c r="A203" s="40" t="s">
        <v>872</v>
      </c>
      <c r="B203" s="40">
        <v>36.700000000000003</v>
      </c>
      <c r="C203" s="40">
        <v>36.700000000000003</v>
      </c>
      <c r="D203" s="40">
        <v>36.700000000000003</v>
      </c>
      <c r="E203" s="40">
        <v>36.700000000000003</v>
      </c>
      <c r="G203" s="36">
        <v>45399</v>
      </c>
      <c r="H203" s="40">
        <v>17.45</v>
      </c>
      <c r="I203" s="40">
        <v>84.034999999999997</v>
      </c>
      <c r="J203" s="44"/>
      <c r="K203" s="40"/>
      <c r="L203" s="45">
        <v>17.45</v>
      </c>
      <c r="M203" s="46">
        <v>84.034999999999997</v>
      </c>
      <c r="N203" s="40">
        <f t="shared" si="18"/>
        <v>-3.8228376118323491E-2</v>
      </c>
      <c r="O203" s="40">
        <f t="shared" si="19"/>
        <v>-3.9433513921082471E-2</v>
      </c>
      <c r="P203" s="40">
        <f t="shared" si="20"/>
        <v>-3.8666132814734418E-2</v>
      </c>
      <c r="Q203" s="40"/>
      <c r="R203" s="40"/>
      <c r="S203">
        <v>45547</v>
      </c>
      <c r="T203">
        <v>4.37</v>
      </c>
      <c r="U203" s="40">
        <f t="shared" si="21"/>
        <v>-7.7045790489965141E-2</v>
      </c>
      <c r="V203" s="40">
        <f t="shared" si="22"/>
        <v>4.37</v>
      </c>
      <c r="W203" s="40">
        <f t="shared" si="23"/>
        <v>-7.7045790489965141E-2</v>
      </c>
    </row>
    <row r="204" spans="1:23" x14ac:dyDescent="0.2">
      <c r="A204" s="40" t="s">
        <v>873</v>
      </c>
      <c r="B204" s="40">
        <v>32.15</v>
      </c>
      <c r="C204" s="40">
        <v>32.15</v>
      </c>
      <c r="D204" s="40">
        <v>32.15</v>
      </c>
      <c r="E204" s="40">
        <v>32.15</v>
      </c>
      <c r="G204" s="36">
        <v>45398</v>
      </c>
      <c r="H204" s="40">
        <v>18.13</v>
      </c>
      <c r="I204" s="40">
        <v>87.415000000000006</v>
      </c>
      <c r="J204" s="44"/>
      <c r="K204" s="40"/>
      <c r="L204" s="45">
        <v>18.13</v>
      </c>
      <c r="M204" s="46">
        <v>87.415000000000006</v>
      </c>
      <c r="N204" s="40">
        <f t="shared" si="18"/>
        <v>1.3885255021391592E-2</v>
      </c>
      <c r="O204" s="40">
        <f t="shared" si="19"/>
        <v>1.6307968556731254E-2</v>
      </c>
      <c r="P204" s="40">
        <f t="shared" si="20"/>
        <v>1.6441669282915333E-2</v>
      </c>
      <c r="Q204" s="40"/>
      <c r="R204" s="40"/>
      <c r="S204">
        <v>45545</v>
      </c>
      <c r="T204">
        <v>4.72</v>
      </c>
      <c r="U204" s="40">
        <f t="shared" si="21"/>
        <v>-6.361118451418396E-2</v>
      </c>
      <c r="V204" s="40">
        <f t="shared" si="22"/>
        <v>4.72</v>
      </c>
      <c r="W204" s="40">
        <f t="shared" si="23"/>
        <v>-6.361118451418396E-2</v>
      </c>
    </row>
    <row r="205" spans="1:23" x14ac:dyDescent="0.2">
      <c r="A205" s="40" t="s">
        <v>874</v>
      </c>
      <c r="B205" s="40">
        <v>30.19</v>
      </c>
      <c r="C205" s="40">
        <v>30.19</v>
      </c>
      <c r="D205" s="40">
        <v>30.19</v>
      </c>
      <c r="E205" s="40">
        <v>30.19</v>
      </c>
      <c r="G205" s="36">
        <v>45397</v>
      </c>
      <c r="H205" s="40">
        <v>17.88</v>
      </c>
      <c r="I205" s="40">
        <v>86.001000000000005</v>
      </c>
      <c r="J205" s="44"/>
      <c r="K205" s="40"/>
      <c r="L205" s="45">
        <v>17.88</v>
      </c>
      <c r="M205" s="46">
        <v>86.001000000000005</v>
      </c>
      <c r="N205" s="40">
        <f t="shared" si="18"/>
        <v>-1.2229168526412083E-2</v>
      </c>
      <c r="O205" s="40">
        <f t="shared" si="19"/>
        <v>-2.5089296162169691E-2</v>
      </c>
      <c r="P205" s="40">
        <f t="shared" si="20"/>
        <v>-2.4777175515387953E-2</v>
      </c>
      <c r="Q205" s="40"/>
      <c r="R205" s="40"/>
      <c r="S205">
        <v>45544</v>
      </c>
      <c r="T205">
        <v>5.03</v>
      </c>
      <c r="U205" s="40">
        <f t="shared" si="21"/>
        <v>-4.850611360652228E-2</v>
      </c>
      <c r="V205" s="40">
        <f t="shared" si="22"/>
        <v>5.03</v>
      </c>
      <c r="W205" s="40">
        <f t="shared" si="23"/>
        <v>-4.850611360652228E-2</v>
      </c>
    </row>
    <row r="206" spans="1:23" x14ac:dyDescent="0.2">
      <c r="A206" s="40" t="s">
        <v>875</v>
      </c>
      <c r="B206" s="40">
        <v>33.57</v>
      </c>
      <c r="C206" s="40">
        <v>33.57</v>
      </c>
      <c r="D206" s="40">
        <v>33.57</v>
      </c>
      <c r="E206" s="40">
        <v>33.57</v>
      </c>
      <c r="G206" s="36">
        <v>45394</v>
      </c>
      <c r="H206" s="40">
        <v>18.100000000000001</v>
      </c>
      <c r="I206" s="40">
        <v>88.186000000000007</v>
      </c>
      <c r="J206" s="44"/>
      <c r="K206" s="40"/>
      <c r="L206" s="45">
        <v>18.100000000000001</v>
      </c>
      <c r="M206" s="46">
        <v>88.186000000000007</v>
      </c>
      <c r="N206" s="40">
        <f t="shared" si="18"/>
        <v>-6.1079506965780225E-2</v>
      </c>
      <c r="O206" s="40">
        <f t="shared" si="19"/>
        <v>-2.7182577643361856E-2</v>
      </c>
      <c r="P206" s="40">
        <f t="shared" si="20"/>
        <v>-2.6816456254965929E-2</v>
      </c>
      <c r="Q206" s="40"/>
      <c r="R206" s="40"/>
      <c r="S206">
        <v>45543</v>
      </c>
      <c r="T206">
        <v>5.28</v>
      </c>
      <c r="U206" s="40">
        <f t="shared" si="21"/>
        <v>7.6045993852192125E-3</v>
      </c>
      <c r="V206" s="40">
        <f t="shared" si="22"/>
        <v>5.28</v>
      </c>
      <c r="W206" s="40">
        <f t="shared" si="23"/>
        <v>7.6045993852192125E-3</v>
      </c>
    </row>
    <row r="207" spans="1:23" x14ac:dyDescent="0.2">
      <c r="A207" s="40" t="s">
        <v>876</v>
      </c>
      <c r="B207" s="40">
        <v>30.33</v>
      </c>
      <c r="C207" s="40">
        <v>30.33</v>
      </c>
      <c r="D207" s="40">
        <v>30.33</v>
      </c>
      <c r="E207" s="40">
        <v>30.33</v>
      </c>
      <c r="G207" s="36">
        <v>45393</v>
      </c>
      <c r="H207" s="40">
        <v>19.239999999999998</v>
      </c>
      <c r="I207" s="40">
        <v>90.616</v>
      </c>
      <c r="J207" s="44"/>
      <c r="K207" s="40"/>
      <c r="L207" s="45">
        <v>19.239999999999998</v>
      </c>
      <c r="M207" s="46">
        <v>90.616</v>
      </c>
      <c r="N207" s="40">
        <f t="shared" si="18"/>
        <v>-7.6036613060127572E-2</v>
      </c>
      <c r="O207" s="40">
        <f t="shared" si="19"/>
        <v>4.0274503827366921E-2</v>
      </c>
      <c r="P207" s="40">
        <f t="shared" si="20"/>
        <v>4.1096519950826617E-2</v>
      </c>
      <c r="Q207" s="40"/>
      <c r="R207" s="40"/>
      <c r="S207">
        <v>45542</v>
      </c>
      <c r="T207">
        <v>5.24</v>
      </c>
      <c r="U207" s="40">
        <f t="shared" si="21"/>
        <v>-5.7088642203200922E-3</v>
      </c>
      <c r="V207" s="40">
        <f t="shared" si="22"/>
        <v>5.24</v>
      </c>
      <c r="W207" s="40">
        <f t="shared" si="23"/>
        <v>-5.7088642203200922E-3</v>
      </c>
    </row>
    <row r="208" spans="1:23" x14ac:dyDescent="0.2">
      <c r="A208" s="40" t="s">
        <v>877</v>
      </c>
      <c r="B208" s="40">
        <v>24.95</v>
      </c>
      <c r="C208" s="40">
        <v>24.95</v>
      </c>
      <c r="D208" s="40">
        <v>24.95</v>
      </c>
      <c r="E208" s="40">
        <v>24.95</v>
      </c>
      <c r="G208" s="36">
        <v>45392</v>
      </c>
      <c r="H208" s="40">
        <v>20.76</v>
      </c>
      <c r="I208" s="40">
        <v>87.039000000000001</v>
      </c>
      <c r="J208" s="44"/>
      <c r="K208" s="40"/>
      <c r="L208" s="45">
        <v>20.76</v>
      </c>
      <c r="M208" s="46">
        <v>87.039000000000001</v>
      </c>
      <c r="N208" s="40">
        <f t="shared" si="18"/>
        <v>0.18058895457017329</v>
      </c>
      <c r="O208" s="40">
        <f t="shared" si="19"/>
        <v>1.9548980082250998E-2</v>
      </c>
      <c r="P208" s="40">
        <f t="shared" si="20"/>
        <v>1.9741312650842401E-2</v>
      </c>
      <c r="Q208" s="40"/>
      <c r="R208" s="40"/>
      <c r="S208">
        <v>45540</v>
      </c>
      <c r="T208">
        <v>5.27</v>
      </c>
      <c r="U208" s="40">
        <f t="shared" si="21"/>
        <v>0</v>
      </c>
      <c r="V208" s="40">
        <f t="shared" si="22"/>
        <v>5.27</v>
      </c>
      <c r="W208" s="40">
        <f t="shared" si="23"/>
        <v>0</v>
      </c>
    </row>
    <row r="209" spans="1:23" x14ac:dyDescent="0.2">
      <c r="A209" s="40" t="s">
        <v>878</v>
      </c>
      <c r="B209" s="40">
        <v>23.03</v>
      </c>
      <c r="C209" s="40">
        <v>23.03</v>
      </c>
      <c r="D209" s="40">
        <v>23.03</v>
      </c>
      <c r="E209" s="40">
        <v>23.03</v>
      </c>
      <c r="G209" s="36">
        <v>45391</v>
      </c>
      <c r="H209" s="40">
        <v>17.329999999999998</v>
      </c>
      <c r="I209" s="40">
        <v>85.353999999999999</v>
      </c>
      <c r="J209" s="44"/>
      <c r="K209" s="40"/>
      <c r="L209" s="45">
        <v>17.329999999999998</v>
      </c>
      <c r="M209" s="46">
        <v>85.353999999999999</v>
      </c>
      <c r="N209" s="40">
        <f t="shared" si="18"/>
        <v>0.20060658262353326</v>
      </c>
      <c r="O209" s="40">
        <f t="shared" si="19"/>
        <v>-2.0628372971194464E-2</v>
      </c>
      <c r="P209" s="40">
        <f t="shared" si="20"/>
        <v>-2.0417063569485687E-2</v>
      </c>
      <c r="Q209" s="40"/>
      <c r="R209" s="40"/>
      <c r="S209">
        <v>45539</v>
      </c>
      <c r="T209">
        <v>5.27</v>
      </c>
      <c r="U209" s="40">
        <f t="shared" si="21"/>
        <v>-1.895735164899312E-3</v>
      </c>
      <c r="V209" s="40">
        <f t="shared" si="22"/>
        <v>5.27</v>
      </c>
      <c r="W209" s="40">
        <f t="shared" si="23"/>
        <v>-1.895735164899312E-3</v>
      </c>
    </row>
    <row r="210" spans="1:23" x14ac:dyDescent="0.2">
      <c r="A210" s="40" t="s">
        <v>879</v>
      </c>
      <c r="B210" s="40">
        <v>30.88</v>
      </c>
      <c r="C210" s="40">
        <v>30.88</v>
      </c>
      <c r="D210" s="40">
        <v>30.88</v>
      </c>
      <c r="E210" s="40">
        <v>30.88</v>
      </c>
      <c r="G210" s="36">
        <v>45390</v>
      </c>
      <c r="H210" s="40">
        <v>14.18</v>
      </c>
      <c r="I210" s="40">
        <v>87.132999999999996</v>
      </c>
      <c r="J210" s="44"/>
      <c r="K210" s="40"/>
      <c r="L210" s="45">
        <v>14.18</v>
      </c>
      <c r="M210" s="46">
        <v>87.132999999999996</v>
      </c>
      <c r="N210" s="40">
        <f t="shared" si="18"/>
        <v>-0.10881013011739926</v>
      </c>
      <c r="O210" s="40">
        <f t="shared" si="19"/>
        <v>-9.9920324771455866E-3</v>
      </c>
      <c r="P210" s="40">
        <f t="shared" si="20"/>
        <v>-9.9422779747295707E-3</v>
      </c>
      <c r="Q210" s="40"/>
      <c r="R210" s="40"/>
      <c r="S210">
        <v>45537</v>
      </c>
      <c r="T210">
        <v>5.28</v>
      </c>
      <c r="U210" s="40">
        <f t="shared" si="21"/>
        <v>0</v>
      </c>
      <c r="V210" s="40">
        <f t="shared" si="22"/>
        <v>5.28</v>
      </c>
      <c r="W210" s="40">
        <f t="shared" si="23"/>
        <v>0</v>
      </c>
    </row>
    <row r="211" spans="1:23" x14ac:dyDescent="0.2">
      <c r="A211" s="41">
        <v>40554</v>
      </c>
      <c r="B211" s="40">
        <v>36.72</v>
      </c>
      <c r="C211" s="40">
        <v>36.72</v>
      </c>
      <c r="D211" s="40">
        <v>36.72</v>
      </c>
      <c r="E211" s="40">
        <v>36.72</v>
      </c>
      <c r="G211" s="36">
        <v>45387</v>
      </c>
      <c r="H211" s="40">
        <v>15.81</v>
      </c>
      <c r="I211" s="40">
        <v>88.007999999999996</v>
      </c>
      <c r="J211" s="44"/>
      <c r="K211" s="40"/>
      <c r="L211" s="45">
        <v>15.81</v>
      </c>
      <c r="M211" s="46">
        <v>88.007999999999996</v>
      </c>
      <c r="N211" s="40">
        <f t="shared" si="18"/>
        <v>7.2795157436690044E-2</v>
      </c>
      <c r="O211" s="40">
        <f t="shared" si="19"/>
        <v>2.4185684923204137E-2</v>
      </c>
      <c r="P211" s="40">
        <f t="shared" si="20"/>
        <v>2.4480530818927822E-2</v>
      </c>
      <c r="Q211" s="40"/>
      <c r="R211" s="40"/>
      <c r="S211">
        <v>45536</v>
      </c>
      <c r="T211">
        <v>5.28</v>
      </c>
      <c r="U211" s="40">
        <f t="shared" si="21"/>
        <v>0.15762894420358325</v>
      </c>
      <c r="V211" s="40">
        <f t="shared" si="22"/>
        <v>5.28</v>
      </c>
      <c r="W211" s="40">
        <f t="shared" si="23"/>
        <v>0.15762894420358325</v>
      </c>
    </row>
    <row r="212" spans="1:23" x14ac:dyDescent="0.2">
      <c r="A212" s="41">
        <v>40585</v>
      </c>
      <c r="B212" s="40">
        <v>33.06</v>
      </c>
      <c r="C212" s="40">
        <v>33.06</v>
      </c>
      <c r="D212" s="40">
        <v>33.06</v>
      </c>
      <c r="E212" s="40">
        <v>33.06</v>
      </c>
      <c r="G212" s="36">
        <v>45386</v>
      </c>
      <c r="H212" s="40">
        <v>14.7</v>
      </c>
      <c r="I212" s="40">
        <v>85.905000000000001</v>
      </c>
      <c r="J212" s="44"/>
      <c r="K212" s="40"/>
      <c r="L212" s="45">
        <v>14.7</v>
      </c>
      <c r="M212" s="46">
        <v>85.905000000000001</v>
      </c>
      <c r="N212" s="40">
        <f t="shared" si="18"/>
        <v>9.5694510161506725E-3</v>
      </c>
      <c r="O212" s="40">
        <f t="shared" si="19"/>
        <v>-3.4989759006267197E-2</v>
      </c>
      <c r="P212" s="40">
        <f t="shared" si="20"/>
        <v>-3.4384694932781769E-2</v>
      </c>
      <c r="Q212" s="40"/>
      <c r="R212" s="40"/>
      <c r="S212">
        <v>45515</v>
      </c>
      <c r="T212">
        <v>4.51</v>
      </c>
      <c r="U212" s="40">
        <f t="shared" si="21"/>
        <v>-5.1847464531962935E-2</v>
      </c>
      <c r="V212" s="40">
        <f t="shared" si="22"/>
        <v>4.51</v>
      </c>
      <c r="W212" s="40">
        <f t="shared" si="23"/>
        <v>-5.1847464531962935E-2</v>
      </c>
    </row>
    <row r="213" spans="1:23" x14ac:dyDescent="0.2">
      <c r="A213" s="41">
        <v>40613</v>
      </c>
      <c r="B213" s="40">
        <v>29.5</v>
      </c>
      <c r="C213" s="40">
        <v>29.5</v>
      </c>
      <c r="D213" s="40">
        <v>29.5</v>
      </c>
      <c r="E213" s="40">
        <v>29.5</v>
      </c>
      <c r="G213" s="36">
        <v>45385</v>
      </c>
      <c r="H213" s="40">
        <v>14.56</v>
      </c>
      <c r="I213" s="40">
        <v>88.963999999999999</v>
      </c>
      <c r="J213" s="44"/>
      <c r="K213" s="40"/>
      <c r="L213" s="45">
        <v>14.56</v>
      </c>
      <c r="M213" s="46">
        <v>88.963999999999999</v>
      </c>
      <c r="N213" s="40">
        <f t="shared" si="18"/>
        <v>-5.9978000390735989E-2</v>
      </c>
      <c r="O213" s="40">
        <f t="shared" si="19"/>
        <v>-5.4703750442731099E-3</v>
      </c>
      <c r="P213" s="40">
        <f t="shared" si="20"/>
        <v>-5.4554397889370783E-3</v>
      </c>
      <c r="Q213" s="40"/>
      <c r="R213" s="40"/>
      <c r="S213">
        <v>45514</v>
      </c>
      <c r="T213">
        <v>4.75</v>
      </c>
      <c r="U213" s="40">
        <f t="shared" si="21"/>
        <v>-0.10767362782365815</v>
      </c>
      <c r="V213" s="40">
        <f t="shared" si="22"/>
        <v>4.75</v>
      </c>
      <c r="W213" s="40">
        <f t="shared" si="23"/>
        <v>-0.10767362782365815</v>
      </c>
    </row>
    <row r="214" spans="1:23" x14ac:dyDescent="0.2">
      <c r="A214" s="41">
        <v>40644</v>
      </c>
      <c r="B214" s="40">
        <v>28.43</v>
      </c>
      <c r="C214" s="40">
        <v>28.43</v>
      </c>
      <c r="D214" s="40">
        <v>28.43</v>
      </c>
      <c r="E214" s="40">
        <v>28.43</v>
      </c>
      <c r="G214" s="36">
        <v>45384</v>
      </c>
      <c r="H214" s="40">
        <v>15.46</v>
      </c>
      <c r="I214" s="40">
        <v>89.451999999999998</v>
      </c>
      <c r="J214" s="44"/>
      <c r="K214" s="40"/>
      <c r="L214" s="45">
        <v>15.46</v>
      </c>
      <c r="M214" s="46">
        <v>89.451999999999998</v>
      </c>
      <c r="N214" s="40">
        <f t="shared" si="18"/>
        <v>-0.10315887001035784</v>
      </c>
      <c r="O214" s="40">
        <f t="shared" si="19"/>
        <v>-1.0132723015414834E-2</v>
      </c>
      <c r="P214" s="40">
        <f t="shared" si="20"/>
        <v>-1.0081559930502543E-2</v>
      </c>
      <c r="Q214" s="40"/>
      <c r="R214" s="40"/>
      <c r="S214">
        <v>45512</v>
      </c>
      <c r="T214">
        <v>5.29</v>
      </c>
      <c r="U214" s="40">
        <f t="shared" si="21"/>
        <v>3.7878833169371563E-3</v>
      </c>
      <c r="V214" s="40">
        <f t="shared" si="22"/>
        <v>5.29</v>
      </c>
      <c r="W214" s="40">
        <f t="shared" si="23"/>
        <v>3.7878833169371563E-3</v>
      </c>
    </row>
    <row r="215" spans="1:23" x14ac:dyDescent="0.2">
      <c r="A215" s="41">
        <v>40735</v>
      </c>
      <c r="B215" s="40">
        <v>28.39</v>
      </c>
      <c r="C215" s="40">
        <v>28.39</v>
      </c>
      <c r="D215" s="40">
        <v>28.39</v>
      </c>
      <c r="E215" s="40">
        <v>28.39</v>
      </c>
      <c r="G215" s="36">
        <v>45383</v>
      </c>
      <c r="H215" s="40">
        <v>17.14</v>
      </c>
      <c r="I215" s="40">
        <v>90.363</v>
      </c>
      <c r="J215" s="44"/>
      <c r="K215" s="40"/>
      <c r="L215" s="45">
        <v>17.14</v>
      </c>
      <c r="M215" s="46">
        <v>90.363</v>
      </c>
      <c r="N215" s="40">
        <f t="shared" si="18"/>
        <v>0.25590906482551762</v>
      </c>
      <c r="O215" s="40">
        <f t="shared" si="19"/>
        <v>7.7468334857043133E-5</v>
      </c>
      <c r="P215" s="40">
        <f t="shared" si="20"/>
        <v>7.7471335605881211E-5</v>
      </c>
      <c r="Q215" s="40"/>
      <c r="R215" s="40"/>
      <c r="S215">
        <v>45511</v>
      </c>
      <c r="T215">
        <v>5.27</v>
      </c>
      <c r="U215" s="40">
        <f t="shared" si="21"/>
        <v>-1.895735164899312E-3</v>
      </c>
      <c r="V215" s="40">
        <f t="shared" si="22"/>
        <v>5.27</v>
      </c>
      <c r="W215" s="40">
        <f t="shared" si="23"/>
        <v>-1.895735164899312E-3</v>
      </c>
    </row>
    <row r="216" spans="1:23" x14ac:dyDescent="0.2">
      <c r="A216" s="41">
        <v>40766</v>
      </c>
      <c r="B216" s="40">
        <v>24.57</v>
      </c>
      <c r="C216" s="40">
        <v>24.57</v>
      </c>
      <c r="D216" s="40">
        <v>24.57</v>
      </c>
      <c r="E216" s="40">
        <v>24.57</v>
      </c>
      <c r="G216" s="36">
        <v>45379</v>
      </c>
      <c r="H216" s="40">
        <v>13.27</v>
      </c>
      <c r="I216" s="40">
        <v>90.355999999999995</v>
      </c>
      <c r="J216" s="44"/>
      <c r="K216" s="40"/>
      <c r="L216" s="45">
        <v>13.27</v>
      </c>
      <c r="M216" s="46">
        <v>90.355999999999995</v>
      </c>
      <c r="N216" s="40">
        <f t="shared" si="18"/>
        <v>-5.5692045770253447E-2</v>
      </c>
      <c r="O216" s="40">
        <f t="shared" si="19"/>
        <v>1.1738260320383049E-3</v>
      </c>
      <c r="P216" s="40">
        <f t="shared" si="20"/>
        <v>1.1745152354570032E-3</v>
      </c>
      <c r="Q216" s="40"/>
      <c r="R216" s="40"/>
      <c r="S216">
        <v>45509</v>
      </c>
      <c r="T216">
        <v>5.28</v>
      </c>
      <c r="U216" s="40">
        <f t="shared" si="21"/>
        <v>1.8957351648991973E-3</v>
      </c>
      <c r="V216" s="40">
        <f t="shared" si="22"/>
        <v>5.28</v>
      </c>
      <c r="W216" s="40">
        <f t="shared" si="23"/>
        <v>1.8957351648991973E-3</v>
      </c>
    </row>
    <row r="217" spans="1:23" x14ac:dyDescent="0.2">
      <c r="A217" s="41">
        <v>40797</v>
      </c>
      <c r="B217" s="40">
        <v>38.14</v>
      </c>
      <c r="C217" s="40">
        <v>38.14</v>
      </c>
      <c r="D217" s="40">
        <v>38.14</v>
      </c>
      <c r="E217" s="40">
        <v>38.14</v>
      </c>
      <c r="G217" s="36">
        <v>45378</v>
      </c>
      <c r="H217" s="40">
        <v>14.03</v>
      </c>
      <c r="I217" s="40">
        <v>90.25</v>
      </c>
      <c r="J217" s="44"/>
      <c r="K217" s="40"/>
      <c r="L217" s="45">
        <v>14.03</v>
      </c>
      <c r="M217" s="46">
        <v>90.25</v>
      </c>
      <c r="N217" s="40">
        <f t="shared" si="18"/>
        <v>0.10591503700130241</v>
      </c>
      <c r="O217" s="40">
        <f t="shared" si="19"/>
        <v>-2.5284289417008922E-2</v>
      </c>
      <c r="P217" s="40">
        <f t="shared" si="20"/>
        <v>-2.4967318849191417E-2</v>
      </c>
      <c r="Q217" s="40"/>
      <c r="R217" s="40"/>
      <c r="S217">
        <v>45508</v>
      </c>
      <c r="T217">
        <v>5.27</v>
      </c>
      <c r="U217" s="40">
        <f t="shared" si="21"/>
        <v>-1.895735164899312E-3</v>
      </c>
      <c r="V217" s="40">
        <f t="shared" si="22"/>
        <v>5.27</v>
      </c>
      <c r="W217" s="40">
        <f t="shared" si="23"/>
        <v>-1.895735164899312E-3</v>
      </c>
    </row>
    <row r="218" spans="1:23" x14ac:dyDescent="0.2">
      <c r="A218" s="41">
        <v>40827</v>
      </c>
      <c r="B218" s="40">
        <v>32.130000000000003</v>
      </c>
      <c r="C218" s="40">
        <v>32.130000000000003</v>
      </c>
      <c r="D218" s="40">
        <v>32.130000000000003</v>
      </c>
      <c r="E218" s="40">
        <v>32.130000000000003</v>
      </c>
      <c r="G218" s="36">
        <v>45377</v>
      </c>
      <c r="H218" s="40">
        <v>12.62</v>
      </c>
      <c r="I218" s="40">
        <v>92.561000000000007</v>
      </c>
      <c r="J218" s="44"/>
      <c r="K218" s="40"/>
      <c r="L218" s="45">
        <v>12.62</v>
      </c>
      <c r="M218" s="46">
        <v>92.561000000000007</v>
      </c>
      <c r="N218" s="40">
        <f t="shared" si="18"/>
        <v>0.1782095788349515</v>
      </c>
      <c r="O218" s="40">
        <f t="shared" si="19"/>
        <v>-2.6030057380516999E-2</v>
      </c>
      <c r="P218" s="40">
        <f t="shared" si="20"/>
        <v>-2.5694195911664896E-2</v>
      </c>
      <c r="Q218" s="40"/>
      <c r="R218" s="40"/>
      <c r="S218">
        <v>45507</v>
      </c>
      <c r="T218">
        <v>5.28</v>
      </c>
      <c r="U218" s="40">
        <f t="shared" si="21"/>
        <v>0</v>
      </c>
      <c r="V218" s="40">
        <f t="shared" si="22"/>
        <v>5.28</v>
      </c>
      <c r="W218" s="40">
        <f t="shared" si="23"/>
        <v>0</v>
      </c>
    </row>
    <row r="219" spans="1:23" x14ac:dyDescent="0.2">
      <c r="A219" s="41">
        <v>40858</v>
      </c>
      <c r="B219" s="40">
        <v>28.03</v>
      </c>
      <c r="C219" s="40">
        <v>28.03</v>
      </c>
      <c r="D219" s="40">
        <v>28.03</v>
      </c>
      <c r="E219" s="40">
        <v>28.03</v>
      </c>
      <c r="G219" s="36">
        <v>45376</v>
      </c>
      <c r="H219" s="40">
        <v>10.56</v>
      </c>
      <c r="I219" s="40">
        <v>95.001999999999995</v>
      </c>
      <c r="J219" s="44"/>
      <c r="K219" s="40"/>
      <c r="L219" s="45">
        <v>10.56</v>
      </c>
      <c r="M219" s="46">
        <v>95.001999999999995</v>
      </c>
      <c r="N219" s="40">
        <f t="shared" si="18"/>
        <v>2.8449521322313448E-3</v>
      </c>
      <c r="O219" s="40">
        <f t="shared" si="19"/>
        <v>7.5334101677042142E-3</v>
      </c>
      <c r="P219" s="40">
        <f t="shared" si="20"/>
        <v>7.561857692837912E-3</v>
      </c>
      <c r="Q219" s="40"/>
      <c r="R219" s="40"/>
      <c r="S219">
        <v>45506</v>
      </c>
      <c r="T219">
        <v>5.28</v>
      </c>
      <c r="U219" s="40">
        <f t="shared" si="21"/>
        <v>0</v>
      </c>
      <c r="V219" s="40">
        <f t="shared" si="22"/>
        <v>5.28</v>
      </c>
      <c r="W219" s="40">
        <f t="shared" si="23"/>
        <v>0</v>
      </c>
    </row>
    <row r="220" spans="1:23" x14ac:dyDescent="0.2">
      <c r="A220" s="40" t="s">
        <v>880</v>
      </c>
      <c r="B220" s="40">
        <v>31.23</v>
      </c>
      <c r="C220" s="40">
        <v>31.23</v>
      </c>
      <c r="D220" s="40">
        <v>31.23</v>
      </c>
      <c r="E220" s="40">
        <v>31.23</v>
      </c>
      <c r="G220" s="36">
        <v>45373</v>
      </c>
      <c r="H220" s="40">
        <v>10.53</v>
      </c>
      <c r="I220" s="40">
        <v>94.289000000000001</v>
      </c>
      <c r="J220" s="44"/>
      <c r="K220" s="40"/>
      <c r="L220" s="45">
        <v>10.53</v>
      </c>
      <c r="M220" s="46">
        <v>94.289000000000001</v>
      </c>
      <c r="N220" s="40">
        <f t="shared" si="18"/>
        <v>-9.5914331205776207E-2</v>
      </c>
      <c r="O220" s="40">
        <f t="shared" si="19"/>
        <v>3.0736196516215848E-2</v>
      </c>
      <c r="P220" s="40">
        <f t="shared" si="20"/>
        <v>3.1213430305681623E-2</v>
      </c>
      <c r="Q220" s="40"/>
      <c r="R220" s="40"/>
      <c r="S220">
        <v>45505</v>
      </c>
      <c r="T220">
        <v>5.28</v>
      </c>
      <c r="U220" s="40">
        <f t="shared" si="21"/>
        <v>0.15762894420358325</v>
      </c>
      <c r="V220" s="40">
        <f t="shared" si="22"/>
        <v>5.28</v>
      </c>
      <c r="W220" s="40">
        <f t="shared" si="23"/>
        <v>0.15762894420358325</v>
      </c>
    </row>
    <row r="221" spans="1:23" x14ac:dyDescent="0.2">
      <c r="A221" s="40" t="s">
        <v>881</v>
      </c>
      <c r="B221" s="40">
        <v>31.57</v>
      </c>
      <c r="C221" s="40">
        <v>31.57</v>
      </c>
      <c r="D221" s="40">
        <v>31.57</v>
      </c>
      <c r="E221" s="40">
        <v>31.57</v>
      </c>
      <c r="G221" s="36">
        <v>45372</v>
      </c>
      <c r="H221" s="40">
        <v>11.59</v>
      </c>
      <c r="I221" s="40">
        <v>91.435000000000002</v>
      </c>
      <c r="J221" s="44"/>
      <c r="K221" s="40"/>
      <c r="L221" s="45">
        <v>11.59</v>
      </c>
      <c r="M221" s="46">
        <v>91.435000000000002</v>
      </c>
      <c r="N221" s="40">
        <f t="shared" si="18"/>
        <v>1.0407726210380849E-2</v>
      </c>
      <c r="O221" s="40">
        <f t="shared" si="19"/>
        <v>1.1693852419381397E-2</v>
      </c>
      <c r="P221" s="40">
        <f t="shared" si="20"/>
        <v>1.1762492807506776E-2</v>
      </c>
      <c r="Q221" s="40"/>
      <c r="R221" s="40"/>
      <c r="S221">
        <v>45484</v>
      </c>
      <c r="T221">
        <v>4.51</v>
      </c>
      <c r="U221" s="40">
        <f t="shared" si="21"/>
        <v>-5.8143392988777694E-2</v>
      </c>
      <c r="V221" s="40">
        <f t="shared" si="22"/>
        <v>4.51</v>
      </c>
      <c r="W221" s="40">
        <f t="shared" si="23"/>
        <v>-5.8143392988777694E-2</v>
      </c>
    </row>
    <row r="222" spans="1:23" x14ac:dyDescent="0.2">
      <c r="A222" s="40" t="s">
        <v>882</v>
      </c>
      <c r="B222" s="40">
        <v>34.119999999999997</v>
      </c>
      <c r="C222" s="40">
        <v>34.119999999999997</v>
      </c>
      <c r="D222" s="40">
        <v>34.119999999999997</v>
      </c>
      <c r="E222" s="40">
        <v>34.119999999999997</v>
      </c>
      <c r="G222" s="36">
        <v>45371</v>
      </c>
      <c r="H222" s="40">
        <v>11.47</v>
      </c>
      <c r="I222" s="40">
        <v>90.372</v>
      </c>
      <c r="J222" s="44"/>
      <c r="K222" s="40"/>
      <c r="L222" s="45">
        <v>11.47</v>
      </c>
      <c r="M222" s="46">
        <v>90.372</v>
      </c>
      <c r="N222" s="40">
        <f t="shared" si="18"/>
        <v>5.4648616635490067E-2</v>
      </c>
      <c r="O222" s="40">
        <f t="shared" si="19"/>
        <v>1.0836174342642601E-2</v>
      </c>
      <c r="P222" s="40">
        <f t="shared" si="20"/>
        <v>1.0895098324347343E-2</v>
      </c>
      <c r="Q222" s="40"/>
      <c r="R222" s="40"/>
      <c r="S222">
        <v>45483</v>
      </c>
      <c r="T222">
        <v>4.78</v>
      </c>
      <c r="U222" s="40">
        <f t="shared" si="21"/>
        <v>-9.3787530100167688E-2</v>
      </c>
      <c r="V222" s="40">
        <f t="shared" si="22"/>
        <v>4.78</v>
      </c>
      <c r="W222" s="40">
        <f t="shared" si="23"/>
        <v>-9.3787530100167688E-2</v>
      </c>
    </row>
    <row r="223" spans="1:23" x14ac:dyDescent="0.2">
      <c r="A223" s="40" t="s">
        <v>883</v>
      </c>
      <c r="B223" s="40">
        <v>32.619999999999997</v>
      </c>
      <c r="C223" s="40">
        <v>32.619999999999997</v>
      </c>
      <c r="D223" s="40">
        <v>32.619999999999997</v>
      </c>
      <c r="E223" s="40">
        <v>32.619999999999997</v>
      </c>
      <c r="G223" s="36">
        <v>45370</v>
      </c>
      <c r="H223" s="40">
        <v>10.86</v>
      </c>
      <c r="I223" s="40">
        <v>89.397999999999996</v>
      </c>
      <c r="J223" s="44"/>
      <c r="K223" s="40"/>
      <c r="L223" s="45">
        <v>10.86</v>
      </c>
      <c r="M223" s="46">
        <v>89.397999999999996</v>
      </c>
      <c r="N223" s="40">
        <f t="shared" si="18"/>
        <v>-2.8145298575320037E-2</v>
      </c>
      <c r="O223" s="40">
        <f t="shared" si="19"/>
        <v>1.0604362443995301E-2</v>
      </c>
      <c r="P223" s="40">
        <f t="shared" si="20"/>
        <v>1.0660787971284809E-2</v>
      </c>
      <c r="Q223" s="40"/>
      <c r="R223" s="40"/>
      <c r="S223">
        <v>45481</v>
      </c>
      <c r="T223">
        <v>5.25</v>
      </c>
      <c r="U223" s="40">
        <f t="shared" si="21"/>
        <v>-3.8022859497384592E-3</v>
      </c>
      <c r="V223" s="40">
        <f t="shared" si="22"/>
        <v>5.25</v>
      </c>
      <c r="W223" s="40">
        <f t="shared" si="23"/>
        <v>-3.8022859497384592E-3</v>
      </c>
    </row>
    <row r="224" spans="1:23" x14ac:dyDescent="0.2">
      <c r="A224" s="40" t="s">
        <v>884</v>
      </c>
      <c r="B224" s="40">
        <v>30.26</v>
      </c>
      <c r="C224" s="40">
        <v>30.26</v>
      </c>
      <c r="D224" s="40">
        <v>30.26</v>
      </c>
      <c r="E224" s="40">
        <v>30.26</v>
      </c>
      <c r="G224" s="36">
        <v>45369</v>
      </c>
      <c r="H224" s="40">
        <v>11.17</v>
      </c>
      <c r="I224" s="40">
        <v>88.454999999999998</v>
      </c>
      <c r="J224" s="44"/>
      <c r="K224" s="40"/>
      <c r="L224" s="45">
        <v>11.17</v>
      </c>
      <c r="M224" s="46">
        <v>88.454999999999998</v>
      </c>
      <c r="N224" s="40">
        <f t="shared" si="18"/>
        <v>-3.6047859063739821E-2</v>
      </c>
      <c r="O224" s="40">
        <f t="shared" si="19"/>
        <v>7.016816326238501E-3</v>
      </c>
      <c r="P224" s="40">
        <f t="shared" si="20"/>
        <v>7.0414918627221866E-3</v>
      </c>
      <c r="Q224" s="40"/>
      <c r="R224" s="40"/>
      <c r="S224">
        <v>45479</v>
      </c>
      <c r="T224">
        <v>5.27</v>
      </c>
      <c r="U224" s="40">
        <f t="shared" si="21"/>
        <v>-1.895735164899312E-3</v>
      </c>
      <c r="V224" s="40">
        <f t="shared" si="22"/>
        <v>5.27</v>
      </c>
      <c r="W224" s="40">
        <f t="shared" si="23"/>
        <v>-1.895735164899312E-3</v>
      </c>
    </row>
    <row r="225" spans="1:23" x14ac:dyDescent="0.2">
      <c r="A225" s="40" t="s">
        <v>885</v>
      </c>
      <c r="B225" s="40">
        <v>33.340000000000003</v>
      </c>
      <c r="C225" s="40">
        <v>33.340000000000003</v>
      </c>
      <c r="D225" s="40">
        <v>33.340000000000003</v>
      </c>
      <c r="E225" s="40">
        <v>33.340000000000003</v>
      </c>
      <c r="G225" s="36">
        <v>45366</v>
      </c>
      <c r="H225" s="40">
        <v>11.58</v>
      </c>
      <c r="I225" s="40">
        <v>87.836500000000001</v>
      </c>
      <c r="J225" s="44"/>
      <c r="K225" s="40"/>
      <c r="L225" s="45">
        <v>11.58</v>
      </c>
      <c r="M225" s="46">
        <v>87.836500000000001</v>
      </c>
      <c r="N225" s="40">
        <f t="shared" si="18"/>
        <v>-0.16372718027046682</v>
      </c>
      <c r="O225" s="40">
        <f t="shared" si="19"/>
        <v>-1.2231164822240454E-3</v>
      </c>
      <c r="P225" s="40">
        <f t="shared" si="20"/>
        <v>-1.2223687801328311E-3</v>
      </c>
      <c r="Q225" s="40"/>
      <c r="R225" s="40"/>
      <c r="S225">
        <v>45478</v>
      </c>
      <c r="T225">
        <v>5.28</v>
      </c>
      <c r="U225" s="40">
        <f t="shared" si="21"/>
        <v>0</v>
      </c>
      <c r="V225" s="40">
        <f t="shared" si="22"/>
        <v>5.28</v>
      </c>
      <c r="W225" s="40">
        <f t="shared" si="23"/>
        <v>0</v>
      </c>
    </row>
    <row r="226" spans="1:23" x14ac:dyDescent="0.2">
      <c r="A226" s="40" t="s">
        <v>886</v>
      </c>
      <c r="B226" s="40">
        <v>31.03</v>
      </c>
      <c r="C226" s="40">
        <v>31.03</v>
      </c>
      <c r="D226" s="40">
        <v>31.03</v>
      </c>
      <c r="E226" s="40">
        <v>31.03</v>
      </c>
      <c r="G226" s="36">
        <v>45365</v>
      </c>
      <c r="H226" s="40">
        <v>13.64</v>
      </c>
      <c r="I226" s="40">
        <v>87.944000000000003</v>
      </c>
      <c r="J226" s="44"/>
      <c r="K226" s="40"/>
      <c r="L226" s="45">
        <v>13.64</v>
      </c>
      <c r="M226" s="46">
        <v>87.944000000000003</v>
      </c>
      <c r="N226" s="40">
        <f t="shared" si="18"/>
        <v>-6.114199701121259E-2</v>
      </c>
      <c r="O226" s="40">
        <f t="shared" si="19"/>
        <v>-3.2927730991040724E-2</v>
      </c>
      <c r="P226" s="40">
        <f t="shared" si="20"/>
        <v>-3.2391514831440919E-2</v>
      </c>
      <c r="Q226" s="40"/>
      <c r="R226" s="40"/>
      <c r="S226">
        <v>45476</v>
      </c>
      <c r="T226">
        <v>5.28</v>
      </c>
      <c r="U226" s="40">
        <f t="shared" si="21"/>
        <v>3.7950709685517555E-3</v>
      </c>
      <c r="V226" s="40">
        <f t="shared" si="22"/>
        <v>5.28</v>
      </c>
      <c r="W226" s="40">
        <f t="shared" si="23"/>
        <v>3.7950709685517555E-3</v>
      </c>
    </row>
    <row r="227" spans="1:23" x14ac:dyDescent="0.2">
      <c r="A227" s="40" t="s">
        <v>887</v>
      </c>
      <c r="B227" s="40">
        <v>33.6</v>
      </c>
      <c r="C227" s="40">
        <v>33.6</v>
      </c>
      <c r="D227" s="40">
        <v>33.6</v>
      </c>
      <c r="E227" s="40">
        <v>33.6</v>
      </c>
      <c r="G227" s="36">
        <v>45364</v>
      </c>
      <c r="H227" s="40">
        <v>14.5</v>
      </c>
      <c r="I227" s="40">
        <v>90.888000000000005</v>
      </c>
      <c r="J227" s="44"/>
      <c r="K227" s="40"/>
      <c r="L227" s="45">
        <v>14.5</v>
      </c>
      <c r="M227" s="46">
        <v>90.888000000000005</v>
      </c>
      <c r="N227" s="40">
        <f t="shared" si="18"/>
        <v>2.3727561160955098E-2</v>
      </c>
      <c r="O227" s="40">
        <f t="shared" si="19"/>
        <v>-1.121449819642103E-2</v>
      </c>
      <c r="P227" s="40">
        <f t="shared" si="20"/>
        <v>-1.1151850119134306E-2</v>
      </c>
      <c r="Q227" s="40"/>
      <c r="R227" s="40"/>
      <c r="S227">
        <v>45475</v>
      </c>
      <c r="T227">
        <v>5.26</v>
      </c>
      <c r="U227" s="40">
        <f t="shared" si="21"/>
        <v>0.18536801764211963</v>
      </c>
      <c r="V227" s="40">
        <f t="shared" si="22"/>
        <v>5.26</v>
      </c>
      <c r="W227" s="40">
        <f t="shared" si="23"/>
        <v>0.18536801764211963</v>
      </c>
    </row>
    <row r="228" spans="1:23" x14ac:dyDescent="0.2">
      <c r="A228" s="40" t="s">
        <v>888</v>
      </c>
      <c r="B228" s="40">
        <v>33.950000000000003</v>
      </c>
      <c r="C228" s="40">
        <v>33.950000000000003</v>
      </c>
      <c r="D228" s="40">
        <v>33.950000000000003</v>
      </c>
      <c r="E228" s="40">
        <v>33.950000000000003</v>
      </c>
      <c r="G228" s="36">
        <v>45363</v>
      </c>
      <c r="H228" s="40">
        <v>14.16</v>
      </c>
      <c r="I228" s="40">
        <v>91.912999999999997</v>
      </c>
      <c r="J228" s="44"/>
      <c r="K228" s="40"/>
      <c r="L228" s="45">
        <v>14.16</v>
      </c>
      <c r="M228" s="46">
        <v>91.912999999999997</v>
      </c>
      <c r="N228" s="40">
        <f t="shared" si="18"/>
        <v>-4.8924672206489918E-2</v>
      </c>
      <c r="O228" s="40">
        <f t="shared" si="19"/>
        <v>6.9126547196097954E-2</v>
      </c>
      <c r="P228" s="40">
        <f t="shared" si="20"/>
        <v>7.1571804975866765E-2</v>
      </c>
      <c r="Q228" s="40"/>
      <c r="R228" s="40"/>
      <c r="S228">
        <v>45455</v>
      </c>
      <c r="T228">
        <v>4.37</v>
      </c>
      <c r="U228" s="40">
        <f t="shared" si="21"/>
        <v>-2.9314387668775255E-2</v>
      </c>
      <c r="V228" s="40">
        <f t="shared" si="22"/>
        <v>4.37</v>
      </c>
      <c r="W228" s="40">
        <f t="shared" si="23"/>
        <v>-2.9314387668775255E-2</v>
      </c>
    </row>
    <row r="229" spans="1:23" x14ac:dyDescent="0.2">
      <c r="A229" s="40" t="s">
        <v>889</v>
      </c>
      <c r="B229" s="40">
        <v>31.88</v>
      </c>
      <c r="C229" s="40">
        <v>31.88</v>
      </c>
      <c r="D229" s="40">
        <v>31.88</v>
      </c>
      <c r="E229" s="40">
        <v>31.88</v>
      </c>
      <c r="G229" s="36">
        <v>45362</v>
      </c>
      <c r="H229" s="40">
        <v>14.87</v>
      </c>
      <c r="I229" s="40">
        <v>85.774000000000001</v>
      </c>
      <c r="J229" s="44"/>
      <c r="K229" s="40"/>
      <c r="L229" s="45">
        <v>14.87</v>
      </c>
      <c r="M229" s="46">
        <v>85.774000000000001</v>
      </c>
      <c r="N229" s="40">
        <f t="shared" si="18"/>
        <v>5.3170963087941135E-2</v>
      </c>
      <c r="O229" s="40">
        <f t="shared" si="19"/>
        <v>-2.0242811906562481E-2</v>
      </c>
      <c r="P229" s="40">
        <f t="shared" si="20"/>
        <v>-2.0039301709167408E-2</v>
      </c>
      <c r="Q229" s="40"/>
      <c r="R229" s="40"/>
      <c r="S229">
        <v>45454</v>
      </c>
      <c r="T229">
        <v>4.5</v>
      </c>
      <c r="U229" s="40">
        <f t="shared" si="21"/>
        <v>-0.11728908652310001</v>
      </c>
      <c r="V229" s="40">
        <f t="shared" si="22"/>
        <v>4.5</v>
      </c>
      <c r="W229" s="40">
        <f t="shared" si="23"/>
        <v>-0.11728908652310001</v>
      </c>
    </row>
    <row r="230" spans="1:23" x14ac:dyDescent="0.2">
      <c r="A230" s="40" t="s">
        <v>890</v>
      </c>
      <c r="B230" s="40">
        <v>30.4</v>
      </c>
      <c r="C230" s="40">
        <v>30.4</v>
      </c>
      <c r="D230" s="40">
        <v>30.4</v>
      </c>
      <c r="E230" s="40">
        <v>30.4</v>
      </c>
      <c r="G230" s="36">
        <v>45359</v>
      </c>
      <c r="H230" s="40">
        <v>14.1</v>
      </c>
      <c r="I230" s="40">
        <v>87.528000000000006</v>
      </c>
      <c r="J230" s="44"/>
      <c r="K230" s="40"/>
      <c r="L230" s="45">
        <v>14.1</v>
      </c>
      <c r="M230" s="46">
        <v>87.528000000000006</v>
      </c>
      <c r="N230" s="40">
        <f t="shared" si="18"/>
        <v>2.129926257824849E-3</v>
      </c>
      <c r="O230" s="40">
        <f t="shared" si="19"/>
        <v>-5.7075262387146372E-2</v>
      </c>
      <c r="P230" s="40">
        <f t="shared" si="20"/>
        <v>-5.5477020362796524E-2</v>
      </c>
      <c r="Q230" s="40"/>
      <c r="R230" s="40"/>
      <c r="S230">
        <v>45452</v>
      </c>
      <c r="T230">
        <v>5.0599999999999996</v>
      </c>
      <c r="U230" s="40">
        <f t="shared" si="21"/>
        <v>-3.4955015033576738E-2</v>
      </c>
      <c r="V230" s="40">
        <f t="shared" si="22"/>
        <v>5.0599999999999996</v>
      </c>
      <c r="W230" s="40">
        <f t="shared" si="23"/>
        <v>-3.4955015033576738E-2</v>
      </c>
    </row>
    <row r="231" spans="1:23" x14ac:dyDescent="0.2">
      <c r="A231" s="40" t="s">
        <v>891</v>
      </c>
      <c r="B231" s="40">
        <v>27.43</v>
      </c>
      <c r="C231" s="40">
        <v>27.43</v>
      </c>
      <c r="D231" s="40">
        <v>27.43</v>
      </c>
      <c r="E231" s="40">
        <v>27.43</v>
      </c>
      <c r="G231" s="36">
        <v>45358</v>
      </c>
      <c r="H231" s="40">
        <v>14.07</v>
      </c>
      <c r="I231" s="40">
        <v>92.668999999999997</v>
      </c>
      <c r="J231" s="44"/>
      <c r="K231" s="40"/>
      <c r="L231" s="45">
        <v>14.07</v>
      </c>
      <c r="M231" s="46">
        <v>92.668999999999997</v>
      </c>
      <c r="N231" s="40">
        <f t="shared" si="18"/>
        <v>-0.15688832412262613</v>
      </c>
      <c r="O231" s="40">
        <f t="shared" si="19"/>
        <v>4.3774115246101385E-2</v>
      </c>
      <c r="P231" s="40">
        <f t="shared" si="20"/>
        <v>4.4746335963923266E-2</v>
      </c>
      <c r="Q231" s="40"/>
      <c r="R231" s="40"/>
      <c r="S231">
        <v>45451</v>
      </c>
      <c r="T231">
        <v>5.24</v>
      </c>
      <c r="U231" s="40">
        <f t="shared" si="21"/>
        <v>-5.7088642203200922E-3</v>
      </c>
      <c r="V231" s="40">
        <f t="shared" si="22"/>
        <v>5.24</v>
      </c>
      <c r="W231" s="40">
        <f t="shared" si="23"/>
        <v>-5.7088642203200922E-3</v>
      </c>
    </row>
    <row r="232" spans="1:23" x14ac:dyDescent="0.2">
      <c r="A232" s="41">
        <v>40555</v>
      </c>
      <c r="B232" s="40">
        <v>27</v>
      </c>
      <c r="C232" s="40">
        <v>27</v>
      </c>
      <c r="D232" s="40">
        <v>27</v>
      </c>
      <c r="E232" s="40">
        <v>27</v>
      </c>
      <c r="G232" s="36">
        <v>45357</v>
      </c>
      <c r="H232" s="40">
        <v>16.46</v>
      </c>
      <c r="I232" s="40">
        <v>88.7</v>
      </c>
      <c r="J232" s="44"/>
      <c r="K232" s="40"/>
      <c r="L232" s="45">
        <v>16.46</v>
      </c>
      <c r="M232" s="46">
        <v>88.7</v>
      </c>
      <c r="N232" s="40">
        <f t="shared" si="18"/>
        <v>0.11785898021689073</v>
      </c>
      <c r="O232" s="40">
        <f t="shared" si="19"/>
        <v>3.133128535257422E-2</v>
      </c>
      <c r="P232" s="40">
        <f t="shared" si="20"/>
        <v>3.182727653436327E-2</v>
      </c>
      <c r="Q232" s="40"/>
      <c r="R232" s="40"/>
      <c r="S232">
        <v>45449</v>
      </c>
      <c r="T232">
        <v>5.27</v>
      </c>
      <c r="U232" s="40">
        <f t="shared" si="21"/>
        <v>-1.895735164899312E-3</v>
      </c>
      <c r="V232" s="40">
        <f t="shared" si="22"/>
        <v>5.27</v>
      </c>
      <c r="W232" s="40">
        <f t="shared" si="23"/>
        <v>-1.895735164899312E-3</v>
      </c>
    </row>
    <row r="233" spans="1:23" x14ac:dyDescent="0.2">
      <c r="A233" s="41">
        <v>40586</v>
      </c>
      <c r="B233" s="40">
        <v>27.78</v>
      </c>
      <c r="C233" s="40">
        <v>27.78</v>
      </c>
      <c r="D233" s="40">
        <v>27.78</v>
      </c>
      <c r="E233" s="40">
        <v>27.78</v>
      </c>
      <c r="G233" s="36">
        <v>45356</v>
      </c>
      <c r="H233" s="40">
        <v>14.63</v>
      </c>
      <c r="I233" s="40">
        <v>85.963999999999999</v>
      </c>
      <c r="J233" s="44"/>
      <c r="K233" s="40"/>
      <c r="L233" s="45">
        <v>14.63</v>
      </c>
      <c r="M233" s="46">
        <v>85.963999999999999</v>
      </c>
      <c r="N233" s="40">
        <f t="shared" si="18"/>
        <v>5.4832214145314013E-3</v>
      </c>
      <c r="O233" s="40">
        <f t="shared" si="19"/>
        <v>8.4929920961442813E-3</v>
      </c>
      <c r="P233" s="40">
        <f t="shared" si="20"/>
        <v>8.5291598718866685E-3</v>
      </c>
      <c r="Q233" s="40"/>
      <c r="R233" s="40"/>
      <c r="S233">
        <v>45448</v>
      </c>
      <c r="T233">
        <v>5.28</v>
      </c>
      <c r="U233" s="40">
        <f t="shared" si="21"/>
        <v>1.8957351648991973E-3</v>
      </c>
      <c r="V233" s="40">
        <f t="shared" si="22"/>
        <v>5.28</v>
      </c>
      <c r="W233" s="40">
        <f t="shared" si="23"/>
        <v>1.8957351648991973E-3</v>
      </c>
    </row>
    <row r="234" spans="1:23" x14ac:dyDescent="0.2">
      <c r="A234" s="41">
        <v>40675</v>
      </c>
      <c r="B234" s="40">
        <v>28.84</v>
      </c>
      <c r="C234" s="40">
        <v>28.84</v>
      </c>
      <c r="D234" s="40">
        <v>28.84</v>
      </c>
      <c r="E234" s="40">
        <v>28.84</v>
      </c>
      <c r="G234" s="36">
        <v>45355</v>
      </c>
      <c r="H234" s="40">
        <v>14.55</v>
      </c>
      <c r="I234" s="40">
        <v>85.236999999999995</v>
      </c>
      <c r="J234" s="44"/>
      <c r="K234" s="40"/>
      <c r="L234" s="45">
        <v>14.55</v>
      </c>
      <c r="M234" s="46">
        <v>85.236999999999995</v>
      </c>
      <c r="N234" s="40">
        <f t="shared" si="18"/>
        <v>-2.2427035787444323E-2</v>
      </c>
      <c r="O234" s="40">
        <f t="shared" si="19"/>
        <v>3.5319700777693946E-2</v>
      </c>
      <c r="P234" s="40">
        <f t="shared" si="20"/>
        <v>3.5950850156175919E-2</v>
      </c>
      <c r="Q234" s="40"/>
      <c r="R234" s="40"/>
      <c r="S234">
        <v>45446</v>
      </c>
      <c r="T234">
        <v>5.27</v>
      </c>
      <c r="U234" s="40">
        <f t="shared" si="21"/>
        <v>0</v>
      </c>
      <c r="V234" s="40">
        <f t="shared" si="22"/>
        <v>5.27</v>
      </c>
      <c r="W234" s="40">
        <f t="shared" si="23"/>
        <v>0</v>
      </c>
    </row>
    <row r="235" spans="1:23" x14ac:dyDescent="0.2">
      <c r="A235" s="41">
        <v>40706</v>
      </c>
      <c r="B235" s="40">
        <v>28.5</v>
      </c>
      <c r="C235" s="40">
        <v>28.5</v>
      </c>
      <c r="D235" s="40">
        <v>28.5</v>
      </c>
      <c r="E235" s="40">
        <v>28.5</v>
      </c>
      <c r="G235" s="36">
        <v>45352</v>
      </c>
      <c r="H235" s="40">
        <v>14.88</v>
      </c>
      <c r="I235" s="40">
        <v>82.278999999999996</v>
      </c>
      <c r="J235" s="44"/>
      <c r="K235" s="40"/>
      <c r="L235" s="45">
        <v>14.88</v>
      </c>
      <c r="M235" s="46">
        <v>82.278999999999996</v>
      </c>
      <c r="N235" s="40">
        <f t="shared" si="18"/>
        <v>0</v>
      </c>
      <c r="O235" s="40">
        <f t="shared" si="19"/>
        <v>3.9251341121431506E-2</v>
      </c>
      <c r="P235" s="40">
        <f t="shared" si="20"/>
        <v>4.0031853574678956E-2</v>
      </c>
      <c r="Q235" s="40"/>
      <c r="R235" s="40"/>
      <c r="S235">
        <v>45445</v>
      </c>
      <c r="T235">
        <v>5.27</v>
      </c>
      <c r="U235" s="40">
        <f t="shared" si="21"/>
        <v>0.18270113546619099</v>
      </c>
      <c r="V235" s="40">
        <f t="shared" si="22"/>
        <v>5.27</v>
      </c>
      <c r="W235" s="40">
        <f t="shared" si="23"/>
        <v>0.18270113546619099</v>
      </c>
    </row>
    <row r="236" spans="1:23" x14ac:dyDescent="0.2">
      <c r="A236" s="41">
        <v>40736</v>
      </c>
      <c r="B236" s="40">
        <v>30.19</v>
      </c>
      <c r="C236" s="40">
        <v>30.19</v>
      </c>
      <c r="D236" s="40">
        <v>30.19</v>
      </c>
      <c r="E236" s="40">
        <v>30.19</v>
      </c>
      <c r="G236" s="36">
        <v>45351</v>
      </c>
      <c r="H236" s="40">
        <v>14.88</v>
      </c>
      <c r="I236" s="40">
        <v>79.111999999999995</v>
      </c>
      <c r="J236" s="44"/>
      <c r="K236" s="40"/>
      <c r="L236" s="45">
        <v>14.88</v>
      </c>
      <c r="M236" s="46">
        <v>79.111999999999995</v>
      </c>
      <c r="N236" s="40">
        <f t="shared" si="18"/>
        <v>0.11753105127808154</v>
      </c>
      <c r="O236" s="40">
        <f t="shared" si="19"/>
        <v>1.8485616484969339E-2</v>
      </c>
      <c r="P236" s="40">
        <f t="shared" si="20"/>
        <v>1.8657533188262083E-2</v>
      </c>
      <c r="Q236" s="40"/>
      <c r="R236" s="40"/>
      <c r="S236">
        <v>45424</v>
      </c>
      <c r="T236">
        <v>4.3899999999999997</v>
      </c>
      <c r="U236" s="40">
        <f t="shared" si="21"/>
        <v>-3.3597784966176672E-2</v>
      </c>
      <c r="V236" s="40">
        <f t="shared" si="22"/>
        <v>4.3899999999999997</v>
      </c>
      <c r="W236" s="40">
        <f t="shared" si="23"/>
        <v>-3.3597784966176672E-2</v>
      </c>
    </row>
    <row r="237" spans="1:23" x14ac:dyDescent="0.2">
      <c r="A237" s="41">
        <v>40767</v>
      </c>
      <c r="B237" s="40">
        <v>31.62</v>
      </c>
      <c r="C237" s="40">
        <v>31.62</v>
      </c>
      <c r="D237" s="40">
        <v>31.62</v>
      </c>
      <c r="E237" s="40">
        <v>31.62</v>
      </c>
      <c r="G237" s="36">
        <v>45350</v>
      </c>
      <c r="H237" s="40">
        <v>13.23</v>
      </c>
      <c r="I237" s="40">
        <v>77.662999999999997</v>
      </c>
      <c r="J237" s="44"/>
      <c r="K237" s="40"/>
      <c r="L237" s="45">
        <v>13.23</v>
      </c>
      <c r="M237" s="46">
        <v>77.662999999999997</v>
      </c>
      <c r="N237" s="40">
        <f t="shared" si="18"/>
        <v>0.11269396614891225</v>
      </c>
      <c r="O237" s="40">
        <f t="shared" si="19"/>
        <v>-1.3276908340215485E-2</v>
      </c>
      <c r="P237" s="40">
        <f t="shared" si="20"/>
        <v>-1.3189158968755121E-2</v>
      </c>
      <c r="Q237" s="40"/>
      <c r="R237" s="40"/>
      <c r="S237">
        <v>45423</v>
      </c>
      <c r="T237">
        <v>4.54</v>
      </c>
      <c r="U237" s="40">
        <f t="shared" si="21"/>
        <v>-0.11238424953713394</v>
      </c>
      <c r="V237" s="40">
        <f t="shared" si="22"/>
        <v>4.54</v>
      </c>
      <c r="W237" s="40">
        <f t="shared" si="23"/>
        <v>-0.11238424953713394</v>
      </c>
    </row>
    <row r="238" spans="1:23" x14ac:dyDescent="0.2">
      <c r="A238" s="41">
        <v>40798</v>
      </c>
      <c r="B238" s="40">
        <v>24.44</v>
      </c>
      <c r="C238" s="40">
        <v>24.44</v>
      </c>
      <c r="D238" s="40">
        <v>24.44</v>
      </c>
      <c r="E238" s="40">
        <v>24.44</v>
      </c>
      <c r="G238" s="36">
        <v>45349</v>
      </c>
      <c r="H238" s="40">
        <v>11.82</v>
      </c>
      <c r="I238" s="40">
        <v>78.700999999999993</v>
      </c>
      <c r="J238" s="44"/>
      <c r="K238" s="40"/>
      <c r="L238" s="45">
        <v>11.82</v>
      </c>
      <c r="M238" s="46">
        <v>78.700999999999993</v>
      </c>
      <c r="N238" s="40">
        <f t="shared" si="18"/>
        <v>-5.4334350963329503E-2</v>
      </c>
      <c r="O238" s="40">
        <f t="shared" si="19"/>
        <v>-4.9558700356473976E-3</v>
      </c>
      <c r="P238" s="40">
        <f t="shared" si="20"/>
        <v>-4.9436099731958397E-3</v>
      </c>
      <c r="Q238" s="40"/>
      <c r="R238" s="40"/>
      <c r="S238">
        <v>45421</v>
      </c>
      <c r="T238">
        <v>5.08</v>
      </c>
      <c r="U238" s="40">
        <f t="shared" si="21"/>
        <v>-3.4819765159227925E-2</v>
      </c>
      <c r="V238" s="40">
        <f t="shared" si="22"/>
        <v>5.08</v>
      </c>
      <c r="W238" s="40">
        <f t="shared" si="23"/>
        <v>-3.4819765159227925E-2</v>
      </c>
    </row>
    <row r="239" spans="1:23" x14ac:dyDescent="0.2">
      <c r="A239" s="41">
        <v>40889</v>
      </c>
      <c r="B239" s="40">
        <v>25.99</v>
      </c>
      <c r="C239" s="40">
        <v>25.99</v>
      </c>
      <c r="D239" s="40">
        <v>25.99</v>
      </c>
      <c r="E239" s="40">
        <v>25.99</v>
      </c>
      <c r="G239" s="36">
        <v>45348</v>
      </c>
      <c r="H239" s="40">
        <v>12.48</v>
      </c>
      <c r="I239" s="40">
        <v>79.091999999999999</v>
      </c>
      <c r="J239" s="44"/>
      <c r="K239" s="40"/>
      <c r="L239" s="45">
        <v>12.48</v>
      </c>
      <c r="M239" s="46">
        <v>79.091999999999999</v>
      </c>
      <c r="N239" s="40">
        <f t="shared" si="18"/>
        <v>-8.004270767353637E-2</v>
      </c>
      <c r="O239" s="40">
        <f t="shared" si="19"/>
        <v>3.483022221813977E-3</v>
      </c>
      <c r="P239" s="40">
        <f t="shared" si="20"/>
        <v>3.4890949921971871E-3</v>
      </c>
      <c r="Q239" s="40"/>
      <c r="R239" s="40"/>
      <c r="S239">
        <v>45420</v>
      </c>
      <c r="T239">
        <v>5.26</v>
      </c>
      <c r="U239" s="40">
        <f t="shared" si="21"/>
        <v>-3.7950709685517208E-3</v>
      </c>
      <c r="V239" s="40">
        <f t="shared" si="22"/>
        <v>5.26</v>
      </c>
      <c r="W239" s="40">
        <f t="shared" si="23"/>
        <v>-3.7950709685517208E-3</v>
      </c>
    </row>
    <row r="240" spans="1:23" x14ac:dyDescent="0.2">
      <c r="A240" s="40" t="s">
        <v>892</v>
      </c>
      <c r="B240" s="40">
        <v>25.63</v>
      </c>
      <c r="C240" s="40">
        <v>25.63</v>
      </c>
      <c r="D240" s="40">
        <v>25.63</v>
      </c>
      <c r="E240" s="40">
        <v>25.63</v>
      </c>
      <c r="G240" s="36">
        <v>45345</v>
      </c>
      <c r="H240" s="40">
        <v>13.52</v>
      </c>
      <c r="I240" s="40">
        <v>78.816999999999993</v>
      </c>
      <c r="J240" s="44"/>
      <c r="K240" s="40"/>
      <c r="L240" s="45">
        <v>13.52</v>
      </c>
      <c r="M240" s="46">
        <v>78.816999999999993</v>
      </c>
      <c r="N240" s="40">
        <f t="shared" si="18"/>
        <v>5.1604772353002815E-2</v>
      </c>
      <c r="O240" s="40">
        <f t="shared" si="19"/>
        <v>3.5461255424846928E-3</v>
      </c>
      <c r="P240" s="40">
        <f t="shared" si="20"/>
        <v>3.5524204843514779E-3</v>
      </c>
      <c r="Q240" s="40"/>
      <c r="R240" s="40"/>
      <c r="S240">
        <v>45419</v>
      </c>
      <c r="T240">
        <v>5.28</v>
      </c>
      <c r="U240" s="40">
        <f t="shared" si="21"/>
        <v>0</v>
      </c>
      <c r="V240" s="40">
        <f t="shared" si="22"/>
        <v>5.28</v>
      </c>
      <c r="W240" s="40">
        <f t="shared" si="23"/>
        <v>0</v>
      </c>
    </row>
    <row r="241" spans="1:23" x14ac:dyDescent="0.2">
      <c r="A241" s="40" t="s">
        <v>893</v>
      </c>
      <c r="B241" s="40">
        <v>25.62</v>
      </c>
      <c r="C241" s="40">
        <v>25.62</v>
      </c>
      <c r="D241" s="40">
        <v>25.62</v>
      </c>
      <c r="E241" s="40">
        <v>25.62</v>
      </c>
      <c r="G241" s="36">
        <v>45344</v>
      </c>
      <c r="H241" s="40">
        <v>12.84</v>
      </c>
      <c r="I241" s="40">
        <v>78.537999999999997</v>
      </c>
      <c r="J241" s="44"/>
      <c r="K241" s="40"/>
      <c r="L241" s="45">
        <v>12.84</v>
      </c>
      <c r="M241" s="46">
        <v>78.537999999999997</v>
      </c>
      <c r="N241" s="40">
        <f t="shared" si="18"/>
        <v>-2.2334390052889733E-2</v>
      </c>
      <c r="O241" s="40">
        <f t="shared" si="19"/>
        <v>0.15186988709008079</v>
      </c>
      <c r="P241" s="40">
        <f t="shared" si="20"/>
        <v>0.16400877400995975</v>
      </c>
      <c r="Q241" s="40"/>
      <c r="R241" s="40"/>
      <c r="S241">
        <v>45418</v>
      </c>
      <c r="T241">
        <v>5.28</v>
      </c>
      <c r="U241" s="40">
        <f t="shared" si="21"/>
        <v>1.8957351648991973E-3</v>
      </c>
      <c r="V241" s="40">
        <f t="shared" si="22"/>
        <v>5.28</v>
      </c>
      <c r="W241" s="40">
        <f t="shared" si="23"/>
        <v>1.8957351648991973E-3</v>
      </c>
    </row>
    <row r="242" spans="1:23" x14ac:dyDescent="0.2">
      <c r="A242" s="40" t="s">
        <v>894</v>
      </c>
      <c r="B242" s="40">
        <v>24.07</v>
      </c>
      <c r="C242" s="40">
        <v>24.07</v>
      </c>
      <c r="D242" s="40">
        <v>24.07</v>
      </c>
      <c r="E242" s="40">
        <v>24.07</v>
      </c>
      <c r="G242" s="36">
        <v>45343</v>
      </c>
      <c r="H242" s="40">
        <v>13.13</v>
      </c>
      <c r="I242" s="40">
        <v>67.471999999999994</v>
      </c>
      <c r="J242" s="44"/>
      <c r="K242" s="40"/>
      <c r="L242" s="45">
        <v>13.13</v>
      </c>
      <c r="M242" s="46">
        <v>67.471999999999994</v>
      </c>
      <c r="N242" s="40">
        <f t="shared" si="18"/>
        <v>9.6682026677501198E-2</v>
      </c>
      <c r="O242" s="40">
        <f t="shared" si="19"/>
        <v>-2.8923169477687381E-2</v>
      </c>
      <c r="P242" s="40">
        <f t="shared" si="20"/>
        <v>-2.8508898231872429E-2</v>
      </c>
      <c r="Q242" s="40"/>
      <c r="R242" s="40"/>
      <c r="S242">
        <v>45416</v>
      </c>
      <c r="T242">
        <v>5.27</v>
      </c>
      <c r="U242" s="40">
        <f t="shared" si="21"/>
        <v>0</v>
      </c>
      <c r="V242" s="40">
        <f t="shared" si="22"/>
        <v>5.27</v>
      </c>
      <c r="W242" s="40">
        <f t="shared" si="23"/>
        <v>0</v>
      </c>
    </row>
    <row r="243" spans="1:23" x14ac:dyDescent="0.2">
      <c r="A243" s="40" t="s">
        <v>895</v>
      </c>
      <c r="B243" s="40">
        <v>22.76</v>
      </c>
      <c r="C243" s="40">
        <v>22.76</v>
      </c>
      <c r="D243" s="40">
        <v>22.76</v>
      </c>
      <c r="E243" s="40">
        <v>22.76</v>
      </c>
      <c r="G243" s="36">
        <v>45342</v>
      </c>
      <c r="H243" s="40">
        <v>11.92</v>
      </c>
      <c r="I243" s="40">
        <v>69.451999999999998</v>
      </c>
      <c r="J243" s="44"/>
      <c r="K243" s="40"/>
      <c r="L243" s="45">
        <v>11.92</v>
      </c>
      <c r="M243" s="46">
        <v>69.451999999999998</v>
      </c>
      <c r="N243" s="40">
        <f t="shared" si="18"/>
        <v>-9.9723854117985955E-2</v>
      </c>
      <c r="O243" s="40">
        <f t="shared" si="19"/>
        <v>-4.45081026798105E-2</v>
      </c>
      <c r="P243" s="40">
        <f t="shared" si="20"/>
        <v>-4.3532149890515494E-2</v>
      </c>
      <c r="Q243" s="40"/>
      <c r="R243" s="40"/>
      <c r="S243">
        <v>45415</v>
      </c>
      <c r="T243">
        <v>5.27</v>
      </c>
      <c r="U243" s="40">
        <f t="shared" si="21"/>
        <v>-1.895735164899312E-3</v>
      </c>
      <c r="V243" s="40">
        <f t="shared" si="22"/>
        <v>5.27</v>
      </c>
      <c r="W243" s="40">
        <f t="shared" si="23"/>
        <v>-1.895735164899312E-3</v>
      </c>
    </row>
    <row r="244" spans="1:23" x14ac:dyDescent="0.2">
      <c r="A244" s="40" t="s">
        <v>896</v>
      </c>
      <c r="B244" s="40">
        <v>23.16</v>
      </c>
      <c r="C244" s="40">
        <v>23.16</v>
      </c>
      <c r="D244" s="40">
        <v>23.16</v>
      </c>
      <c r="E244" s="40">
        <v>23.16</v>
      </c>
      <c r="G244" s="36">
        <v>45338</v>
      </c>
      <c r="H244" s="40">
        <v>13.17</v>
      </c>
      <c r="I244" s="40">
        <v>72.613</v>
      </c>
      <c r="J244" s="44"/>
      <c r="K244" s="40"/>
      <c r="L244" s="45">
        <v>13.17</v>
      </c>
      <c r="M244" s="46">
        <v>72.613</v>
      </c>
      <c r="N244" s="40">
        <f t="shared" si="18"/>
        <v>-0.10649881970788667</v>
      </c>
      <c r="O244" s="40">
        <f t="shared" si="19"/>
        <v>-6.1953179147009973E-4</v>
      </c>
      <c r="P244" s="40">
        <f t="shared" si="20"/>
        <v>-6.1933992127503792E-4</v>
      </c>
      <c r="Q244" s="40"/>
      <c r="R244" s="40"/>
      <c r="S244">
        <v>45414</v>
      </c>
      <c r="T244">
        <v>5.28</v>
      </c>
      <c r="U244" s="40">
        <f t="shared" si="21"/>
        <v>0</v>
      </c>
      <c r="V244" s="40">
        <f t="shared" si="22"/>
        <v>5.28</v>
      </c>
      <c r="W244" s="40">
        <f t="shared" si="23"/>
        <v>0</v>
      </c>
    </row>
    <row r="245" spans="1:23" x14ac:dyDescent="0.2">
      <c r="A245" s="40" t="s">
        <v>897</v>
      </c>
      <c r="B245" s="40">
        <v>21.55</v>
      </c>
      <c r="C245" s="40">
        <v>21.55</v>
      </c>
      <c r="D245" s="40">
        <v>21.55</v>
      </c>
      <c r="E245" s="40">
        <v>21.55</v>
      </c>
      <c r="G245" s="36">
        <v>45337</v>
      </c>
      <c r="H245" s="40">
        <v>14.65</v>
      </c>
      <c r="I245" s="40">
        <v>72.658000000000001</v>
      </c>
      <c r="J245" s="44"/>
      <c r="K245" s="40"/>
      <c r="L245" s="45">
        <v>14.65</v>
      </c>
      <c r="M245" s="46">
        <v>72.658000000000001</v>
      </c>
      <c r="N245" s="40">
        <f t="shared" si="18"/>
        <v>-1.3559529785632251E-2</v>
      </c>
      <c r="O245" s="40">
        <f t="shared" si="19"/>
        <v>-1.6949327000984164E-2</v>
      </c>
      <c r="P245" s="40">
        <f t="shared" si="20"/>
        <v>-1.6806495263870153E-2</v>
      </c>
      <c r="Q245" s="40"/>
      <c r="R245" s="40"/>
      <c r="S245">
        <v>45413</v>
      </c>
      <c r="T245">
        <v>5.28</v>
      </c>
      <c r="U245" s="40">
        <f t="shared" si="21"/>
        <v>0.16877733168619749</v>
      </c>
      <c r="V245" s="40">
        <f t="shared" si="22"/>
        <v>5.28</v>
      </c>
      <c r="W245" s="40">
        <f t="shared" si="23"/>
        <v>0.16877733168619749</v>
      </c>
    </row>
    <row r="246" spans="1:23" x14ac:dyDescent="0.2">
      <c r="A246" s="40" t="s">
        <v>898</v>
      </c>
      <c r="B246" s="40">
        <v>20.62</v>
      </c>
      <c r="C246" s="40">
        <v>20.62</v>
      </c>
      <c r="D246" s="40">
        <v>20.62</v>
      </c>
      <c r="E246" s="40">
        <v>20.62</v>
      </c>
      <c r="G246" s="36">
        <v>45336</v>
      </c>
      <c r="H246" s="40">
        <v>14.85</v>
      </c>
      <c r="I246" s="40">
        <v>73.900000000000006</v>
      </c>
      <c r="J246" s="44"/>
      <c r="K246" s="40"/>
      <c r="L246" s="45">
        <v>14.85</v>
      </c>
      <c r="M246" s="46">
        <v>73.900000000000006</v>
      </c>
      <c r="N246" s="40">
        <f t="shared" si="18"/>
        <v>0.16668684264655256</v>
      </c>
      <c r="O246" s="40">
        <f t="shared" si="19"/>
        <v>2.4270509536844988E-2</v>
      </c>
      <c r="P246" s="40">
        <f t="shared" si="20"/>
        <v>2.4567435669920219E-2</v>
      </c>
      <c r="Q246" s="40"/>
      <c r="R246" s="40"/>
      <c r="S246">
        <v>45394</v>
      </c>
      <c r="T246">
        <v>4.46</v>
      </c>
      <c r="U246" s="40">
        <f t="shared" si="21"/>
        <v>-2.2173857494321967E-2</v>
      </c>
      <c r="V246" s="40">
        <f t="shared" si="22"/>
        <v>4.46</v>
      </c>
      <c r="W246" s="40">
        <f t="shared" si="23"/>
        <v>-2.2173857494321967E-2</v>
      </c>
    </row>
    <row r="247" spans="1:23" x14ac:dyDescent="0.2">
      <c r="A247" s="40" t="s">
        <v>899</v>
      </c>
      <c r="B247" s="40">
        <v>19.72</v>
      </c>
      <c r="C247" s="40">
        <v>19.72</v>
      </c>
      <c r="D247" s="40">
        <v>19.72</v>
      </c>
      <c r="E247" s="40">
        <v>19.72</v>
      </c>
      <c r="G247" s="36">
        <v>45335</v>
      </c>
      <c r="H247" s="40">
        <v>12.57</v>
      </c>
      <c r="I247" s="40">
        <v>72.128</v>
      </c>
      <c r="J247" s="44"/>
      <c r="K247" s="40"/>
      <c r="L247" s="45">
        <v>12.57</v>
      </c>
      <c r="M247" s="46">
        <v>72.128</v>
      </c>
      <c r="N247" s="40">
        <f t="shared" si="18"/>
        <v>7.987262910210834E-3</v>
      </c>
      <c r="O247" s="40">
        <f t="shared" si="19"/>
        <v>-1.662326531186588E-3</v>
      </c>
      <c r="P247" s="40">
        <f t="shared" si="20"/>
        <v>-1.6609456317130515E-3</v>
      </c>
      <c r="Q247" s="40"/>
      <c r="R247" s="40"/>
      <c r="S247">
        <v>45393</v>
      </c>
      <c r="T247">
        <v>4.5599999999999996</v>
      </c>
      <c r="U247" s="40">
        <f t="shared" si="21"/>
        <v>-4.7117922977070084E-2</v>
      </c>
      <c r="V247" s="40">
        <f t="shared" si="22"/>
        <v>4.5599999999999996</v>
      </c>
      <c r="W247" s="40">
        <f t="shared" si="23"/>
        <v>-4.7117922977070084E-2</v>
      </c>
    </row>
    <row r="248" spans="1:23" x14ac:dyDescent="0.2">
      <c r="A248" s="40" t="s">
        <v>900</v>
      </c>
      <c r="B248" s="40">
        <v>17.809999999999999</v>
      </c>
      <c r="C248" s="40">
        <v>17.809999999999999</v>
      </c>
      <c r="D248" s="40">
        <v>17.809999999999999</v>
      </c>
      <c r="E248" s="40">
        <v>17.809999999999999</v>
      </c>
      <c r="G248" s="36">
        <v>45334</v>
      </c>
      <c r="H248" s="40">
        <v>12.47</v>
      </c>
      <c r="I248" s="40">
        <v>72.248000000000005</v>
      </c>
      <c r="J248" s="44"/>
      <c r="K248" s="40"/>
      <c r="L248" s="45">
        <v>12.47</v>
      </c>
      <c r="M248" s="46">
        <v>72.248000000000005</v>
      </c>
      <c r="N248" s="40">
        <f t="shared" si="18"/>
        <v>-3.5450738662510667E-2</v>
      </c>
      <c r="O248" s="40">
        <f t="shared" si="19"/>
        <v>1.5930077270468425E-3</v>
      </c>
      <c r="P248" s="40">
        <f t="shared" si="20"/>
        <v>1.5942772378801534E-3</v>
      </c>
      <c r="Q248" s="40"/>
      <c r="R248" s="40"/>
      <c r="S248">
        <v>45392</v>
      </c>
      <c r="T248">
        <v>4.78</v>
      </c>
      <c r="U248" s="40">
        <f t="shared" si="21"/>
        <v>-6.6758857712248515E-2</v>
      </c>
      <c r="V248" s="40">
        <f t="shared" si="22"/>
        <v>4.78</v>
      </c>
      <c r="W248" s="40">
        <f t="shared" si="23"/>
        <v>-6.6758857712248515E-2</v>
      </c>
    </row>
    <row r="249" spans="1:23" x14ac:dyDescent="0.2">
      <c r="A249" s="40" t="s">
        <v>901</v>
      </c>
      <c r="B249" s="40">
        <v>20.6</v>
      </c>
      <c r="C249" s="40">
        <v>20.6</v>
      </c>
      <c r="D249" s="40">
        <v>20.6</v>
      </c>
      <c r="E249" s="40">
        <v>20.6</v>
      </c>
      <c r="G249" s="36">
        <v>45331</v>
      </c>
      <c r="H249" s="40">
        <v>12.92</v>
      </c>
      <c r="I249" s="40">
        <v>72.132999999999996</v>
      </c>
      <c r="J249" s="44"/>
      <c r="K249" s="40"/>
      <c r="L249" s="45">
        <v>12.92</v>
      </c>
      <c r="M249" s="46">
        <v>72.132999999999996</v>
      </c>
      <c r="N249" s="40">
        <f t="shared" si="18"/>
        <v>-0.14927370274775434</v>
      </c>
      <c r="O249" s="40">
        <f t="shared" si="19"/>
        <v>3.5158162861090761E-2</v>
      </c>
      <c r="P249" s="40">
        <f t="shared" si="20"/>
        <v>3.5783518329719419E-2</v>
      </c>
      <c r="Q249" s="40"/>
      <c r="R249" s="40"/>
      <c r="S249">
        <v>45391</v>
      </c>
      <c r="T249">
        <v>5.1100000000000003</v>
      </c>
      <c r="U249" s="40">
        <f t="shared" si="21"/>
        <v>-3.2726693502557067E-2</v>
      </c>
      <c r="V249" s="40">
        <f t="shared" si="22"/>
        <v>5.1100000000000003</v>
      </c>
      <c r="W249" s="40">
        <f t="shared" si="23"/>
        <v>-3.2726693502557067E-2</v>
      </c>
    </row>
    <row r="250" spans="1:23" x14ac:dyDescent="0.2">
      <c r="A250" s="40" t="s">
        <v>902</v>
      </c>
      <c r="B250" s="40">
        <v>22.42</v>
      </c>
      <c r="C250" s="40">
        <v>22.42</v>
      </c>
      <c r="D250" s="40">
        <v>22.42</v>
      </c>
      <c r="E250" s="40">
        <v>22.42</v>
      </c>
      <c r="G250" s="36">
        <v>45330</v>
      </c>
      <c r="H250" s="40">
        <v>15</v>
      </c>
      <c r="I250" s="40">
        <v>69.641000000000005</v>
      </c>
      <c r="J250" s="44"/>
      <c r="K250" s="40"/>
      <c r="L250" s="45">
        <v>15</v>
      </c>
      <c r="M250" s="46">
        <v>69.641000000000005</v>
      </c>
      <c r="N250" s="40">
        <f t="shared" si="18"/>
        <v>0.14079580996545632</v>
      </c>
      <c r="O250" s="40">
        <f t="shared" si="19"/>
        <v>-6.5550542431981138E-3</v>
      </c>
      <c r="P250" s="40">
        <f t="shared" si="20"/>
        <v>-6.5336167420362396E-3</v>
      </c>
      <c r="Q250" s="40"/>
      <c r="R250" s="40"/>
      <c r="S250">
        <v>45388</v>
      </c>
      <c r="T250">
        <v>5.28</v>
      </c>
      <c r="U250" s="40">
        <f t="shared" si="21"/>
        <v>3.7950709685517555E-3</v>
      </c>
      <c r="V250" s="40">
        <f t="shared" si="22"/>
        <v>5.28</v>
      </c>
      <c r="W250" s="40">
        <f t="shared" si="23"/>
        <v>3.7950709685517555E-3</v>
      </c>
    </row>
    <row r="251" spans="1:23" x14ac:dyDescent="0.2">
      <c r="A251" s="40" t="s">
        <v>903</v>
      </c>
      <c r="B251" s="40">
        <v>19.420000000000002</v>
      </c>
      <c r="C251" s="40">
        <v>19.420000000000002</v>
      </c>
      <c r="D251" s="40">
        <v>19.420000000000002</v>
      </c>
      <c r="E251" s="40">
        <v>19.420000000000002</v>
      </c>
      <c r="G251" s="36">
        <v>45329</v>
      </c>
      <c r="H251" s="40">
        <v>13.03</v>
      </c>
      <c r="I251" s="40">
        <v>70.099000000000004</v>
      </c>
      <c r="J251" s="44"/>
      <c r="K251" s="40"/>
      <c r="L251" s="45">
        <v>13.03</v>
      </c>
      <c r="M251" s="46">
        <v>70.099000000000004</v>
      </c>
      <c r="N251" s="40">
        <f t="shared" si="18"/>
        <v>0.1153875954269537</v>
      </c>
      <c r="O251" s="40">
        <f t="shared" si="19"/>
        <v>2.7126777206156222E-2</v>
      </c>
      <c r="P251" s="40">
        <f t="shared" si="20"/>
        <v>2.7498057839731541E-2</v>
      </c>
      <c r="Q251" s="40"/>
      <c r="R251" s="40"/>
      <c r="S251">
        <v>45386</v>
      </c>
      <c r="T251">
        <v>5.26</v>
      </c>
      <c r="U251" s="40">
        <f t="shared" si="21"/>
        <v>-3.7950709685517208E-3</v>
      </c>
      <c r="V251" s="40">
        <f t="shared" si="22"/>
        <v>5.26</v>
      </c>
      <c r="W251" s="40">
        <f t="shared" si="23"/>
        <v>-3.7950709685517208E-3</v>
      </c>
    </row>
    <row r="252" spans="1:23" x14ac:dyDescent="0.2">
      <c r="A252" s="40" t="s">
        <v>904</v>
      </c>
      <c r="B252" s="40">
        <v>19.36</v>
      </c>
      <c r="C252" s="40">
        <v>19.36</v>
      </c>
      <c r="D252" s="40">
        <v>19.36</v>
      </c>
      <c r="E252" s="40">
        <v>19.36</v>
      </c>
      <c r="G252" s="36">
        <v>45328</v>
      </c>
      <c r="H252" s="40">
        <v>11.61</v>
      </c>
      <c r="I252" s="40">
        <v>68.222999999999999</v>
      </c>
      <c r="J252" s="44"/>
      <c r="K252" s="40"/>
      <c r="L252" s="45">
        <v>11.61</v>
      </c>
      <c r="M252" s="46">
        <v>68.222999999999999</v>
      </c>
      <c r="N252" s="40">
        <f t="shared" si="18"/>
        <v>8.6169759748114163E-4</v>
      </c>
      <c r="O252" s="40">
        <f t="shared" si="19"/>
        <v>-1.6124808681661912E-2</v>
      </c>
      <c r="P252" s="40">
        <f t="shared" si="20"/>
        <v>-1.5995499913459797E-2</v>
      </c>
      <c r="Q252" s="40"/>
      <c r="R252" s="40"/>
      <c r="S252">
        <v>45385</v>
      </c>
      <c r="T252">
        <v>5.28</v>
      </c>
      <c r="U252" s="40">
        <f t="shared" si="21"/>
        <v>-1.8921481520378152E-3</v>
      </c>
      <c r="V252" s="40">
        <f t="shared" si="22"/>
        <v>5.28</v>
      </c>
      <c r="W252" s="40">
        <f t="shared" si="23"/>
        <v>-1.8921481520378152E-3</v>
      </c>
    </row>
    <row r="253" spans="1:23" x14ac:dyDescent="0.2">
      <c r="A253" s="41">
        <v>40969</v>
      </c>
      <c r="B253" s="40">
        <v>20.63</v>
      </c>
      <c r="C253" s="40">
        <v>20.63</v>
      </c>
      <c r="D253" s="40">
        <v>20.63</v>
      </c>
      <c r="E253" s="40">
        <v>20.63</v>
      </c>
      <c r="G253" s="36">
        <v>45327</v>
      </c>
      <c r="H253" s="40">
        <v>11.6</v>
      </c>
      <c r="I253" s="40">
        <v>69.331999999999994</v>
      </c>
      <c r="J253" s="44"/>
      <c r="K253" s="40"/>
      <c r="L253" s="45">
        <v>11.6</v>
      </c>
      <c r="M253" s="46">
        <v>69.331999999999994</v>
      </c>
      <c r="N253" s="40">
        <f t="shared" si="18"/>
        <v>-3.056265041016681E-2</v>
      </c>
      <c r="O253" s="40">
        <f t="shared" si="19"/>
        <v>4.6830509363628064E-2</v>
      </c>
      <c r="P253" s="40">
        <f t="shared" si="20"/>
        <v>4.7944377267230914E-2</v>
      </c>
      <c r="Q253" s="40"/>
      <c r="R253" s="40"/>
      <c r="S253">
        <v>45383</v>
      </c>
      <c r="T253">
        <v>5.29</v>
      </c>
      <c r="U253" s="40">
        <f t="shared" si="21"/>
        <v>0.16842983724473065</v>
      </c>
      <c r="V253" s="40">
        <f t="shared" si="22"/>
        <v>5.29</v>
      </c>
      <c r="W253" s="40">
        <f t="shared" si="23"/>
        <v>0.16842983724473065</v>
      </c>
    </row>
    <row r="254" spans="1:23" x14ac:dyDescent="0.2">
      <c r="A254" s="41">
        <v>41000</v>
      </c>
      <c r="B254" s="40">
        <v>19.32</v>
      </c>
      <c r="C254" s="40">
        <v>19.32</v>
      </c>
      <c r="D254" s="40">
        <v>19.32</v>
      </c>
      <c r="E254" s="40">
        <v>19.32</v>
      </c>
      <c r="G254" s="36">
        <v>45324</v>
      </c>
      <c r="H254" s="40">
        <v>11.96</v>
      </c>
      <c r="I254" s="40">
        <v>66.16</v>
      </c>
      <c r="J254" s="44"/>
      <c r="K254" s="40"/>
      <c r="L254" s="45">
        <v>11.96</v>
      </c>
      <c r="M254" s="46">
        <v>66.16</v>
      </c>
      <c r="N254" s="40">
        <f t="shared" si="18"/>
        <v>-4.0955764836821444E-2</v>
      </c>
      <c r="O254" s="40">
        <f t="shared" si="19"/>
        <v>4.851284470583582E-2</v>
      </c>
      <c r="P254" s="40">
        <f t="shared" si="20"/>
        <v>4.9708854935186439E-2</v>
      </c>
      <c r="Q254" s="40"/>
      <c r="R254" s="40"/>
      <c r="S254">
        <v>45363</v>
      </c>
      <c r="T254">
        <v>4.47</v>
      </c>
      <c r="U254" s="40">
        <f t="shared" si="21"/>
        <v>-6.2859259617851174E-2</v>
      </c>
      <c r="V254" s="40">
        <f t="shared" si="22"/>
        <v>4.47</v>
      </c>
      <c r="W254" s="40">
        <f t="shared" si="23"/>
        <v>-6.2859259617851174E-2</v>
      </c>
    </row>
    <row r="255" spans="1:23" x14ac:dyDescent="0.2">
      <c r="A255" s="41">
        <v>41030</v>
      </c>
      <c r="B255" s="40">
        <v>18.25</v>
      </c>
      <c r="C255" s="40">
        <v>18.25</v>
      </c>
      <c r="D255" s="40">
        <v>18.25</v>
      </c>
      <c r="E255" s="40">
        <v>18.25</v>
      </c>
      <c r="G255" s="36">
        <v>45323</v>
      </c>
      <c r="H255" s="40">
        <v>12.46</v>
      </c>
      <c r="I255" s="40">
        <v>63.027000000000001</v>
      </c>
      <c r="J255" s="44"/>
      <c r="K255" s="40"/>
      <c r="L255" s="45">
        <v>12.46</v>
      </c>
      <c r="M255" s="46">
        <v>63.027000000000001</v>
      </c>
      <c r="N255" s="40">
        <f t="shared" si="18"/>
        <v>-6.899287148695131E-2</v>
      </c>
      <c r="O255" s="40">
        <f t="shared" si="19"/>
        <v>2.4087103149894613E-2</v>
      </c>
      <c r="P255" s="40">
        <f t="shared" si="20"/>
        <v>2.4379540689453409E-2</v>
      </c>
      <c r="Q255" s="40"/>
      <c r="R255" s="40"/>
      <c r="S255">
        <v>45361</v>
      </c>
      <c r="T255">
        <v>4.76</v>
      </c>
      <c r="U255" s="40">
        <f t="shared" si="21"/>
        <v>-8.0688911250142756E-2</v>
      </c>
      <c r="V255" s="40">
        <f t="shared" si="22"/>
        <v>4.76</v>
      </c>
      <c r="W255" s="40">
        <f t="shared" si="23"/>
        <v>-8.0688911250142756E-2</v>
      </c>
    </row>
    <row r="256" spans="1:23" x14ac:dyDescent="0.2">
      <c r="A256" s="41">
        <v>41061</v>
      </c>
      <c r="B256" s="40">
        <v>17.010000000000002</v>
      </c>
      <c r="C256" s="40">
        <v>17.010000000000002</v>
      </c>
      <c r="D256" s="40">
        <v>17.010000000000002</v>
      </c>
      <c r="E256" s="40">
        <v>17.010000000000002</v>
      </c>
      <c r="G256" s="36">
        <v>45322</v>
      </c>
      <c r="H256" s="40">
        <v>13.35</v>
      </c>
      <c r="I256" s="40">
        <v>61.527000000000001</v>
      </c>
      <c r="J256" s="44"/>
      <c r="K256" s="40"/>
      <c r="L256" s="45">
        <v>13.35</v>
      </c>
      <c r="M256" s="46">
        <v>61.527000000000001</v>
      </c>
      <c r="N256" s="40">
        <f t="shared" si="18"/>
        <v>2.3494828347751778E-2</v>
      </c>
      <c r="O256" s="40">
        <f t="shared" si="19"/>
        <v>-2.0064872148657962E-2</v>
      </c>
      <c r="P256" s="40">
        <f t="shared" si="20"/>
        <v>-1.9864912224806446E-2</v>
      </c>
      <c r="Q256" s="40"/>
      <c r="R256" s="40"/>
      <c r="S256">
        <v>45360</v>
      </c>
      <c r="T256">
        <v>5.16</v>
      </c>
      <c r="U256" s="40">
        <f t="shared" si="21"/>
        <v>-2.2989518224698718E-2</v>
      </c>
      <c r="V256" s="40">
        <f t="shared" si="22"/>
        <v>5.16</v>
      </c>
      <c r="W256" s="40">
        <f t="shared" si="23"/>
        <v>-2.2989518224698718E-2</v>
      </c>
    </row>
    <row r="257" spans="1:23" x14ac:dyDescent="0.2">
      <c r="A257" s="41">
        <v>41153</v>
      </c>
      <c r="B257" s="40">
        <v>17.61</v>
      </c>
      <c r="C257" s="40">
        <v>17.61</v>
      </c>
      <c r="D257" s="40">
        <v>17.61</v>
      </c>
      <c r="E257" s="40">
        <v>17.61</v>
      </c>
      <c r="G257" s="36">
        <v>45321</v>
      </c>
      <c r="H257" s="40">
        <v>13.04</v>
      </c>
      <c r="I257" s="40">
        <v>62.774000000000001</v>
      </c>
      <c r="J257" s="44"/>
      <c r="K257" s="40"/>
      <c r="L257" s="45">
        <v>13.04</v>
      </c>
      <c r="M257" s="46">
        <v>62.774000000000001</v>
      </c>
      <c r="N257" s="40">
        <f t="shared" si="18"/>
        <v>-1.8237587549780901E-2</v>
      </c>
      <c r="O257" s="40">
        <f t="shared" si="19"/>
        <v>4.9345751245707323E-3</v>
      </c>
      <c r="P257" s="40">
        <f t="shared" si="20"/>
        <v>4.9467701913070913E-3</v>
      </c>
      <c r="Q257" s="40"/>
      <c r="R257" s="40"/>
      <c r="S257">
        <v>45358</v>
      </c>
      <c r="T257">
        <v>5.28</v>
      </c>
      <c r="U257" s="40">
        <f t="shared" si="21"/>
        <v>0</v>
      </c>
      <c r="V257" s="40">
        <f t="shared" si="22"/>
        <v>5.28</v>
      </c>
      <c r="W257" s="40">
        <f t="shared" si="23"/>
        <v>0</v>
      </c>
    </row>
    <row r="258" spans="1:23" x14ac:dyDescent="0.2">
      <c r="A258" s="41">
        <v>41183</v>
      </c>
      <c r="B258" s="40">
        <v>17.48</v>
      </c>
      <c r="C258" s="40">
        <v>17.48</v>
      </c>
      <c r="D258" s="40">
        <v>17.48</v>
      </c>
      <c r="E258" s="40">
        <v>17.48</v>
      </c>
      <c r="G258" s="36">
        <v>45320</v>
      </c>
      <c r="H258" s="40">
        <v>13.28</v>
      </c>
      <c r="I258" s="40">
        <v>62.465000000000003</v>
      </c>
      <c r="J258" s="44"/>
      <c r="K258" s="40"/>
      <c r="L258" s="45">
        <v>13.28</v>
      </c>
      <c r="M258" s="46">
        <v>62.465000000000003</v>
      </c>
      <c r="N258" s="40">
        <f t="shared" si="18"/>
        <v>-9.1331849569213877E-2</v>
      </c>
      <c r="O258" s="40">
        <f t="shared" si="19"/>
        <v>2.3224468077390762E-2</v>
      </c>
      <c r="P258" s="40">
        <f t="shared" si="20"/>
        <v>2.3496256001048724E-2</v>
      </c>
      <c r="Q258" s="40"/>
      <c r="R258" s="40"/>
      <c r="S258">
        <v>45357</v>
      </c>
      <c r="T258">
        <v>5.28</v>
      </c>
      <c r="U258" s="40">
        <f t="shared" si="21"/>
        <v>0</v>
      </c>
      <c r="V258" s="40">
        <f t="shared" si="22"/>
        <v>5.28</v>
      </c>
      <c r="W258" s="40">
        <f t="shared" si="23"/>
        <v>0</v>
      </c>
    </row>
    <row r="259" spans="1:23" x14ac:dyDescent="0.2">
      <c r="A259" s="41">
        <v>41214</v>
      </c>
      <c r="B259" s="40">
        <v>17.12</v>
      </c>
      <c r="C259" s="40">
        <v>17.12</v>
      </c>
      <c r="D259" s="40">
        <v>17.12</v>
      </c>
      <c r="E259" s="40">
        <v>17.12</v>
      </c>
      <c r="G259" s="36">
        <v>45317</v>
      </c>
      <c r="H259" s="40">
        <v>14.55</v>
      </c>
      <c r="I259" s="40">
        <v>61.030999999999999</v>
      </c>
      <c r="J259" s="44"/>
      <c r="K259" s="40"/>
      <c r="L259" s="45">
        <v>14.55</v>
      </c>
      <c r="M259" s="46">
        <v>61.030999999999999</v>
      </c>
      <c r="N259" s="40">
        <f t="shared" ref="N259:N322" si="24">LN(L259/L260)</f>
        <v>5.8736371319762393E-2</v>
      </c>
      <c r="O259" s="40">
        <f t="shared" ref="O259:O322" si="25">LN(M259/M260)</f>
        <v>-9.5558746852194947E-3</v>
      </c>
      <c r="P259" s="40">
        <f t="shared" ref="P259:P322" si="26">(M259-M260)/M260</f>
        <v>-9.5103623999869928E-3</v>
      </c>
      <c r="Q259" s="40"/>
      <c r="R259" s="40"/>
      <c r="S259">
        <v>45356</v>
      </c>
      <c r="T259">
        <v>5.28</v>
      </c>
      <c r="U259" s="40">
        <f t="shared" ref="U259:U322" si="27">LN(T259/T260)</f>
        <v>1.8957351648991973E-3</v>
      </c>
      <c r="V259" s="40">
        <f t="shared" ref="V259:V322" si="28">IF(T259=0, 0.001,T259)</f>
        <v>5.28</v>
      </c>
      <c r="W259" s="40">
        <f t="shared" ref="W259:W322" si="29">LN(V259/V260)</f>
        <v>1.8957351648991973E-3</v>
      </c>
    </row>
    <row r="260" spans="1:23" x14ac:dyDescent="0.2">
      <c r="A260" s="41">
        <v>41244</v>
      </c>
      <c r="B260" s="40">
        <v>16.649999999999999</v>
      </c>
      <c r="C260" s="40">
        <v>16.649999999999999</v>
      </c>
      <c r="D260" s="40">
        <v>16.649999999999999</v>
      </c>
      <c r="E260" s="40">
        <v>16.649999999999999</v>
      </c>
      <c r="G260" s="36">
        <v>45316</v>
      </c>
      <c r="H260" s="40">
        <v>13.72</v>
      </c>
      <c r="I260" s="40">
        <v>61.616999999999997</v>
      </c>
      <c r="J260" s="44"/>
      <c r="K260" s="40"/>
      <c r="L260" s="45">
        <v>13.72</v>
      </c>
      <c r="M260" s="46">
        <v>61.616999999999997</v>
      </c>
      <c r="N260" s="40">
        <f t="shared" si="24"/>
        <v>-1.6624885969635423E-2</v>
      </c>
      <c r="O260" s="40">
        <f t="shared" si="25"/>
        <v>4.1470554396906695E-3</v>
      </c>
      <c r="P260" s="40">
        <f t="shared" si="26"/>
        <v>4.1556663733254362E-3</v>
      </c>
      <c r="Q260" s="40"/>
      <c r="R260" s="40"/>
      <c r="S260">
        <v>45355</v>
      </c>
      <c r="T260">
        <v>5.27</v>
      </c>
      <c r="U260" s="40">
        <f t="shared" si="27"/>
        <v>0</v>
      </c>
      <c r="V260" s="40">
        <f t="shared" si="28"/>
        <v>5.27</v>
      </c>
      <c r="W260" s="40">
        <f t="shared" si="29"/>
        <v>0</v>
      </c>
    </row>
    <row r="261" spans="1:23" x14ac:dyDescent="0.2">
      <c r="A261" s="40" t="s">
        <v>905</v>
      </c>
      <c r="B261" s="40">
        <v>17.690000000000001</v>
      </c>
      <c r="C261" s="40">
        <v>17.690000000000001</v>
      </c>
      <c r="D261" s="40">
        <v>17.690000000000001</v>
      </c>
      <c r="E261" s="40">
        <v>17.690000000000001</v>
      </c>
      <c r="G261" s="36">
        <v>45315</v>
      </c>
      <c r="H261" s="40">
        <v>13.95</v>
      </c>
      <c r="I261" s="40">
        <v>61.362000000000002</v>
      </c>
      <c r="J261" s="44"/>
      <c r="K261" s="40"/>
      <c r="L261" s="45">
        <v>13.95</v>
      </c>
      <c r="M261" s="46">
        <v>61.362000000000002</v>
      </c>
      <c r="N261" s="40">
        <f t="shared" si="24"/>
        <v>6.5159980631244008E-2</v>
      </c>
      <c r="O261" s="40">
        <f t="shared" si="25"/>
        <v>2.4565098801497365E-2</v>
      </c>
      <c r="P261" s="40">
        <f t="shared" si="26"/>
        <v>2.4869306699180003E-2</v>
      </c>
      <c r="Q261" s="40"/>
      <c r="R261" s="40"/>
      <c r="S261">
        <v>45352</v>
      </c>
      <c r="T261">
        <v>5.27</v>
      </c>
      <c r="U261" s="40">
        <f t="shared" si="27"/>
        <v>0.1469031295904118</v>
      </c>
      <c r="V261" s="40">
        <f t="shared" si="28"/>
        <v>5.27</v>
      </c>
      <c r="W261" s="40">
        <f t="shared" si="29"/>
        <v>0.1469031295904118</v>
      </c>
    </row>
    <row r="262" spans="1:23" x14ac:dyDescent="0.2">
      <c r="A262" s="40" t="s">
        <v>906</v>
      </c>
      <c r="B262" s="40">
        <v>22.07</v>
      </c>
      <c r="C262" s="40">
        <v>22.07</v>
      </c>
      <c r="D262" s="40">
        <v>22.07</v>
      </c>
      <c r="E262" s="40">
        <v>22.07</v>
      </c>
      <c r="G262" s="36">
        <v>45314</v>
      </c>
      <c r="H262" s="40">
        <v>13.07</v>
      </c>
      <c r="I262" s="40">
        <v>59.872999999999998</v>
      </c>
      <c r="J262" s="44"/>
      <c r="K262" s="40"/>
      <c r="L262" s="45">
        <v>13.07</v>
      </c>
      <c r="M262" s="46">
        <v>59.872999999999998</v>
      </c>
      <c r="N262" s="40">
        <f t="shared" si="24"/>
        <v>-4.9991759158072725E-2</v>
      </c>
      <c r="O262" s="40">
        <f t="shared" si="25"/>
        <v>3.6644481173998471E-3</v>
      </c>
      <c r="P262" s="40">
        <f t="shared" si="26"/>
        <v>3.671170416065881E-3</v>
      </c>
      <c r="Q262" s="40"/>
      <c r="R262" s="40"/>
      <c r="S262">
        <v>45334</v>
      </c>
      <c r="T262">
        <v>4.55</v>
      </c>
      <c r="U262" s="40">
        <f t="shared" si="27"/>
        <v>-3.8797969540982656E-2</v>
      </c>
      <c r="V262" s="40">
        <f t="shared" si="28"/>
        <v>4.55</v>
      </c>
      <c r="W262" s="40">
        <f t="shared" si="29"/>
        <v>-3.8797969540982656E-2</v>
      </c>
    </row>
    <row r="263" spans="1:23" x14ac:dyDescent="0.2">
      <c r="A263" s="40" t="s">
        <v>907</v>
      </c>
      <c r="B263" s="40">
        <v>20.67</v>
      </c>
      <c r="C263" s="40">
        <v>20.67</v>
      </c>
      <c r="D263" s="40">
        <v>20.67</v>
      </c>
      <c r="E263" s="40">
        <v>20.67</v>
      </c>
      <c r="G263" s="36">
        <v>45313</v>
      </c>
      <c r="H263" s="40">
        <v>13.74</v>
      </c>
      <c r="I263" s="40">
        <v>59.654000000000003</v>
      </c>
      <c r="J263" s="44"/>
      <c r="K263" s="40"/>
      <c r="L263" s="45">
        <v>13.74</v>
      </c>
      <c r="M263" s="46">
        <v>59.654000000000003</v>
      </c>
      <c r="N263" s="40">
        <f t="shared" si="24"/>
        <v>1.171316466365317E-2</v>
      </c>
      <c r="O263" s="40">
        <f t="shared" si="25"/>
        <v>2.7361635266750142E-3</v>
      </c>
      <c r="P263" s="40">
        <f t="shared" si="26"/>
        <v>2.7399102385235381E-3</v>
      </c>
      <c r="Q263" s="40"/>
      <c r="R263" s="40"/>
      <c r="S263">
        <v>45332</v>
      </c>
      <c r="T263">
        <v>4.7300000000000004</v>
      </c>
      <c r="U263" s="40">
        <f t="shared" si="27"/>
        <v>-0.10810516004942919</v>
      </c>
      <c r="V263" s="40">
        <f t="shared" si="28"/>
        <v>4.7300000000000004</v>
      </c>
      <c r="W263" s="40">
        <f t="shared" si="29"/>
        <v>-0.10810516004942919</v>
      </c>
    </row>
    <row r="264" spans="1:23" x14ac:dyDescent="0.2">
      <c r="A264" s="40" t="s">
        <v>908</v>
      </c>
      <c r="B264" s="40">
        <v>17.41</v>
      </c>
      <c r="C264" s="40">
        <v>17.41</v>
      </c>
      <c r="D264" s="40">
        <v>17.41</v>
      </c>
      <c r="E264" s="40">
        <v>17.41</v>
      </c>
      <c r="G264" s="36">
        <v>45310</v>
      </c>
      <c r="H264" s="40">
        <v>13.58</v>
      </c>
      <c r="I264" s="40">
        <v>59.491</v>
      </c>
      <c r="J264" s="44"/>
      <c r="K264" s="40"/>
      <c r="L264" s="45">
        <v>13.58</v>
      </c>
      <c r="M264" s="46">
        <v>59.491</v>
      </c>
      <c r="N264" s="40">
        <f t="shared" si="24"/>
        <v>8.3669797993063733E-2</v>
      </c>
      <c r="O264" s="40">
        <f t="shared" si="25"/>
        <v>4.0898339514214455E-2</v>
      </c>
      <c r="P264" s="40">
        <f t="shared" si="26"/>
        <v>4.1746195737825495E-2</v>
      </c>
      <c r="Q264" s="40"/>
      <c r="R264" s="40"/>
      <c r="S264">
        <v>45330</v>
      </c>
      <c r="T264">
        <v>5.27</v>
      </c>
      <c r="U264" s="40">
        <f t="shared" si="27"/>
        <v>-1.895735164899312E-3</v>
      </c>
      <c r="V264" s="40">
        <f t="shared" si="28"/>
        <v>5.27</v>
      </c>
      <c r="W264" s="40">
        <f t="shared" si="29"/>
        <v>-1.895735164899312E-3</v>
      </c>
    </row>
    <row r="265" spans="1:23" x14ac:dyDescent="0.2">
      <c r="A265" s="40" t="s">
        <v>909</v>
      </c>
      <c r="B265" s="40">
        <v>16.12</v>
      </c>
      <c r="C265" s="40">
        <v>16.12</v>
      </c>
      <c r="D265" s="40">
        <v>16.12</v>
      </c>
      <c r="E265" s="40">
        <v>16.12</v>
      </c>
      <c r="G265" s="36">
        <v>45309</v>
      </c>
      <c r="H265" s="40">
        <v>12.49</v>
      </c>
      <c r="I265" s="40">
        <v>57.106999999999999</v>
      </c>
      <c r="J265" s="44"/>
      <c r="K265" s="40"/>
      <c r="L265" s="45">
        <v>12.49</v>
      </c>
      <c r="M265" s="46">
        <v>57.106999999999999</v>
      </c>
      <c r="N265" s="40">
        <f t="shared" si="24"/>
        <v>-5.377220493687479E-2</v>
      </c>
      <c r="O265" s="40">
        <f t="shared" si="25"/>
        <v>1.8629029366706761E-2</v>
      </c>
      <c r="P265" s="40">
        <f t="shared" si="26"/>
        <v>1.8803632276595404E-2</v>
      </c>
      <c r="Q265" s="40"/>
      <c r="R265" s="40"/>
      <c r="S265">
        <v>45329</v>
      </c>
      <c r="T265">
        <v>5.28</v>
      </c>
      <c r="U265" s="40">
        <f t="shared" si="27"/>
        <v>1.8957351648991973E-3</v>
      </c>
      <c r="V265" s="40">
        <f t="shared" si="28"/>
        <v>5.28</v>
      </c>
      <c r="W265" s="40">
        <f t="shared" si="29"/>
        <v>1.8957351648991973E-3</v>
      </c>
    </row>
    <row r="266" spans="1:23" x14ac:dyDescent="0.2">
      <c r="A266" s="40" t="s">
        <v>910</v>
      </c>
      <c r="B266" s="40">
        <v>18.12</v>
      </c>
      <c r="C266" s="40">
        <v>18.12</v>
      </c>
      <c r="D266" s="40">
        <v>18.12</v>
      </c>
      <c r="E266" s="40">
        <v>18.12</v>
      </c>
      <c r="G266" s="36">
        <v>45308</v>
      </c>
      <c r="H266" s="40">
        <v>13.18</v>
      </c>
      <c r="I266" s="40">
        <v>56.052999999999997</v>
      </c>
      <c r="J266" s="44"/>
      <c r="K266" s="40"/>
      <c r="L266" s="45">
        <v>13.18</v>
      </c>
      <c r="M266" s="46">
        <v>56.052999999999997</v>
      </c>
      <c r="N266" s="40">
        <f t="shared" si="24"/>
        <v>0.10890751709640907</v>
      </c>
      <c r="O266" s="40">
        <f t="shared" si="25"/>
        <v>-5.8522869035454146E-3</v>
      </c>
      <c r="P266" s="40">
        <f t="shared" si="26"/>
        <v>-5.8351956298109435E-3</v>
      </c>
      <c r="Q266" s="40"/>
      <c r="R266" s="40"/>
      <c r="S266">
        <v>45327</v>
      </c>
      <c r="T266">
        <v>5.27</v>
      </c>
      <c r="U266" s="40">
        <f t="shared" si="27"/>
        <v>-3.7878833169370917E-3</v>
      </c>
      <c r="V266" s="40">
        <f t="shared" si="28"/>
        <v>5.27</v>
      </c>
      <c r="W266" s="40">
        <f t="shared" si="29"/>
        <v>-3.7878833169370917E-3</v>
      </c>
    </row>
    <row r="267" spans="1:23" x14ac:dyDescent="0.2">
      <c r="A267" s="40" t="s">
        <v>911</v>
      </c>
      <c r="B267" s="40">
        <v>18.079999999999998</v>
      </c>
      <c r="C267" s="40">
        <v>18.079999999999998</v>
      </c>
      <c r="D267" s="40">
        <v>18.079999999999998</v>
      </c>
      <c r="E267" s="40">
        <v>18.079999999999998</v>
      </c>
      <c r="G267" s="36">
        <v>45307</v>
      </c>
      <c r="H267" s="40">
        <v>11.82</v>
      </c>
      <c r="I267" s="40">
        <v>56.381999999999998</v>
      </c>
      <c r="J267" s="44"/>
      <c r="K267" s="40"/>
      <c r="L267" s="45">
        <v>11.82</v>
      </c>
      <c r="M267" s="46">
        <v>56.381999999999998</v>
      </c>
      <c r="N267" s="40">
        <f t="shared" si="24"/>
        <v>-6.8654404738078004E-2</v>
      </c>
      <c r="O267" s="40">
        <f t="shared" si="25"/>
        <v>3.0103450553248329E-2</v>
      </c>
      <c r="P267" s="40">
        <f t="shared" si="26"/>
        <v>3.0561140559312687E-2</v>
      </c>
      <c r="Q267" s="40"/>
      <c r="R267" s="40"/>
      <c r="S267">
        <v>45326</v>
      </c>
      <c r="T267">
        <v>5.29</v>
      </c>
      <c r="U267" s="40">
        <f t="shared" si="27"/>
        <v>1.8921481520379623E-3</v>
      </c>
      <c r="V267" s="40">
        <f t="shared" si="28"/>
        <v>5.29</v>
      </c>
      <c r="W267" s="40">
        <f t="shared" si="29"/>
        <v>1.8921481520379623E-3</v>
      </c>
    </row>
    <row r="268" spans="1:23" x14ac:dyDescent="0.2">
      <c r="A268" s="40" t="s">
        <v>912</v>
      </c>
      <c r="B268" s="40">
        <v>17.36</v>
      </c>
      <c r="C268" s="40">
        <v>17.36</v>
      </c>
      <c r="D268" s="40">
        <v>17.36</v>
      </c>
      <c r="E268" s="40">
        <v>17.36</v>
      </c>
      <c r="G268" s="36">
        <v>45303</v>
      </c>
      <c r="H268" s="40">
        <v>12.66</v>
      </c>
      <c r="I268" s="40">
        <v>54.71</v>
      </c>
      <c r="J268" s="44"/>
      <c r="K268" s="40"/>
      <c r="L268" s="45">
        <v>12.66</v>
      </c>
      <c r="M268" s="46">
        <v>54.71</v>
      </c>
      <c r="N268" s="40">
        <f t="shared" si="24"/>
        <v>-5.0819248396213004E-2</v>
      </c>
      <c r="O268" s="40">
        <f t="shared" si="25"/>
        <v>-2.0450651688040068E-3</v>
      </c>
      <c r="P268" s="40">
        <f t="shared" si="26"/>
        <v>-2.0429754478129558E-3</v>
      </c>
      <c r="Q268" s="40"/>
      <c r="R268" s="40"/>
      <c r="S268">
        <v>45324</v>
      </c>
      <c r="T268">
        <v>5.28</v>
      </c>
      <c r="U268" s="40">
        <f t="shared" si="27"/>
        <v>0</v>
      </c>
      <c r="V268" s="40">
        <f t="shared" si="28"/>
        <v>5.28</v>
      </c>
      <c r="W268" s="40">
        <f t="shared" si="29"/>
        <v>0</v>
      </c>
    </row>
    <row r="269" spans="1:23" x14ac:dyDescent="0.2">
      <c r="A269" s="40" t="s">
        <v>913</v>
      </c>
      <c r="B269" s="40">
        <v>16.399999999999999</v>
      </c>
      <c r="C269" s="40">
        <v>16.399999999999999</v>
      </c>
      <c r="D269" s="40">
        <v>16.399999999999999</v>
      </c>
      <c r="E269" s="40">
        <v>16.399999999999999</v>
      </c>
      <c r="G269" s="36">
        <v>45302</v>
      </c>
      <c r="H269" s="40">
        <v>13.32</v>
      </c>
      <c r="I269" s="40">
        <v>54.822000000000003</v>
      </c>
      <c r="J269" s="44"/>
      <c r="K269" s="40"/>
      <c r="L269" s="45">
        <v>13.32</v>
      </c>
      <c r="M269" s="46">
        <v>54.822000000000003</v>
      </c>
      <c r="N269" s="40">
        <f t="shared" si="24"/>
        <v>5.2400276393531772E-2</v>
      </c>
      <c r="O269" s="40">
        <f t="shared" si="25"/>
        <v>8.6469596773201644E-3</v>
      </c>
      <c r="P269" s="40">
        <f t="shared" si="26"/>
        <v>8.6844526218951487E-3</v>
      </c>
      <c r="Q269" s="40"/>
      <c r="R269" s="40"/>
      <c r="S269">
        <v>45323</v>
      </c>
      <c r="T269">
        <v>5.28</v>
      </c>
      <c r="U269" s="40">
        <f t="shared" si="27"/>
        <v>0.14441289281205666</v>
      </c>
      <c r="V269" s="40">
        <f t="shared" si="28"/>
        <v>5.28</v>
      </c>
      <c r="W269" s="40">
        <f t="shared" si="29"/>
        <v>0.14441289281205666</v>
      </c>
    </row>
    <row r="270" spans="1:23" x14ac:dyDescent="0.2">
      <c r="A270" s="40" t="s">
        <v>914</v>
      </c>
      <c r="B270" s="40">
        <v>16.63</v>
      </c>
      <c r="C270" s="40">
        <v>16.63</v>
      </c>
      <c r="D270" s="40">
        <v>16.63</v>
      </c>
      <c r="E270" s="40">
        <v>16.63</v>
      </c>
      <c r="G270" s="36">
        <v>45301</v>
      </c>
      <c r="H270" s="40">
        <v>12.64</v>
      </c>
      <c r="I270" s="40">
        <v>54.35</v>
      </c>
      <c r="J270" s="44"/>
      <c r="K270" s="40"/>
      <c r="L270" s="45">
        <v>12.64</v>
      </c>
      <c r="M270" s="46">
        <v>54.35</v>
      </c>
      <c r="N270" s="40">
        <f t="shared" si="24"/>
        <v>0.18358818140914762</v>
      </c>
      <c r="O270" s="40">
        <f t="shared" si="25"/>
        <v>2.2514673235551053E-2</v>
      </c>
      <c r="P270" s="40">
        <f t="shared" si="26"/>
        <v>2.277004140007529E-2</v>
      </c>
      <c r="Q270" s="40"/>
      <c r="R270" s="40"/>
      <c r="S270">
        <v>45302</v>
      </c>
      <c r="T270">
        <v>4.57</v>
      </c>
      <c r="U270" s="40">
        <f t="shared" si="27"/>
        <v>-4.0734463337215157E-2</v>
      </c>
      <c r="V270" s="40">
        <f t="shared" si="28"/>
        <v>4.57</v>
      </c>
      <c r="W270" s="40">
        <f t="shared" si="29"/>
        <v>-4.0734463337215157E-2</v>
      </c>
    </row>
    <row r="271" spans="1:23" x14ac:dyDescent="0.2">
      <c r="A271" s="40" t="s">
        <v>915</v>
      </c>
      <c r="B271" s="40">
        <v>18.47</v>
      </c>
      <c r="C271" s="40">
        <v>18.47</v>
      </c>
      <c r="D271" s="40">
        <v>18.47</v>
      </c>
      <c r="E271" s="40">
        <v>18.47</v>
      </c>
      <c r="G271" s="36">
        <v>45300</v>
      </c>
      <c r="H271" s="40">
        <v>10.52</v>
      </c>
      <c r="I271" s="40">
        <v>53.14</v>
      </c>
      <c r="J271" s="44"/>
      <c r="K271" s="40"/>
      <c r="L271" s="45">
        <v>10.52</v>
      </c>
      <c r="M271" s="46">
        <v>53.14</v>
      </c>
      <c r="N271" s="40">
        <f t="shared" si="24"/>
        <v>-2.1627547264108097E-2</v>
      </c>
      <c r="O271" s="40">
        <f t="shared" si="25"/>
        <v>1.6832634867055305E-2</v>
      </c>
      <c r="P271" s="40">
        <f t="shared" si="26"/>
        <v>1.6975101908024429E-2</v>
      </c>
      <c r="Q271" s="40"/>
      <c r="R271" s="40"/>
      <c r="S271">
        <v>45301</v>
      </c>
      <c r="T271">
        <v>4.76</v>
      </c>
      <c r="U271" s="40">
        <f t="shared" si="27"/>
        <v>-0.10367842947484161</v>
      </c>
      <c r="V271" s="40">
        <f t="shared" si="28"/>
        <v>4.76</v>
      </c>
      <c r="W271" s="40">
        <f t="shared" si="29"/>
        <v>-0.10367842947484161</v>
      </c>
    </row>
    <row r="272" spans="1:23" x14ac:dyDescent="0.2">
      <c r="A272" s="40" t="s">
        <v>916</v>
      </c>
      <c r="B272" s="40">
        <v>18.440000000000001</v>
      </c>
      <c r="C272" s="40">
        <v>18.440000000000001</v>
      </c>
      <c r="D272" s="40">
        <v>18.440000000000001</v>
      </c>
      <c r="E272" s="40">
        <v>18.440000000000001</v>
      </c>
      <c r="G272" s="36">
        <v>45299</v>
      </c>
      <c r="H272" s="40">
        <v>10.75</v>
      </c>
      <c r="I272" s="40">
        <v>52.253</v>
      </c>
      <c r="J272" s="44"/>
      <c r="K272" s="40"/>
      <c r="L272" s="45">
        <v>10.75</v>
      </c>
      <c r="M272" s="46">
        <v>52.253</v>
      </c>
      <c r="N272" s="40">
        <f t="shared" si="24"/>
        <v>-3.1138046788603834E-2</v>
      </c>
      <c r="O272" s="40">
        <f t="shared" si="25"/>
        <v>6.2299372327139918E-2</v>
      </c>
      <c r="P272" s="40">
        <f t="shared" si="26"/>
        <v>6.428091329409126E-2</v>
      </c>
      <c r="Q272" s="40"/>
      <c r="R272" s="40"/>
      <c r="S272">
        <v>45299</v>
      </c>
      <c r="T272">
        <v>5.28</v>
      </c>
      <c r="U272" s="40">
        <f t="shared" si="27"/>
        <v>0</v>
      </c>
      <c r="V272" s="40">
        <f t="shared" si="28"/>
        <v>5.28</v>
      </c>
      <c r="W272" s="40">
        <f t="shared" si="29"/>
        <v>0</v>
      </c>
    </row>
    <row r="273" spans="1:23" x14ac:dyDescent="0.2">
      <c r="A273" s="41">
        <v>40910</v>
      </c>
      <c r="B273" s="40">
        <v>16.87</v>
      </c>
      <c r="C273" s="40">
        <v>16.87</v>
      </c>
      <c r="D273" s="40">
        <v>16.87</v>
      </c>
      <c r="E273" s="40">
        <v>16.87</v>
      </c>
      <c r="G273" s="36">
        <v>45296</v>
      </c>
      <c r="H273" s="40">
        <v>11.09</v>
      </c>
      <c r="I273" s="40">
        <v>49.097000000000001</v>
      </c>
      <c r="J273" s="44"/>
      <c r="K273" s="40"/>
      <c r="L273" s="45">
        <v>11.09</v>
      </c>
      <c r="M273" s="46">
        <v>49.097000000000001</v>
      </c>
      <c r="N273" s="40">
        <f t="shared" si="24"/>
        <v>-2.3173942565135948E-2</v>
      </c>
      <c r="O273" s="40">
        <f t="shared" si="25"/>
        <v>2.2638589764327754E-2</v>
      </c>
      <c r="P273" s="40">
        <f t="shared" si="26"/>
        <v>2.2896787366140335E-2</v>
      </c>
      <c r="Q273" s="40"/>
      <c r="R273" s="40"/>
      <c r="S273">
        <v>45298</v>
      </c>
      <c r="T273">
        <v>5.28</v>
      </c>
      <c r="U273" s="40">
        <f t="shared" si="27"/>
        <v>3.7950709685517555E-3</v>
      </c>
      <c r="V273" s="40">
        <f t="shared" si="28"/>
        <v>5.28</v>
      </c>
      <c r="W273" s="40">
        <f t="shared" si="29"/>
        <v>3.7950709685517555E-3</v>
      </c>
    </row>
    <row r="274" spans="1:23" x14ac:dyDescent="0.2">
      <c r="A274" s="41">
        <v>40941</v>
      </c>
      <c r="B274" s="40">
        <v>15.78</v>
      </c>
      <c r="C274" s="40">
        <v>15.78</v>
      </c>
      <c r="D274" s="40">
        <v>15.78</v>
      </c>
      <c r="E274" s="40">
        <v>15.78</v>
      </c>
      <c r="G274" s="36">
        <v>45295</v>
      </c>
      <c r="H274" s="40">
        <v>11.35</v>
      </c>
      <c r="I274" s="40">
        <v>47.997999999999998</v>
      </c>
      <c r="J274" s="44"/>
      <c r="K274" s="40"/>
      <c r="L274" s="45">
        <v>11.35</v>
      </c>
      <c r="M274" s="46">
        <v>47.997999999999998</v>
      </c>
      <c r="N274" s="40">
        <f t="shared" si="24"/>
        <v>-3.0371097876298759E-2</v>
      </c>
      <c r="O274" s="40">
        <f t="shared" si="25"/>
        <v>8.9780548022143636E-3</v>
      </c>
      <c r="P274" s="40">
        <f t="shared" si="26"/>
        <v>9.0184784208201755E-3</v>
      </c>
      <c r="Q274" s="40"/>
      <c r="R274" s="40"/>
      <c r="S274">
        <v>45296</v>
      </c>
      <c r="T274">
        <v>5.26</v>
      </c>
      <c r="U274" s="40">
        <f t="shared" si="27"/>
        <v>-5.687219120589576E-3</v>
      </c>
      <c r="V274" s="40">
        <f t="shared" si="28"/>
        <v>5.26</v>
      </c>
      <c r="W274" s="40">
        <f t="shared" si="29"/>
        <v>-5.687219120589576E-3</v>
      </c>
    </row>
    <row r="275" spans="1:23" x14ac:dyDescent="0.2">
      <c r="A275" s="41">
        <v>40970</v>
      </c>
      <c r="B275" s="40">
        <v>15.34</v>
      </c>
      <c r="C275" s="40">
        <v>15.34</v>
      </c>
      <c r="D275" s="40">
        <v>15.34</v>
      </c>
      <c r="E275" s="40">
        <v>15.34</v>
      </c>
      <c r="G275" s="36">
        <v>45294</v>
      </c>
      <c r="H275" s="40">
        <v>11.7</v>
      </c>
      <c r="I275" s="40">
        <v>47.569000000000003</v>
      </c>
      <c r="J275" s="44"/>
      <c r="K275" s="40"/>
      <c r="L275" s="45">
        <v>11.7</v>
      </c>
      <c r="M275" s="46">
        <v>47.569000000000003</v>
      </c>
      <c r="N275" s="40">
        <f t="shared" si="24"/>
        <v>-8.5433580591564261E-4</v>
      </c>
      <c r="O275" s="40">
        <f t="shared" si="25"/>
        <v>-1.2513611591216481E-2</v>
      </c>
      <c r="P275" s="40">
        <f t="shared" si="26"/>
        <v>-1.2435641919946783E-2</v>
      </c>
      <c r="Q275" s="40"/>
      <c r="R275" s="40"/>
      <c r="S275">
        <v>45295</v>
      </c>
      <c r="T275">
        <v>5.29</v>
      </c>
      <c r="U275" s="40">
        <f t="shared" si="27"/>
        <v>-1.8885746878681362E-3</v>
      </c>
      <c r="V275" s="40">
        <f t="shared" si="28"/>
        <v>5.29</v>
      </c>
      <c r="W275" s="40">
        <f t="shared" si="29"/>
        <v>-1.8885746878681362E-3</v>
      </c>
    </row>
    <row r="276" spans="1:23" x14ac:dyDescent="0.2">
      <c r="A276" s="41">
        <v>41062</v>
      </c>
      <c r="B276" s="40">
        <v>16.64</v>
      </c>
      <c r="C276" s="40">
        <v>16.64</v>
      </c>
      <c r="D276" s="40">
        <v>16.64</v>
      </c>
      <c r="E276" s="40">
        <v>16.64</v>
      </c>
      <c r="G276" s="36">
        <v>45293</v>
      </c>
      <c r="H276" s="40">
        <v>11.71</v>
      </c>
      <c r="I276" s="40">
        <v>48.167999999999999</v>
      </c>
      <c r="J276" s="44"/>
      <c r="K276" s="40"/>
      <c r="L276" s="45">
        <v>11.71</v>
      </c>
      <c r="M276" s="46">
        <v>48.167999999999999</v>
      </c>
      <c r="N276" s="40">
        <f t="shared" si="24"/>
        <v>-0.10911094623865905</v>
      </c>
      <c r="O276" s="40">
        <f t="shared" si="25"/>
        <v>-2.7722115120764373E-2</v>
      </c>
      <c r="P276" s="40">
        <f t="shared" si="26"/>
        <v>-2.734138362747868E-2</v>
      </c>
      <c r="Q276" s="40"/>
      <c r="R276" s="40"/>
      <c r="S276">
        <v>45294</v>
      </c>
      <c r="T276">
        <v>5.3</v>
      </c>
      <c r="U276" s="40">
        <f t="shared" si="27"/>
        <v>3.7807228399059311E-3</v>
      </c>
      <c r="V276" s="40">
        <f t="shared" si="28"/>
        <v>5.3</v>
      </c>
      <c r="W276" s="40">
        <f t="shared" si="29"/>
        <v>3.7807228399059311E-3</v>
      </c>
    </row>
    <row r="277" spans="1:23" x14ac:dyDescent="0.2">
      <c r="A277" s="41">
        <v>41092</v>
      </c>
      <c r="B277" s="40">
        <v>16.11</v>
      </c>
      <c r="C277" s="40">
        <v>16.11</v>
      </c>
      <c r="D277" s="40">
        <v>16.11</v>
      </c>
      <c r="E277" s="40">
        <v>16.11</v>
      </c>
      <c r="G277" s="36">
        <v>45289</v>
      </c>
      <c r="H277" s="40">
        <v>13.06</v>
      </c>
      <c r="I277" s="40">
        <v>49.521999999999998</v>
      </c>
      <c r="J277" s="44"/>
      <c r="K277" s="40"/>
      <c r="L277" s="45">
        <v>13.06</v>
      </c>
      <c r="M277" s="46">
        <v>49.521999999999998</v>
      </c>
      <c r="N277" s="40">
        <f t="shared" si="24"/>
        <v>-1.368842666057709E-2</v>
      </c>
      <c r="O277" s="40">
        <f t="shared" si="25"/>
        <v>0</v>
      </c>
      <c r="P277" s="40">
        <f t="shared" si="26"/>
        <v>0</v>
      </c>
      <c r="Q277" s="40"/>
      <c r="R277" s="40"/>
      <c r="S277">
        <v>45293</v>
      </c>
      <c r="T277">
        <v>5.28</v>
      </c>
      <c r="U277" s="40">
        <f t="shared" si="27"/>
        <v>-9.4251404595829969E-3</v>
      </c>
      <c r="V277" s="40">
        <f t="shared" si="28"/>
        <v>5.28</v>
      </c>
      <c r="W277" s="40">
        <f t="shared" si="29"/>
        <v>-9.4251404595829969E-3</v>
      </c>
    </row>
    <row r="278" spans="1:23" x14ac:dyDescent="0.2">
      <c r="A278" s="41">
        <v>41123</v>
      </c>
      <c r="B278" s="40">
        <v>16.329999999999998</v>
      </c>
      <c r="C278" s="40">
        <v>16.329999999999998</v>
      </c>
      <c r="D278" s="40">
        <v>16.329999999999998</v>
      </c>
      <c r="E278" s="40">
        <v>16.329999999999998</v>
      </c>
      <c r="G278" s="36">
        <v>45288</v>
      </c>
      <c r="H278" s="40">
        <v>13.24</v>
      </c>
      <c r="I278" s="40">
        <v>49.521999999999998</v>
      </c>
      <c r="J278" s="44"/>
      <c r="K278" s="40"/>
      <c r="L278" s="45">
        <v>13.24</v>
      </c>
      <c r="M278" s="46">
        <v>49.521999999999998</v>
      </c>
      <c r="N278" s="40">
        <f t="shared" si="24"/>
        <v>5.0339702452606286E-2</v>
      </c>
      <c r="O278" s="40">
        <f t="shared" si="25"/>
        <v>2.1225207333725521E-3</v>
      </c>
      <c r="P278" s="40">
        <f t="shared" si="26"/>
        <v>2.1247748750429381E-3</v>
      </c>
      <c r="Q278" s="40"/>
      <c r="R278" s="40"/>
      <c r="S278" t="s">
        <v>2730</v>
      </c>
      <c r="T278">
        <v>5.33</v>
      </c>
      <c r="U278" s="40">
        <f t="shared" si="27"/>
        <v>3.7594029239057455E-3</v>
      </c>
      <c r="V278" s="40">
        <f t="shared" si="28"/>
        <v>5.33</v>
      </c>
      <c r="W278" s="40">
        <f t="shared" si="29"/>
        <v>3.7594029239057455E-3</v>
      </c>
    </row>
    <row r="279" spans="1:23" x14ac:dyDescent="0.2">
      <c r="A279" s="41">
        <v>41154</v>
      </c>
      <c r="B279" s="40">
        <v>16.559999999999999</v>
      </c>
      <c r="C279" s="40">
        <v>16.559999999999999</v>
      </c>
      <c r="D279" s="40">
        <v>16.559999999999999</v>
      </c>
      <c r="E279" s="40">
        <v>16.559999999999999</v>
      </c>
      <c r="G279" s="36">
        <v>45287</v>
      </c>
      <c r="H279" s="40">
        <v>12.59</v>
      </c>
      <c r="I279" s="40">
        <v>49.417000000000002</v>
      </c>
      <c r="J279" s="44"/>
      <c r="K279" s="40"/>
      <c r="L279" s="45">
        <v>12.59</v>
      </c>
      <c r="M279" s="46">
        <v>49.417000000000002</v>
      </c>
      <c r="N279" s="40">
        <f t="shared" si="24"/>
        <v>0.16546678274259388</v>
      </c>
      <c r="O279" s="40">
        <f t="shared" si="25"/>
        <v>2.7964677379560938E-3</v>
      </c>
      <c r="P279" s="40">
        <f t="shared" si="26"/>
        <v>2.8003815012479579E-3</v>
      </c>
      <c r="Q279" s="40"/>
      <c r="R279" s="40"/>
      <c r="S279" t="s">
        <v>2729</v>
      </c>
      <c r="T279">
        <v>5.31</v>
      </c>
      <c r="U279" s="40">
        <f t="shared" si="27"/>
        <v>5.6657375356772999E-3</v>
      </c>
      <c r="V279" s="40">
        <f t="shared" si="28"/>
        <v>5.31</v>
      </c>
      <c r="W279" s="40">
        <f t="shared" si="29"/>
        <v>5.6657375356772999E-3</v>
      </c>
    </row>
    <row r="280" spans="1:23" x14ac:dyDescent="0.2">
      <c r="A280" s="41">
        <v>41184</v>
      </c>
      <c r="B280" s="40">
        <v>19.66</v>
      </c>
      <c r="C280" s="40">
        <v>19.66</v>
      </c>
      <c r="D280" s="40">
        <v>19.66</v>
      </c>
      <c r="E280" s="40">
        <v>19.66</v>
      </c>
      <c r="G280" s="36">
        <v>45286</v>
      </c>
      <c r="H280" s="40">
        <v>10.67</v>
      </c>
      <c r="I280" s="40">
        <v>49.279000000000003</v>
      </c>
      <c r="J280" s="44"/>
      <c r="K280" s="40"/>
      <c r="L280" s="45">
        <v>10.67</v>
      </c>
      <c r="M280" s="46">
        <v>49.279000000000003</v>
      </c>
      <c r="N280" s="40">
        <f t="shared" si="24"/>
        <v>-5.1152703436689817E-2</v>
      </c>
      <c r="O280" s="40">
        <f t="shared" si="25"/>
        <v>9.1531487380137472E-3</v>
      </c>
      <c r="P280" s="40">
        <f t="shared" si="26"/>
        <v>9.1951669055909315E-3</v>
      </c>
      <c r="Q280" s="40"/>
      <c r="R280" s="40"/>
      <c r="S280" t="s">
        <v>2728</v>
      </c>
      <c r="T280">
        <v>5.28</v>
      </c>
      <c r="U280" s="40">
        <f t="shared" si="27"/>
        <v>1.8957351648991973E-3</v>
      </c>
      <c r="V280" s="40">
        <f t="shared" si="28"/>
        <v>5.28</v>
      </c>
      <c r="W280" s="40">
        <f t="shared" si="29"/>
        <v>1.8957351648991973E-3</v>
      </c>
    </row>
    <row r="281" spans="1:23" x14ac:dyDescent="0.2">
      <c r="A281" s="40" t="s">
        <v>917</v>
      </c>
      <c r="B281" s="40">
        <v>18.45</v>
      </c>
      <c r="C281" s="40">
        <v>18.45</v>
      </c>
      <c r="D281" s="40">
        <v>18.45</v>
      </c>
      <c r="E281" s="40">
        <v>18.45</v>
      </c>
      <c r="G281" s="36">
        <v>45282</v>
      </c>
      <c r="H281" s="40">
        <v>11.23</v>
      </c>
      <c r="I281" s="40">
        <v>48.83</v>
      </c>
      <c r="J281" s="44"/>
      <c r="K281" s="40"/>
      <c r="L281" s="45">
        <v>11.23</v>
      </c>
      <c r="M281" s="46">
        <v>48.83</v>
      </c>
      <c r="N281" s="40">
        <f t="shared" si="24"/>
        <v>0</v>
      </c>
      <c r="O281" s="40">
        <f t="shared" si="25"/>
        <v>-3.2713175769146555E-3</v>
      </c>
      <c r="P281" s="40">
        <f t="shared" si="26"/>
        <v>-3.2659726474791526E-3</v>
      </c>
      <c r="Q281" s="40"/>
      <c r="R281" s="40"/>
      <c r="S281" t="s">
        <v>2727</v>
      </c>
      <c r="T281">
        <v>5.27</v>
      </c>
      <c r="U281" s="40">
        <f t="shared" si="27"/>
        <v>0</v>
      </c>
      <c r="V281" s="40">
        <f t="shared" si="28"/>
        <v>5.27</v>
      </c>
      <c r="W281" s="40">
        <f t="shared" si="29"/>
        <v>0</v>
      </c>
    </row>
    <row r="282" spans="1:23" x14ac:dyDescent="0.2">
      <c r="A282" s="40" t="s">
        <v>918</v>
      </c>
      <c r="B282" s="40">
        <v>19.23</v>
      </c>
      <c r="C282" s="40">
        <v>19.23</v>
      </c>
      <c r="D282" s="40">
        <v>19.23</v>
      </c>
      <c r="E282" s="40">
        <v>19.23</v>
      </c>
      <c r="G282" s="36">
        <v>45281</v>
      </c>
      <c r="H282" s="40">
        <v>11.23</v>
      </c>
      <c r="I282" s="40">
        <v>48.99</v>
      </c>
      <c r="J282" s="44"/>
      <c r="K282" s="40"/>
      <c r="L282" s="45">
        <v>11.23</v>
      </c>
      <c r="M282" s="46">
        <v>48.99</v>
      </c>
      <c r="N282" s="40">
        <f t="shared" si="24"/>
        <v>-0.10313185416036476</v>
      </c>
      <c r="O282" s="40">
        <f t="shared" si="25"/>
        <v>1.8105354455701973E-2</v>
      </c>
      <c r="P282" s="40">
        <f t="shared" si="26"/>
        <v>1.8270250046766953E-2</v>
      </c>
      <c r="Q282" s="40"/>
      <c r="R282" s="40"/>
      <c r="S282" t="s">
        <v>2726</v>
      </c>
      <c r="T282">
        <v>5.27</v>
      </c>
      <c r="U282" s="40">
        <f t="shared" si="27"/>
        <v>0</v>
      </c>
      <c r="V282" s="40">
        <f t="shared" si="28"/>
        <v>5.27</v>
      </c>
      <c r="W282" s="40">
        <f t="shared" si="29"/>
        <v>0</v>
      </c>
    </row>
    <row r="283" spans="1:23" x14ac:dyDescent="0.2">
      <c r="A283" s="40" t="s">
        <v>919</v>
      </c>
      <c r="B283" s="40">
        <v>21.26</v>
      </c>
      <c r="C283" s="40">
        <v>21.26</v>
      </c>
      <c r="D283" s="40">
        <v>21.26</v>
      </c>
      <c r="E283" s="40">
        <v>21.26</v>
      </c>
      <c r="G283" s="36">
        <v>45280</v>
      </c>
      <c r="H283" s="40">
        <v>12.45</v>
      </c>
      <c r="I283" s="40">
        <v>48.110999999999997</v>
      </c>
      <c r="J283" s="44"/>
      <c r="K283" s="40"/>
      <c r="L283" s="45">
        <v>12.45</v>
      </c>
      <c r="M283" s="46">
        <v>48.110999999999997</v>
      </c>
      <c r="N283" s="40">
        <f t="shared" si="24"/>
        <v>7.4169759666485022E-2</v>
      </c>
      <c r="O283" s="40">
        <f t="shared" si="25"/>
        <v>-3.0560634445744483E-2</v>
      </c>
      <c r="P283" s="40">
        <f t="shared" si="26"/>
        <v>-3.009837916297077E-2</v>
      </c>
      <c r="Q283" s="40"/>
      <c r="R283" s="40"/>
      <c r="S283" t="s">
        <v>2725</v>
      </c>
      <c r="T283">
        <v>5.27</v>
      </c>
      <c r="U283" s="40">
        <f t="shared" si="27"/>
        <v>5.7088642203199794E-3</v>
      </c>
      <c r="V283" s="40">
        <f t="shared" si="28"/>
        <v>5.27</v>
      </c>
      <c r="W283" s="40">
        <f t="shared" si="29"/>
        <v>5.7088642203199794E-3</v>
      </c>
    </row>
    <row r="284" spans="1:23" x14ac:dyDescent="0.2">
      <c r="A284" s="40" t="s">
        <v>920</v>
      </c>
      <c r="B284" s="40">
        <v>17.12</v>
      </c>
      <c r="C284" s="40">
        <v>17.12</v>
      </c>
      <c r="D284" s="40">
        <v>17.12</v>
      </c>
      <c r="E284" s="40">
        <v>17.12</v>
      </c>
      <c r="G284" s="36">
        <v>45279</v>
      </c>
      <c r="H284" s="40">
        <v>11.56</v>
      </c>
      <c r="I284" s="40">
        <v>49.603999999999999</v>
      </c>
      <c r="J284" s="44"/>
      <c r="K284" s="40"/>
      <c r="L284" s="45">
        <v>11.56</v>
      </c>
      <c r="M284" s="46">
        <v>49.603999999999999</v>
      </c>
      <c r="N284" s="40">
        <f t="shared" si="24"/>
        <v>-0.12582443453137701</v>
      </c>
      <c r="O284" s="40">
        <f t="shared" si="25"/>
        <v>-9.4903452036371096E-3</v>
      </c>
      <c r="P284" s="40">
        <f t="shared" si="26"/>
        <v>-9.4454540008386875E-3</v>
      </c>
      <c r="Q284" s="40"/>
      <c r="R284" s="40"/>
      <c r="S284" t="s">
        <v>2724</v>
      </c>
      <c r="T284">
        <v>5.24</v>
      </c>
      <c r="U284" s="40">
        <f t="shared" si="27"/>
        <v>0</v>
      </c>
      <c r="V284" s="40">
        <f t="shared" si="28"/>
        <v>5.24</v>
      </c>
      <c r="W284" s="40">
        <f t="shared" si="29"/>
        <v>0</v>
      </c>
    </row>
    <row r="285" spans="1:23" x14ac:dyDescent="0.2">
      <c r="A285" s="40" t="s">
        <v>921</v>
      </c>
      <c r="B285" s="40">
        <v>16.23</v>
      </c>
      <c r="C285" s="40">
        <v>16.23</v>
      </c>
      <c r="D285" s="40">
        <v>16.23</v>
      </c>
      <c r="E285" s="40">
        <v>16.23</v>
      </c>
      <c r="G285" s="36">
        <v>45278</v>
      </c>
      <c r="H285" s="40">
        <v>13.11</v>
      </c>
      <c r="I285" s="40">
        <v>50.076999999999998</v>
      </c>
      <c r="J285" s="44"/>
      <c r="K285" s="40"/>
      <c r="L285" s="45">
        <v>13.11</v>
      </c>
      <c r="M285" s="46">
        <v>50.076999999999998</v>
      </c>
      <c r="N285" s="40">
        <f t="shared" si="24"/>
        <v>-4.1828352960249796E-2</v>
      </c>
      <c r="O285" s="40">
        <f t="shared" si="25"/>
        <v>2.3988944253608712E-2</v>
      </c>
      <c r="P285" s="40">
        <f t="shared" si="26"/>
        <v>2.4278993659234967E-2</v>
      </c>
      <c r="Q285" s="40"/>
      <c r="R285" s="40"/>
      <c r="S285" t="s">
        <v>2723</v>
      </c>
      <c r="T285">
        <v>5.24</v>
      </c>
      <c r="U285" s="40">
        <f t="shared" si="27"/>
        <v>-1.9065782705815315E-3</v>
      </c>
      <c r="V285" s="40">
        <f t="shared" si="28"/>
        <v>5.24</v>
      </c>
      <c r="W285" s="40">
        <f t="shared" si="29"/>
        <v>-1.9065782705815315E-3</v>
      </c>
    </row>
    <row r="286" spans="1:23" x14ac:dyDescent="0.2">
      <c r="A286" s="40" t="s">
        <v>922</v>
      </c>
      <c r="B286" s="40">
        <v>17.440000000000001</v>
      </c>
      <c r="C286" s="40">
        <v>17.440000000000001</v>
      </c>
      <c r="D286" s="40">
        <v>17.440000000000001</v>
      </c>
      <c r="E286" s="40">
        <v>17.440000000000001</v>
      </c>
      <c r="G286" s="36">
        <v>45275</v>
      </c>
      <c r="H286" s="40">
        <v>13.67</v>
      </c>
      <c r="I286" s="40">
        <v>48.89</v>
      </c>
      <c r="J286" s="44"/>
      <c r="K286" s="40"/>
      <c r="L286" s="45">
        <v>13.67</v>
      </c>
      <c r="M286" s="46">
        <v>48.89</v>
      </c>
      <c r="N286" s="40">
        <f t="shared" si="24"/>
        <v>0.19483552208542898</v>
      </c>
      <c r="O286" s="40">
        <f t="shared" si="25"/>
        <v>1.1106654691250913E-2</v>
      </c>
      <c r="P286" s="40">
        <f t="shared" si="26"/>
        <v>1.1168562564632866E-2</v>
      </c>
      <c r="Q286" s="40"/>
      <c r="R286" s="40"/>
      <c r="S286" t="s">
        <v>2722</v>
      </c>
      <c r="T286">
        <v>5.25</v>
      </c>
      <c r="U286" s="40">
        <f t="shared" si="27"/>
        <v>-3.8022859497384592E-3</v>
      </c>
      <c r="V286" s="40">
        <f t="shared" si="28"/>
        <v>5.25</v>
      </c>
      <c r="W286" s="40">
        <f t="shared" si="29"/>
        <v>-3.8022859497384592E-3</v>
      </c>
    </row>
    <row r="287" spans="1:23" x14ac:dyDescent="0.2">
      <c r="A287" s="40" t="s">
        <v>923</v>
      </c>
      <c r="B287" s="40">
        <v>17.09</v>
      </c>
      <c r="C287" s="40">
        <v>17.09</v>
      </c>
      <c r="D287" s="40">
        <v>17.09</v>
      </c>
      <c r="E287" s="40">
        <v>17.09</v>
      </c>
      <c r="G287" s="36">
        <v>45274</v>
      </c>
      <c r="H287" s="40">
        <v>11.25</v>
      </c>
      <c r="I287" s="40">
        <v>48.35</v>
      </c>
      <c r="J287" s="44"/>
      <c r="K287" s="40"/>
      <c r="L287" s="45">
        <v>11.25</v>
      </c>
      <c r="M287" s="46">
        <v>48.35</v>
      </c>
      <c r="N287" s="40">
        <f t="shared" si="24"/>
        <v>-1.6747857301222652E-2</v>
      </c>
      <c r="O287" s="40">
        <f t="shared" si="25"/>
        <v>5.4335561624425004E-3</v>
      </c>
      <c r="P287" s="40">
        <f t="shared" si="26"/>
        <v>5.448344701380811E-3</v>
      </c>
      <c r="Q287" s="40"/>
      <c r="R287" s="40"/>
      <c r="S287" t="s">
        <v>2721</v>
      </c>
      <c r="T287">
        <v>5.27</v>
      </c>
      <c r="U287" s="40">
        <f t="shared" si="27"/>
        <v>-1.895735164899312E-3</v>
      </c>
      <c r="V287" s="40">
        <f t="shared" si="28"/>
        <v>5.27</v>
      </c>
      <c r="W287" s="40">
        <f t="shared" si="29"/>
        <v>-1.895735164899312E-3</v>
      </c>
    </row>
    <row r="288" spans="1:23" x14ac:dyDescent="0.2">
      <c r="A288" s="40" t="s">
        <v>924</v>
      </c>
      <c r="B288" s="40">
        <v>14.83</v>
      </c>
      <c r="C288" s="40">
        <v>14.83</v>
      </c>
      <c r="D288" s="40">
        <v>14.83</v>
      </c>
      <c r="E288" s="40">
        <v>14.83</v>
      </c>
      <c r="G288" s="36">
        <v>45273</v>
      </c>
      <c r="H288" s="40">
        <v>11.44</v>
      </c>
      <c r="I288" s="40">
        <v>48.088000000000001</v>
      </c>
      <c r="J288" s="44"/>
      <c r="K288" s="40"/>
      <c r="L288" s="45">
        <v>11.44</v>
      </c>
      <c r="M288" s="46">
        <v>48.088000000000001</v>
      </c>
      <c r="N288" s="40">
        <f t="shared" si="24"/>
        <v>5.110928481853369E-2</v>
      </c>
      <c r="O288" s="40">
        <f t="shared" si="25"/>
        <v>9.0031419139939145E-3</v>
      </c>
      <c r="P288" s="40">
        <f t="shared" si="26"/>
        <v>9.0437920976982299E-3</v>
      </c>
      <c r="Q288" s="40"/>
      <c r="R288" s="40"/>
      <c r="S288" t="s">
        <v>2720</v>
      </c>
      <c r="T288">
        <v>5.28</v>
      </c>
      <c r="U288" s="40">
        <f t="shared" si="27"/>
        <v>3.7950709685517555E-3</v>
      </c>
      <c r="V288" s="40">
        <f t="shared" si="28"/>
        <v>5.28</v>
      </c>
      <c r="W288" s="40">
        <f t="shared" si="29"/>
        <v>3.7950709685517555E-3</v>
      </c>
    </row>
    <row r="289" spans="1:23" x14ac:dyDescent="0.2">
      <c r="A289" s="40" t="s">
        <v>925</v>
      </c>
      <c r="B289" s="40">
        <v>15.09</v>
      </c>
      <c r="C289" s="40">
        <v>15.09</v>
      </c>
      <c r="D289" s="40">
        <v>15.09</v>
      </c>
      <c r="E289" s="40">
        <v>15.09</v>
      </c>
      <c r="G289" s="36">
        <v>45272</v>
      </c>
      <c r="H289" s="40">
        <v>10.87</v>
      </c>
      <c r="I289" s="40">
        <v>47.656999999999996</v>
      </c>
      <c r="J289" s="44"/>
      <c r="K289" s="40"/>
      <c r="L289" s="45">
        <v>10.87</v>
      </c>
      <c r="M289" s="46">
        <v>47.656999999999996</v>
      </c>
      <c r="N289" s="40">
        <f t="shared" si="24"/>
        <v>-0.12277922244482539</v>
      </c>
      <c r="O289" s="40">
        <f t="shared" si="25"/>
        <v>2.1849751336511191E-2</v>
      </c>
      <c r="P289" s="40">
        <f t="shared" si="26"/>
        <v>2.2090205245887447E-2</v>
      </c>
      <c r="Q289" s="40"/>
      <c r="R289" s="40"/>
      <c r="S289" t="s">
        <v>2719</v>
      </c>
      <c r="T289">
        <v>5.26</v>
      </c>
      <c r="U289" s="40">
        <f t="shared" si="27"/>
        <v>-1.8993358036524051E-3</v>
      </c>
      <c r="V289" s="40">
        <f t="shared" si="28"/>
        <v>5.26</v>
      </c>
      <c r="W289" s="40">
        <f t="shared" si="29"/>
        <v>-1.8993358036524051E-3</v>
      </c>
    </row>
    <row r="290" spans="1:23" x14ac:dyDescent="0.2">
      <c r="A290" s="40" t="s">
        <v>926</v>
      </c>
      <c r="B290" s="40">
        <v>16.940000000000001</v>
      </c>
      <c r="C290" s="40">
        <v>16.940000000000001</v>
      </c>
      <c r="D290" s="40">
        <v>16.940000000000001</v>
      </c>
      <c r="E290" s="40">
        <v>16.940000000000001</v>
      </c>
      <c r="G290" s="36">
        <v>45271</v>
      </c>
      <c r="H290" s="40">
        <v>12.29</v>
      </c>
      <c r="I290" s="40">
        <v>46.627000000000002</v>
      </c>
      <c r="J290" s="44"/>
      <c r="K290" s="40"/>
      <c r="L290" s="45">
        <v>12.29</v>
      </c>
      <c r="M290" s="46">
        <v>46.627000000000002</v>
      </c>
      <c r="N290" s="40">
        <f t="shared" si="24"/>
        <v>-1.1326981944676309E-2</v>
      </c>
      <c r="O290" s="40">
        <f t="shared" si="25"/>
        <v>-1.8676246366545853E-2</v>
      </c>
      <c r="P290" s="40">
        <f t="shared" si="26"/>
        <v>-1.8502925946196222E-2</v>
      </c>
      <c r="Q290" s="40"/>
      <c r="R290" s="40"/>
      <c r="S290" s="47">
        <v>45272</v>
      </c>
      <c r="T290">
        <v>5.27</v>
      </c>
      <c r="U290" s="40">
        <f t="shared" si="27"/>
        <v>-1.895735164899312E-3</v>
      </c>
      <c r="V290" s="40">
        <f t="shared" si="28"/>
        <v>5.27</v>
      </c>
      <c r="W290" s="40">
        <f t="shared" si="29"/>
        <v>-1.895735164899312E-3</v>
      </c>
    </row>
    <row r="291" spans="1:23" x14ac:dyDescent="0.2">
      <c r="A291" s="40" t="s">
        <v>927</v>
      </c>
      <c r="B291" s="40">
        <v>16.57</v>
      </c>
      <c r="C291" s="40">
        <v>16.57</v>
      </c>
      <c r="D291" s="40">
        <v>16.57</v>
      </c>
      <c r="E291" s="40">
        <v>16.57</v>
      </c>
      <c r="G291" s="36">
        <v>45268</v>
      </c>
      <c r="H291" s="40">
        <v>12.43</v>
      </c>
      <c r="I291" s="40">
        <v>47.506</v>
      </c>
      <c r="J291" s="44"/>
      <c r="K291" s="40"/>
      <c r="L291" s="45">
        <v>12.43</v>
      </c>
      <c r="M291" s="46">
        <v>47.506</v>
      </c>
      <c r="N291" s="40">
        <f t="shared" si="24"/>
        <v>6.5665463219327966E-2</v>
      </c>
      <c r="O291" s="40">
        <f t="shared" si="25"/>
        <v>1.9341318315371111E-2</v>
      </c>
      <c r="P291" s="40">
        <f t="shared" si="26"/>
        <v>1.9529573353936042E-2</v>
      </c>
      <c r="Q291" s="40"/>
      <c r="R291" s="40"/>
      <c r="S291" s="47">
        <v>45242</v>
      </c>
      <c r="T291">
        <v>5.28</v>
      </c>
      <c r="U291" s="40">
        <f t="shared" si="27"/>
        <v>0</v>
      </c>
      <c r="V291" s="40">
        <f t="shared" si="28"/>
        <v>5.28</v>
      </c>
      <c r="W291" s="40">
        <f t="shared" si="29"/>
        <v>0</v>
      </c>
    </row>
    <row r="292" spans="1:23" x14ac:dyDescent="0.2">
      <c r="A292" s="40" t="s">
        <v>928</v>
      </c>
      <c r="B292" s="40">
        <v>16.850000000000001</v>
      </c>
      <c r="C292" s="40">
        <v>16.850000000000001</v>
      </c>
      <c r="D292" s="40">
        <v>16.850000000000001</v>
      </c>
      <c r="E292" s="40">
        <v>16.850000000000001</v>
      </c>
      <c r="G292" s="36">
        <v>45267</v>
      </c>
      <c r="H292" s="40">
        <v>11.64</v>
      </c>
      <c r="I292" s="40">
        <v>46.595999999999997</v>
      </c>
      <c r="J292" s="44"/>
      <c r="K292" s="40"/>
      <c r="L292" s="45">
        <v>11.64</v>
      </c>
      <c r="M292" s="46">
        <v>46.595999999999997</v>
      </c>
      <c r="N292" s="40">
        <f t="shared" si="24"/>
        <v>-8.5578506705788024E-2</v>
      </c>
      <c r="O292" s="40">
        <f t="shared" si="25"/>
        <v>2.3736442688246644E-2</v>
      </c>
      <c r="P292" s="40">
        <f t="shared" si="26"/>
        <v>2.4020394259719059E-2</v>
      </c>
      <c r="Q292" s="40"/>
      <c r="R292" s="40"/>
      <c r="S292" s="47">
        <v>45150</v>
      </c>
      <c r="T292">
        <v>5.28</v>
      </c>
      <c r="U292" s="40">
        <f t="shared" si="27"/>
        <v>3.7950709685517555E-3</v>
      </c>
      <c r="V292" s="40">
        <f t="shared" si="28"/>
        <v>5.28</v>
      </c>
      <c r="W292" s="40">
        <f t="shared" si="29"/>
        <v>3.7950709685517555E-3</v>
      </c>
    </row>
    <row r="293" spans="1:23" x14ac:dyDescent="0.2">
      <c r="A293" s="41">
        <v>40911</v>
      </c>
      <c r="B293" s="40">
        <v>15.06</v>
      </c>
      <c r="C293" s="40">
        <v>15.06</v>
      </c>
      <c r="D293" s="40">
        <v>15.06</v>
      </c>
      <c r="E293" s="40">
        <v>15.06</v>
      </c>
      <c r="G293" s="36">
        <v>45266</v>
      </c>
      <c r="H293" s="40">
        <v>12.68</v>
      </c>
      <c r="I293" s="40">
        <v>45.503</v>
      </c>
      <c r="J293" s="44"/>
      <c r="K293" s="40"/>
      <c r="L293" s="45">
        <v>12.68</v>
      </c>
      <c r="M293" s="46">
        <v>45.503</v>
      </c>
      <c r="N293" s="40">
        <f t="shared" si="24"/>
        <v>3.7770660886466488E-2</v>
      </c>
      <c r="O293" s="40">
        <f t="shared" si="25"/>
        <v>-2.3092403250772966E-2</v>
      </c>
      <c r="P293" s="40">
        <f t="shared" si="26"/>
        <v>-2.2827814285100768E-2</v>
      </c>
      <c r="Q293" s="40"/>
      <c r="R293" s="40"/>
      <c r="S293" s="47">
        <v>45119</v>
      </c>
      <c r="T293">
        <v>5.26</v>
      </c>
      <c r="U293" s="40">
        <f t="shared" si="27"/>
        <v>-1.8993358036524051E-3</v>
      </c>
      <c r="V293" s="40">
        <f t="shared" si="28"/>
        <v>5.26</v>
      </c>
      <c r="W293" s="40">
        <f t="shared" si="29"/>
        <v>-1.8993358036524051E-3</v>
      </c>
    </row>
    <row r="294" spans="1:23" x14ac:dyDescent="0.2">
      <c r="A294" s="41">
        <v>40942</v>
      </c>
      <c r="B294" s="40">
        <v>14.44</v>
      </c>
      <c r="C294" s="40">
        <v>14.44</v>
      </c>
      <c r="D294" s="40">
        <v>14.44</v>
      </c>
      <c r="E294" s="40">
        <v>14.44</v>
      </c>
      <c r="G294" s="36">
        <v>45265</v>
      </c>
      <c r="H294" s="40">
        <v>12.21</v>
      </c>
      <c r="I294" s="40">
        <v>46.566000000000003</v>
      </c>
      <c r="J294" s="44"/>
      <c r="K294" s="40"/>
      <c r="L294" s="45">
        <v>12.21</v>
      </c>
      <c r="M294" s="46">
        <v>46.566000000000003</v>
      </c>
      <c r="N294" s="40">
        <f t="shared" si="24"/>
        <v>-0.11732793165726627</v>
      </c>
      <c r="O294" s="40">
        <f t="shared" si="25"/>
        <v>2.2938579071506243E-2</v>
      </c>
      <c r="P294" s="40">
        <f t="shared" si="26"/>
        <v>2.3203691496374523E-2</v>
      </c>
      <c r="Q294" s="40"/>
      <c r="R294" s="40"/>
      <c r="S294" s="47">
        <v>45089</v>
      </c>
      <c r="T294">
        <v>5.27</v>
      </c>
      <c r="U294" s="40">
        <f t="shared" si="27"/>
        <v>-1.895735164899312E-3</v>
      </c>
      <c r="V294" s="40">
        <f t="shared" si="28"/>
        <v>5.27</v>
      </c>
      <c r="W294" s="40">
        <f t="shared" si="29"/>
        <v>-1.895735164899312E-3</v>
      </c>
    </row>
    <row r="295" spans="1:23" x14ac:dyDescent="0.2">
      <c r="A295" s="41">
        <v>41032</v>
      </c>
      <c r="B295" s="40">
        <v>15.98</v>
      </c>
      <c r="C295" s="40">
        <v>15.98</v>
      </c>
      <c r="D295" s="40">
        <v>15.98</v>
      </c>
      <c r="E295" s="40">
        <v>15.98</v>
      </c>
      <c r="G295" s="36">
        <v>45264</v>
      </c>
      <c r="H295" s="40">
        <v>13.73</v>
      </c>
      <c r="I295" s="40">
        <v>45.51</v>
      </c>
      <c r="J295" s="44"/>
      <c r="K295" s="40"/>
      <c r="L295" s="45">
        <v>13.73</v>
      </c>
      <c r="M295" s="46">
        <v>45.51</v>
      </c>
      <c r="N295" s="40">
        <f t="shared" si="24"/>
        <v>4.3795690440215128E-3</v>
      </c>
      <c r="O295" s="40">
        <f t="shared" si="25"/>
        <v>-2.7202977857963793E-2</v>
      </c>
      <c r="P295" s="40">
        <f t="shared" si="26"/>
        <v>-2.6836309205602534E-2</v>
      </c>
      <c r="Q295" s="40"/>
      <c r="R295" s="40"/>
      <c r="S295" s="47">
        <v>45058</v>
      </c>
      <c r="T295">
        <v>5.28</v>
      </c>
      <c r="U295" s="40">
        <f t="shared" si="27"/>
        <v>-1.8921481520378152E-3</v>
      </c>
      <c r="V295" s="40">
        <f t="shared" si="28"/>
        <v>5.28</v>
      </c>
      <c r="W295" s="40">
        <f t="shared" si="29"/>
        <v>-1.8921481520378152E-3</v>
      </c>
    </row>
    <row r="296" spans="1:23" x14ac:dyDescent="0.2">
      <c r="A296" s="41">
        <v>41063</v>
      </c>
      <c r="B296" s="40">
        <v>20.100000000000001</v>
      </c>
      <c r="C296" s="40">
        <v>20.100000000000001</v>
      </c>
      <c r="D296" s="40">
        <v>20.100000000000001</v>
      </c>
      <c r="E296" s="40">
        <v>20.100000000000001</v>
      </c>
      <c r="G296" s="36">
        <v>45261</v>
      </c>
      <c r="H296" s="40">
        <v>13.67</v>
      </c>
      <c r="I296" s="40">
        <v>46.765000000000001</v>
      </c>
      <c r="J296" s="44"/>
      <c r="K296" s="40"/>
      <c r="L296" s="45">
        <v>13.67</v>
      </c>
      <c r="M296" s="46">
        <v>46.765000000000001</v>
      </c>
      <c r="N296" s="40">
        <f t="shared" si="24"/>
        <v>1.0294208553161656E-2</v>
      </c>
      <c r="O296" s="40">
        <f t="shared" si="25"/>
        <v>-1.06911851280596E-4</v>
      </c>
      <c r="P296" s="40">
        <f t="shared" si="26"/>
        <v>-1.0690613641228474E-4</v>
      </c>
      <c r="Q296" s="40"/>
      <c r="R296" s="40"/>
      <c r="S296" s="47">
        <v>45028</v>
      </c>
      <c r="T296">
        <v>5.29</v>
      </c>
      <c r="U296" s="40">
        <f t="shared" si="27"/>
        <v>0</v>
      </c>
      <c r="V296" s="40">
        <f t="shared" si="28"/>
        <v>5.29</v>
      </c>
      <c r="W296" s="40">
        <f t="shared" si="29"/>
        <v>0</v>
      </c>
    </row>
    <row r="297" spans="1:23" x14ac:dyDescent="0.2">
      <c r="A297" s="41">
        <v>41093</v>
      </c>
      <c r="B297" s="40">
        <v>17.37</v>
      </c>
      <c r="C297" s="40">
        <v>17.37</v>
      </c>
      <c r="D297" s="40">
        <v>17.37</v>
      </c>
      <c r="E297" s="40">
        <v>17.37</v>
      </c>
      <c r="G297" s="36">
        <v>45260</v>
      </c>
      <c r="H297" s="40">
        <v>13.53</v>
      </c>
      <c r="I297" s="40">
        <v>46.77</v>
      </c>
      <c r="J297" s="44"/>
      <c r="K297" s="40"/>
      <c r="L297" s="45">
        <v>13.53</v>
      </c>
      <c r="M297" s="46">
        <v>46.77</v>
      </c>
      <c r="N297" s="40">
        <f t="shared" si="24"/>
        <v>5.1871179661149066E-3</v>
      </c>
      <c r="O297" s="40">
        <f t="shared" si="25"/>
        <v>-2.8871460617131042E-2</v>
      </c>
      <c r="P297" s="40">
        <f t="shared" si="26"/>
        <v>-2.8458662235147432E-2</v>
      </c>
      <c r="Q297" s="40"/>
      <c r="R297" s="40"/>
      <c r="S297" s="47">
        <v>44938</v>
      </c>
      <c r="T297">
        <v>5.29</v>
      </c>
      <c r="U297" s="40">
        <f t="shared" si="27"/>
        <v>0</v>
      </c>
      <c r="V297" s="40">
        <f t="shared" si="28"/>
        <v>5.29</v>
      </c>
      <c r="W297" s="40">
        <f t="shared" si="29"/>
        <v>0</v>
      </c>
    </row>
    <row r="298" spans="1:23" x14ac:dyDescent="0.2">
      <c r="A298" s="41">
        <v>41124</v>
      </c>
      <c r="B298" s="40">
        <v>16.98</v>
      </c>
      <c r="C298" s="40">
        <v>16.98</v>
      </c>
      <c r="D298" s="40">
        <v>16.98</v>
      </c>
      <c r="E298" s="40">
        <v>16.98</v>
      </c>
      <c r="G298" s="36">
        <v>45259</v>
      </c>
      <c r="H298" s="40">
        <v>13.46</v>
      </c>
      <c r="I298" s="40">
        <v>48.14</v>
      </c>
      <c r="J298" s="44"/>
      <c r="K298" s="40"/>
      <c r="L298" s="45">
        <v>13.46</v>
      </c>
      <c r="M298" s="46">
        <v>48.14</v>
      </c>
      <c r="N298" s="40">
        <f t="shared" si="24"/>
        <v>0.11648373152927841</v>
      </c>
      <c r="O298" s="40">
        <f t="shared" si="25"/>
        <v>6.6485587909899911E-3</v>
      </c>
      <c r="P298" s="40">
        <f t="shared" si="26"/>
        <v>6.670709520921826E-3</v>
      </c>
      <c r="Q298" s="40"/>
      <c r="R298" s="40"/>
      <c r="S298" t="s">
        <v>2718</v>
      </c>
      <c r="T298">
        <v>5.29</v>
      </c>
      <c r="U298" s="40">
        <f t="shared" si="27"/>
        <v>0</v>
      </c>
      <c r="V298" s="40">
        <f t="shared" si="28"/>
        <v>5.29</v>
      </c>
      <c r="W298" s="40">
        <f t="shared" si="29"/>
        <v>0</v>
      </c>
    </row>
    <row r="299" spans="1:23" x14ac:dyDescent="0.2">
      <c r="A299" s="41">
        <v>41155</v>
      </c>
      <c r="B299" s="40">
        <v>15.3</v>
      </c>
      <c r="C299" s="40">
        <v>15.3</v>
      </c>
      <c r="D299" s="40">
        <v>15.3</v>
      </c>
      <c r="E299" s="40">
        <v>15.3</v>
      </c>
      <c r="G299" s="36">
        <v>45258</v>
      </c>
      <c r="H299" s="40">
        <v>11.98</v>
      </c>
      <c r="I299" s="40">
        <v>47.820999999999998</v>
      </c>
      <c r="J299" s="44"/>
      <c r="K299" s="40"/>
      <c r="L299" s="45">
        <v>11.98</v>
      </c>
      <c r="M299" s="46">
        <v>47.820999999999998</v>
      </c>
      <c r="N299" s="40">
        <f t="shared" si="24"/>
        <v>-2.6360669691068508E-2</v>
      </c>
      <c r="O299" s="40">
        <f t="shared" si="25"/>
        <v>-8.7651373653957632E-3</v>
      </c>
      <c r="P299" s="40">
        <f t="shared" si="26"/>
        <v>-8.7268355374984334E-3</v>
      </c>
      <c r="Q299" s="40"/>
      <c r="R299" s="40"/>
      <c r="S299" t="s">
        <v>2717</v>
      </c>
      <c r="T299">
        <v>5.29</v>
      </c>
      <c r="U299" s="40">
        <f t="shared" si="27"/>
        <v>-1.8885746878681362E-3</v>
      </c>
      <c r="V299" s="40">
        <f t="shared" si="28"/>
        <v>5.29</v>
      </c>
      <c r="W299" s="40">
        <f t="shared" si="29"/>
        <v>-1.8885746878681362E-3</v>
      </c>
    </row>
    <row r="300" spans="1:23" x14ac:dyDescent="0.2">
      <c r="A300" s="41">
        <v>41246</v>
      </c>
      <c r="B300" s="40">
        <v>15.54</v>
      </c>
      <c r="C300" s="40">
        <v>15.54</v>
      </c>
      <c r="D300" s="40">
        <v>15.54</v>
      </c>
      <c r="E300" s="40">
        <v>15.54</v>
      </c>
      <c r="G300" s="36">
        <v>45257</v>
      </c>
      <c r="H300" s="40">
        <v>12.3</v>
      </c>
      <c r="I300" s="40">
        <v>48.241999999999997</v>
      </c>
      <c r="J300" s="44"/>
      <c r="K300" s="40"/>
      <c r="L300" s="45">
        <v>12.3</v>
      </c>
      <c r="M300" s="46">
        <v>48.241999999999997</v>
      </c>
      <c r="N300" s="40">
        <f t="shared" si="24"/>
        <v>2.0534602441707735E-2</v>
      </c>
      <c r="O300" s="40">
        <f t="shared" si="25"/>
        <v>9.7065895725517454E-3</v>
      </c>
      <c r="P300" s="40">
        <f t="shared" si="26"/>
        <v>9.7538513060949836E-3</v>
      </c>
      <c r="Q300" s="40"/>
      <c r="R300" s="40"/>
      <c r="S300" t="s">
        <v>2716</v>
      </c>
      <c r="T300">
        <v>5.3</v>
      </c>
      <c r="U300" s="40">
        <f t="shared" si="27"/>
        <v>0</v>
      </c>
      <c r="V300" s="40">
        <f t="shared" si="28"/>
        <v>5.3</v>
      </c>
      <c r="W300" s="40">
        <f t="shared" si="29"/>
        <v>0</v>
      </c>
    </row>
    <row r="301" spans="1:23" x14ac:dyDescent="0.2">
      <c r="A301" s="40" t="s">
        <v>929</v>
      </c>
      <c r="B301" s="40">
        <v>16.350000000000001</v>
      </c>
      <c r="C301" s="40">
        <v>16.350000000000001</v>
      </c>
      <c r="D301" s="40">
        <v>16.350000000000001</v>
      </c>
      <c r="E301" s="40">
        <v>16.350000000000001</v>
      </c>
      <c r="G301" s="36">
        <v>45254</v>
      </c>
      <c r="H301" s="40">
        <v>12.05</v>
      </c>
      <c r="I301" s="40">
        <v>47.776000000000003</v>
      </c>
      <c r="J301" s="44"/>
      <c r="K301" s="40"/>
      <c r="L301" s="45">
        <v>12.05</v>
      </c>
      <c r="M301" s="46">
        <v>47.776000000000003</v>
      </c>
      <c r="N301" s="40">
        <f t="shared" si="24"/>
        <v>4.4980004668919008E-2</v>
      </c>
      <c r="O301" s="40">
        <f t="shared" si="25"/>
        <v>-1.948409686808409E-2</v>
      </c>
      <c r="P301" s="40">
        <f t="shared" si="26"/>
        <v>-1.9295508662451714E-2</v>
      </c>
      <c r="Q301" s="40"/>
      <c r="R301" s="40"/>
      <c r="S301" t="s">
        <v>2715</v>
      </c>
      <c r="T301">
        <v>5.3</v>
      </c>
      <c r="U301" s="40">
        <f t="shared" si="27"/>
        <v>-1.8850146957712238E-3</v>
      </c>
      <c r="V301" s="40">
        <f t="shared" si="28"/>
        <v>5.3</v>
      </c>
      <c r="W301" s="40">
        <f t="shared" si="29"/>
        <v>-1.8850146957712238E-3</v>
      </c>
    </row>
    <row r="302" spans="1:23" x14ac:dyDescent="0.2">
      <c r="A302" s="40" t="s">
        <v>930</v>
      </c>
      <c r="B302" s="40">
        <v>16.72</v>
      </c>
      <c r="C302" s="40">
        <v>16.72</v>
      </c>
      <c r="D302" s="40">
        <v>16.72</v>
      </c>
      <c r="E302" s="40">
        <v>16.72</v>
      </c>
      <c r="G302" s="36">
        <v>45252</v>
      </c>
      <c r="H302" s="40">
        <v>11.52</v>
      </c>
      <c r="I302" s="40">
        <v>48.716000000000001</v>
      </c>
      <c r="J302" s="44"/>
      <c r="K302" s="40"/>
      <c r="L302" s="45">
        <v>11.52</v>
      </c>
      <c r="M302" s="46">
        <v>48.716000000000001</v>
      </c>
      <c r="N302" s="40">
        <f t="shared" si="24"/>
        <v>2.1940327216060148E-2</v>
      </c>
      <c r="O302" s="40">
        <f t="shared" si="25"/>
        <v>-2.4894859534578921E-2</v>
      </c>
      <c r="P302" s="40">
        <f t="shared" si="26"/>
        <v>-2.458753804260775E-2</v>
      </c>
      <c r="Q302" s="40"/>
      <c r="R302" s="40"/>
      <c r="S302" t="s">
        <v>2714</v>
      </c>
      <c r="T302">
        <v>5.31</v>
      </c>
      <c r="U302" s="40">
        <f t="shared" si="27"/>
        <v>0</v>
      </c>
      <c r="V302" s="40">
        <f t="shared" si="28"/>
        <v>5.31</v>
      </c>
      <c r="W302" s="40">
        <f t="shared" si="29"/>
        <v>0</v>
      </c>
    </row>
    <row r="303" spans="1:23" x14ac:dyDescent="0.2">
      <c r="A303" s="40" t="s">
        <v>931</v>
      </c>
      <c r="B303" s="40">
        <v>14.29</v>
      </c>
      <c r="C303" s="40">
        <v>14.29</v>
      </c>
      <c r="D303" s="40">
        <v>14.29</v>
      </c>
      <c r="E303" s="40">
        <v>14.29</v>
      </c>
      <c r="G303" s="36">
        <v>45251</v>
      </c>
      <c r="H303" s="40">
        <v>11.27</v>
      </c>
      <c r="I303" s="40">
        <v>49.944000000000003</v>
      </c>
      <c r="J303" s="44"/>
      <c r="K303" s="40"/>
      <c r="L303" s="45">
        <v>11.27</v>
      </c>
      <c r="M303" s="46">
        <v>49.944000000000003</v>
      </c>
      <c r="N303" s="40">
        <f t="shared" si="24"/>
        <v>0.13670539389260972</v>
      </c>
      <c r="O303" s="40">
        <f t="shared" si="25"/>
        <v>-9.2673528044716173E-3</v>
      </c>
      <c r="P303" s="40">
        <f t="shared" si="26"/>
        <v>-9.2245432363267741E-3</v>
      </c>
      <c r="Q303" s="40"/>
      <c r="R303" s="40"/>
      <c r="S303" t="s">
        <v>2713</v>
      </c>
      <c r="T303">
        <v>5.31</v>
      </c>
      <c r="U303" s="40">
        <f t="shared" si="27"/>
        <v>5.6657375356772999E-3</v>
      </c>
      <c r="V303" s="40">
        <f t="shared" si="28"/>
        <v>5.31</v>
      </c>
      <c r="W303" s="40">
        <f t="shared" si="29"/>
        <v>5.6657375356772999E-3</v>
      </c>
    </row>
    <row r="304" spans="1:23" x14ac:dyDescent="0.2">
      <c r="A304" s="40" t="s">
        <v>932</v>
      </c>
      <c r="B304" s="40">
        <v>13.47</v>
      </c>
      <c r="C304" s="40">
        <v>13.47</v>
      </c>
      <c r="D304" s="40">
        <v>13.47</v>
      </c>
      <c r="E304" s="40">
        <v>13.47</v>
      </c>
      <c r="G304" s="36">
        <v>45250</v>
      </c>
      <c r="H304" s="40">
        <v>9.83</v>
      </c>
      <c r="I304" s="40">
        <v>50.408999999999999</v>
      </c>
      <c r="J304" s="44"/>
      <c r="K304" s="40"/>
      <c r="L304" s="45">
        <v>9.83</v>
      </c>
      <c r="M304" s="46">
        <v>50.408999999999999</v>
      </c>
      <c r="N304" s="40">
        <f t="shared" si="24"/>
        <v>-1.3138137437431734E-2</v>
      </c>
      <c r="O304" s="40">
        <f t="shared" si="25"/>
        <v>2.228621828949014E-2</v>
      </c>
      <c r="P304" s="40">
        <f t="shared" si="26"/>
        <v>2.2536411213436591E-2</v>
      </c>
      <c r="Q304" s="40"/>
      <c r="R304" s="40"/>
      <c r="S304" t="s">
        <v>2712</v>
      </c>
      <c r="T304">
        <v>5.28</v>
      </c>
      <c r="U304" s="40">
        <f t="shared" si="27"/>
        <v>-1.8921481520378152E-3</v>
      </c>
      <c r="V304" s="40">
        <f t="shared" si="28"/>
        <v>5.28</v>
      </c>
      <c r="W304" s="40">
        <f t="shared" si="29"/>
        <v>-1.8921481520378152E-3</v>
      </c>
    </row>
    <row r="305" spans="1:23" x14ac:dyDescent="0.2">
      <c r="A305" s="40" t="s">
        <v>933</v>
      </c>
      <c r="B305" s="40">
        <v>14.62</v>
      </c>
      <c r="C305" s="40">
        <v>14.62</v>
      </c>
      <c r="D305" s="40">
        <v>14.62</v>
      </c>
      <c r="E305" s="40">
        <v>14.62</v>
      </c>
      <c r="G305" s="36">
        <v>45247</v>
      </c>
      <c r="H305" s="40">
        <v>9.9600000000000009</v>
      </c>
      <c r="I305" s="40">
        <v>49.298000000000002</v>
      </c>
      <c r="J305" s="44"/>
      <c r="K305" s="40"/>
      <c r="L305" s="45">
        <v>9.9600000000000009</v>
      </c>
      <c r="M305" s="46">
        <v>49.298000000000002</v>
      </c>
      <c r="N305" s="40">
        <f t="shared" si="24"/>
        <v>-0.14115785954477247</v>
      </c>
      <c r="O305" s="40">
        <f t="shared" si="25"/>
        <v>-3.6850352498627031E-3</v>
      </c>
      <c r="P305" s="40">
        <f t="shared" si="26"/>
        <v>-3.6782538399352275E-3</v>
      </c>
      <c r="Q305" s="40"/>
      <c r="R305" s="40"/>
      <c r="S305" t="s">
        <v>2711</v>
      </c>
      <c r="T305">
        <v>5.29</v>
      </c>
      <c r="U305" s="40">
        <f t="shared" si="27"/>
        <v>0</v>
      </c>
      <c r="V305" s="40">
        <f t="shared" si="28"/>
        <v>5.29</v>
      </c>
      <c r="W305" s="40">
        <f t="shared" si="29"/>
        <v>0</v>
      </c>
    </row>
    <row r="306" spans="1:23" x14ac:dyDescent="0.2">
      <c r="A306" s="40" t="s">
        <v>934</v>
      </c>
      <c r="B306" s="40">
        <v>15.31</v>
      </c>
      <c r="C306" s="40">
        <v>15.31</v>
      </c>
      <c r="D306" s="40">
        <v>15.31</v>
      </c>
      <c r="E306" s="40">
        <v>15.31</v>
      </c>
      <c r="G306" s="36">
        <v>45246</v>
      </c>
      <c r="H306" s="40">
        <v>11.47</v>
      </c>
      <c r="I306" s="40">
        <v>49.48</v>
      </c>
      <c r="J306" s="44"/>
      <c r="K306" s="40"/>
      <c r="L306" s="45">
        <v>11.47</v>
      </c>
      <c r="M306" s="46">
        <v>49.48</v>
      </c>
      <c r="N306" s="40">
        <f t="shared" si="24"/>
        <v>2.9192696642141434E-2</v>
      </c>
      <c r="O306" s="40">
        <f t="shared" si="25"/>
        <v>1.2036579931672722E-2</v>
      </c>
      <c r="P306" s="40">
        <f t="shared" si="26"/>
        <v>1.2109311078383218E-2</v>
      </c>
      <c r="Q306" s="40"/>
      <c r="R306" s="40"/>
      <c r="S306" t="s">
        <v>2710</v>
      </c>
      <c r="T306">
        <v>5.29</v>
      </c>
      <c r="U306" s="40">
        <f t="shared" si="27"/>
        <v>0</v>
      </c>
      <c r="V306" s="40">
        <f t="shared" si="28"/>
        <v>5.29</v>
      </c>
      <c r="W306" s="40">
        <f t="shared" si="29"/>
        <v>0</v>
      </c>
    </row>
    <row r="307" spans="1:23" x14ac:dyDescent="0.2">
      <c r="A307" s="40" t="s">
        <v>935</v>
      </c>
      <c r="B307" s="40">
        <v>15.37</v>
      </c>
      <c r="C307" s="40">
        <v>15.37</v>
      </c>
      <c r="D307" s="40">
        <v>15.37</v>
      </c>
      <c r="E307" s="40">
        <v>15.37</v>
      </c>
      <c r="G307" s="36">
        <v>45245</v>
      </c>
      <c r="H307" s="40">
        <v>11.14</v>
      </c>
      <c r="I307" s="40">
        <v>48.887999999999998</v>
      </c>
      <c r="J307" s="44"/>
      <c r="K307" s="40"/>
      <c r="L307" s="45">
        <v>11.14</v>
      </c>
      <c r="M307" s="46">
        <v>48.887999999999998</v>
      </c>
      <c r="N307" s="40">
        <f t="shared" si="24"/>
        <v>4.3106169185476106E-2</v>
      </c>
      <c r="O307" s="40">
        <f t="shared" si="25"/>
        <v>-1.5587261518737279E-2</v>
      </c>
      <c r="P307" s="40">
        <f t="shared" si="26"/>
        <v>-1.5466408893185127E-2</v>
      </c>
      <c r="Q307" s="40"/>
      <c r="R307" s="40"/>
      <c r="S307" t="s">
        <v>2709</v>
      </c>
      <c r="T307">
        <v>5.29</v>
      </c>
      <c r="U307" s="40">
        <f t="shared" si="27"/>
        <v>1.8921481520379623E-3</v>
      </c>
      <c r="V307" s="40">
        <f t="shared" si="28"/>
        <v>5.29</v>
      </c>
      <c r="W307" s="40">
        <f t="shared" si="29"/>
        <v>1.8921481520379623E-3</v>
      </c>
    </row>
    <row r="308" spans="1:23" x14ac:dyDescent="0.2">
      <c r="A308" s="40" t="s">
        <v>936</v>
      </c>
      <c r="B308" s="40">
        <v>15.9</v>
      </c>
      <c r="C308" s="40">
        <v>15.9</v>
      </c>
      <c r="D308" s="40">
        <v>15.9</v>
      </c>
      <c r="E308" s="40">
        <v>15.9</v>
      </c>
      <c r="G308" s="36">
        <v>45244</v>
      </c>
      <c r="H308" s="40">
        <v>10.67</v>
      </c>
      <c r="I308" s="40">
        <v>49.655999999999999</v>
      </c>
      <c r="J308" s="44"/>
      <c r="K308" s="40"/>
      <c r="L308" s="45">
        <v>10.67</v>
      </c>
      <c r="M308" s="46">
        <v>49.655999999999999</v>
      </c>
      <c r="N308" s="40">
        <f t="shared" si="24"/>
        <v>-0.10151056489560899</v>
      </c>
      <c r="O308" s="40">
        <f t="shared" si="25"/>
        <v>2.108426022337442E-2</v>
      </c>
      <c r="P308" s="40">
        <f t="shared" si="26"/>
        <v>2.1308103661044867E-2</v>
      </c>
      <c r="Q308" s="40"/>
      <c r="R308" s="40"/>
      <c r="S308" t="s">
        <v>2708</v>
      </c>
      <c r="T308">
        <v>5.28</v>
      </c>
      <c r="U308" s="40">
        <f t="shared" si="27"/>
        <v>0</v>
      </c>
      <c r="V308" s="40">
        <f t="shared" si="28"/>
        <v>5.28</v>
      </c>
      <c r="W308" s="40">
        <f t="shared" si="29"/>
        <v>0</v>
      </c>
    </row>
    <row r="309" spans="1:23" x14ac:dyDescent="0.2">
      <c r="A309" s="40" t="s">
        <v>937</v>
      </c>
      <c r="B309" s="40">
        <v>14.33</v>
      </c>
      <c r="C309" s="40">
        <v>14.33</v>
      </c>
      <c r="D309" s="40">
        <v>14.33</v>
      </c>
      <c r="E309" s="40">
        <v>14.33</v>
      </c>
      <c r="G309" s="36">
        <v>45243</v>
      </c>
      <c r="H309" s="40">
        <v>11.81</v>
      </c>
      <c r="I309" s="40">
        <v>48.62</v>
      </c>
      <c r="J309" s="44"/>
      <c r="K309" s="40"/>
      <c r="L309" s="45">
        <v>11.81</v>
      </c>
      <c r="M309" s="46">
        <v>48.62</v>
      </c>
      <c r="N309" s="40">
        <f t="shared" si="24"/>
        <v>-6.7510804934195201E-3</v>
      </c>
      <c r="O309" s="40">
        <f t="shared" si="25"/>
        <v>5.8790329714084131E-3</v>
      </c>
      <c r="P309" s="40">
        <f t="shared" si="26"/>
        <v>5.8963484017791785E-3</v>
      </c>
      <c r="Q309" s="40"/>
      <c r="R309" s="40"/>
      <c r="S309" t="s">
        <v>2707</v>
      </c>
      <c r="T309">
        <v>5.28</v>
      </c>
      <c r="U309" s="40">
        <f t="shared" si="27"/>
        <v>-1.8921481520378152E-3</v>
      </c>
      <c r="V309" s="40">
        <f t="shared" si="28"/>
        <v>5.28</v>
      </c>
      <c r="W309" s="40">
        <f t="shared" si="29"/>
        <v>-1.8921481520378152E-3</v>
      </c>
    </row>
    <row r="310" spans="1:23" x14ac:dyDescent="0.2">
      <c r="A310" s="40" t="s">
        <v>938</v>
      </c>
      <c r="B310" s="40">
        <v>14.3</v>
      </c>
      <c r="C310" s="40">
        <v>14.3</v>
      </c>
      <c r="D310" s="40">
        <v>14.3</v>
      </c>
      <c r="E310" s="40">
        <v>14.3</v>
      </c>
      <c r="G310" s="36">
        <v>45240</v>
      </c>
      <c r="H310" s="40">
        <v>11.89</v>
      </c>
      <c r="I310" s="40">
        <v>48.335000000000001</v>
      </c>
      <c r="J310" s="44"/>
      <c r="K310" s="40"/>
      <c r="L310" s="45">
        <v>11.89</v>
      </c>
      <c r="M310" s="46">
        <v>48.335000000000001</v>
      </c>
      <c r="N310" s="40">
        <f t="shared" si="24"/>
        <v>-7.9201310905344727E-2</v>
      </c>
      <c r="O310" s="40">
        <f t="shared" si="25"/>
        <v>2.9072730262296842E-2</v>
      </c>
      <c r="P310" s="40">
        <f t="shared" si="26"/>
        <v>2.9499467518636805E-2</v>
      </c>
      <c r="Q310" s="40"/>
      <c r="R310" s="40"/>
      <c r="S310" t="s">
        <v>2706</v>
      </c>
      <c r="T310">
        <v>5.29</v>
      </c>
      <c r="U310" s="40">
        <f t="shared" si="27"/>
        <v>0</v>
      </c>
      <c r="V310" s="40">
        <f t="shared" si="28"/>
        <v>5.29</v>
      </c>
      <c r="W310" s="40">
        <f t="shared" si="29"/>
        <v>0</v>
      </c>
    </row>
    <row r="311" spans="1:23" x14ac:dyDescent="0.2">
      <c r="A311" s="40" t="s">
        <v>939</v>
      </c>
      <c r="B311" s="40">
        <v>15.43</v>
      </c>
      <c r="C311" s="40">
        <v>15.43</v>
      </c>
      <c r="D311" s="40">
        <v>15.43</v>
      </c>
      <c r="E311" s="40">
        <v>15.43</v>
      </c>
      <c r="G311" s="36">
        <v>45239</v>
      </c>
      <c r="H311" s="40">
        <v>12.87</v>
      </c>
      <c r="I311" s="40">
        <v>46.95</v>
      </c>
      <c r="J311" s="44"/>
      <c r="K311" s="40"/>
      <c r="L311" s="45">
        <v>12.87</v>
      </c>
      <c r="M311" s="46">
        <v>46.95</v>
      </c>
      <c r="N311" s="40">
        <f t="shared" si="24"/>
        <v>-6.9769570555123769E-2</v>
      </c>
      <c r="O311" s="40">
        <f t="shared" si="25"/>
        <v>8.0407601432280953E-3</v>
      </c>
      <c r="P311" s="40">
        <f t="shared" si="26"/>
        <v>8.07317387383529E-3</v>
      </c>
      <c r="Q311" s="40"/>
      <c r="R311" s="40"/>
      <c r="S311" s="47">
        <v>45210</v>
      </c>
      <c r="T311">
        <v>5.29</v>
      </c>
      <c r="U311" s="40">
        <f t="shared" si="27"/>
        <v>0</v>
      </c>
      <c r="V311" s="40">
        <f t="shared" si="28"/>
        <v>5.29</v>
      </c>
      <c r="W311" s="40">
        <f t="shared" si="29"/>
        <v>0</v>
      </c>
    </row>
    <row r="312" spans="1:23" x14ac:dyDescent="0.2">
      <c r="A312" s="40" t="s">
        <v>940</v>
      </c>
      <c r="B312" s="40">
        <v>14.93</v>
      </c>
      <c r="C312" s="40">
        <v>14.93</v>
      </c>
      <c r="D312" s="40">
        <v>14.93</v>
      </c>
      <c r="E312" s="40">
        <v>14.93</v>
      </c>
      <c r="G312" s="36">
        <v>45238</v>
      </c>
      <c r="H312" s="40">
        <v>13.8</v>
      </c>
      <c r="I312" s="40">
        <v>46.573999999999998</v>
      </c>
      <c r="J312" s="44"/>
      <c r="K312" s="40"/>
      <c r="L312" s="45">
        <v>13.8</v>
      </c>
      <c r="M312" s="46">
        <v>46.573999999999998</v>
      </c>
      <c r="N312" s="40">
        <f t="shared" si="24"/>
        <v>7.6787143213770295E-2</v>
      </c>
      <c r="O312" s="40">
        <f t="shared" si="25"/>
        <v>1.3379788700971128E-2</v>
      </c>
      <c r="P312" s="40">
        <f t="shared" si="26"/>
        <v>1.3469698618213465E-2</v>
      </c>
      <c r="Q312" s="40"/>
      <c r="R312" s="40"/>
      <c r="S312" s="47">
        <v>45180</v>
      </c>
      <c r="T312">
        <v>5.29</v>
      </c>
      <c r="U312" s="40">
        <f t="shared" si="27"/>
        <v>1.8921481520379623E-3</v>
      </c>
      <c r="V312" s="40">
        <f t="shared" si="28"/>
        <v>5.29</v>
      </c>
      <c r="W312" s="40">
        <f t="shared" si="29"/>
        <v>1.8921481520379623E-3</v>
      </c>
    </row>
    <row r="313" spans="1:23" x14ac:dyDescent="0.2">
      <c r="A313" s="40" t="s">
        <v>941</v>
      </c>
      <c r="B313" s="40">
        <v>14.55</v>
      </c>
      <c r="C313" s="40">
        <v>14.55</v>
      </c>
      <c r="D313" s="40">
        <v>14.55</v>
      </c>
      <c r="E313" s="40">
        <v>14.55</v>
      </c>
      <c r="G313" s="36">
        <v>45237</v>
      </c>
      <c r="H313" s="40">
        <v>12.78</v>
      </c>
      <c r="I313" s="40">
        <v>45.954999999999998</v>
      </c>
      <c r="J313" s="44"/>
      <c r="K313" s="40"/>
      <c r="L313" s="45">
        <v>12.78</v>
      </c>
      <c r="M313" s="46">
        <v>45.954999999999998</v>
      </c>
      <c r="N313" s="40">
        <f t="shared" si="24"/>
        <v>-0.13996604483530189</v>
      </c>
      <c r="O313" s="40">
        <f t="shared" si="25"/>
        <v>4.4490074039262011E-3</v>
      </c>
      <c r="P313" s="40">
        <f t="shared" si="26"/>
        <v>4.4589189307337679E-3</v>
      </c>
      <c r="Q313" s="40"/>
      <c r="R313" s="40"/>
      <c r="S313" s="47">
        <v>45149</v>
      </c>
      <c r="T313">
        <v>5.28</v>
      </c>
      <c r="U313" s="40">
        <f t="shared" si="27"/>
        <v>-1.8921481520378152E-3</v>
      </c>
      <c r="V313" s="40">
        <f t="shared" si="28"/>
        <v>5.28</v>
      </c>
      <c r="W313" s="40">
        <f t="shared" si="29"/>
        <v>-1.8921481520378152E-3</v>
      </c>
    </row>
    <row r="314" spans="1:23" x14ac:dyDescent="0.2">
      <c r="A314" s="40" t="s">
        <v>942</v>
      </c>
      <c r="B314" s="40">
        <v>14.2</v>
      </c>
      <c r="C314" s="40">
        <v>14.2</v>
      </c>
      <c r="D314" s="40">
        <v>14.2</v>
      </c>
      <c r="E314" s="40">
        <v>14.2</v>
      </c>
      <c r="G314" s="36">
        <v>45236</v>
      </c>
      <c r="H314" s="40">
        <v>14.7</v>
      </c>
      <c r="I314" s="40">
        <v>45.750999999999998</v>
      </c>
      <c r="J314" s="44"/>
      <c r="K314" s="40"/>
      <c r="L314" s="45">
        <v>14.7</v>
      </c>
      <c r="M314" s="46">
        <v>45.750999999999998</v>
      </c>
      <c r="N314" s="40">
        <f t="shared" si="24"/>
        <v>6.1007348108023766E-2</v>
      </c>
      <c r="O314" s="40">
        <f t="shared" si="25"/>
        <v>1.6440054697098038E-2</v>
      </c>
      <c r="P314" s="40">
        <f t="shared" si="26"/>
        <v>1.6575936007110211E-2</v>
      </c>
      <c r="Q314" s="40"/>
      <c r="R314" s="40"/>
      <c r="S314" s="47">
        <v>45118</v>
      </c>
      <c r="T314">
        <v>5.29</v>
      </c>
      <c r="U314" s="40">
        <f t="shared" si="27"/>
        <v>0</v>
      </c>
      <c r="V314" s="40">
        <f t="shared" si="28"/>
        <v>5.29</v>
      </c>
      <c r="W314" s="40">
        <f t="shared" si="29"/>
        <v>0</v>
      </c>
    </row>
    <row r="315" spans="1:23" x14ac:dyDescent="0.2">
      <c r="A315" s="41">
        <v>40943</v>
      </c>
      <c r="B315" s="40">
        <v>14.77</v>
      </c>
      <c r="C315" s="40">
        <v>14.77</v>
      </c>
      <c r="D315" s="40">
        <v>14.77</v>
      </c>
      <c r="E315" s="40">
        <v>14.77</v>
      </c>
      <c r="G315" s="36">
        <v>45233</v>
      </c>
      <c r="H315" s="40">
        <v>13.83</v>
      </c>
      <c r="I315" s="40">
        <v>45.005000000000003</v>
      </c>
      <c r="J315" s="44"/>
      <c r="K315" s="40"/>
      <c r="L315" s="45">
        <v>13.83</v>
      </c>
      <c r="M315" s="46">
        <v>45.005000000000003</v>
      </c>
      <c r="N315" s="40">
        <f t="shared" si="24"/>
        <v>-4.2469227109112662E-2</v>
      </c>
      <c r="O315" s="40">
        <f t="shared" si="25"/>
        <v>3.3874735091537878E-2</v>
      </c>
      <c r="P315" s="40">
        <f t="shared" si="26"/>
        <v>3.4455017698708276E-2</v>
      </c>
      <c r="Q315" s="40"/>
      <c r="R315" s="40"/>
      <c r="S315" s="47">
        <v>45088</v>
      </c>
      <c r="T315">
        <v>5.29</v>
      </c>
      <c r="U315" s="40">
        <f t="shared" si="27"/>
        <v>0</v>
      </c>
      <c r="V315" s="40">
        <f t="shared" si="28"/>
        <v>5.29</v>
      </c>
      <c r="W315" s="40">
        <f t="shared" si="29"/>
        <v>0</v>
      </c>
    </row>
    <row r="316" spans="1:23" x14ac:dyDescent="0.2">
      <c r="A316" s="41">
        <v>40972</v>
      </c>
      <c r="B316" s="40">
        <v>14.36</v>
      </c>
      <c r="C316" s="40">
        <v>14.36</v>
      </c>
      <c r="D316" s="40">
        <v>14.36</v>
      </c>
      <c r="E316" s="40">
        <v>14.36</v>
      </c>
      <c r="G316" s="36">
        <v>45232</v>
      </c>
      <c r="H316" s="40">
        <v>14.43</v>
      </c>
      <c r="I316" s="40">
        <v>43.506</v>
      </c>
      <c r="J316" s="44"/>
      <c r="K316" s="40"/>
      <c r="L316" s="45">
        <v>14.43</v>
      </c>
      <c r="M316" s="46">
        <v>43.506</v>
      </c>
      <c r="N316" s="40">
        <f t="shared" si="24"/>
        <v>-6.9061047964120471E-3</v>
      </c>
      <c r="O316" s="40">
        <f t="shared" si="25"/>
        <v>2.7520931598311517E-2</v>
      </c>
      <c r="P316" s="40">
        <f t="shared" si="26"/>
        <v>2.7903130537507318E-2</v>
      </c>
      <c r="Q316" s="40"/>
      <c r="R316" s="40"/>
      <c r="S316" s="47">
        <v>44996</v>
      </c>
      <c r="T316">
        <v>5.29</v>
      </c>
      <c r="U316" s="40">
        <f t="shared" si="27"/>
        <v>0</v>
      </c>
      <c r="V316" s="40">
        <f t="shared" si="28"/>
        <v>5.29</v>
      </c>
      <c r="W316" s="40">
        <f t="shared" si="29"/>
        <v>0</v>
      </c>
    </row>
    <row r="317" spans="1:23" x14ac:dyDescent="0.2">
      <c r="A317" s="41">
        <v>41003</v>
      </c>
      <c r="B317" s="40">
        <v>12.92</v>
      </c>
      <c r="C317" s="40">
        <v>12.92</v>
      </c>
      <c r="D317" s="40">
        <v>12.92</v>
      </c>
      <c r="E317" s="40">
        <v>12.92</v>
      </c>
      <c r="G317" s="36">
        <v>45231</v>
      </c>
      <c r="H317" s="40">
        <v>14.53</v>
      </c>
      <c r="I317" s="40">
        <v>42.325000000000003</v>
      </c>
      <c r="J317" s="44"/>
      <c r="K317" s="40"/>
      <c r="L317" s="45">
        <v>14.53</v>
      </c>
      <c r="M317" s="46">
        <v>42.325000000000003</v>
      </c>
      <c r="N317" s="40">
        <f t="shared" si="24"/>
        <v>5.8089984007968359E-2</v>
      </c>
      <c r="O317" s="40">
        <f t="shared" si="25"/>
        <v>3.7186162872889832E-2</v>
      </c>
      <c r="P317" s="40">
        <f t="shared" si="26"/>
        <v>3.7886218734673897E-2</v>
      </c>
      <c r="Q317" s="40"/>
      <c r="R317" s="40"/>
      <c r="S317" s="47">
        <v>44968</v>
      </c>
      <c r="T317">
        <v>5.29</v>
      </c>
      <c r="U317" s="40">
        <f t="shared" si="27"/>
        <v>0</v>
      </c>
      <c r="V317" s="40">
        <f t="shared" si="28"/>
        <v>5.29</v>
      </c>
      <c r="W317" s="40">
        <f t="shared" si="29"/>
        <v>0</v>
      </c>
    </row>
    <row r="318" spans="1:23" x14ac:dyDescent="0.2">
      <c r="A318" s="41">
        <v>41033</v>
      </c>
      <c r="B318" s="40">
        <v>14.7</v>
      </c>
      <c r="C318" s="40">
        <v>14.7</v>
      </c>
      <c r="D318" s="40">
        <v>14.7</v>
      </c>
      <c r="E318" s="40">
        <v>14.7</v>
      </c>
      <c r="G318" s="36">
        <v>45230</v>
      </c>
      <c r="H318" s="40">
        <v>13.71</v>
      </c>
      <c r="I318" s="40">
        <v>40.78</v>
      </c>
      <c r="J318" s="44"/>
      <c r="K318" s="40"/>
      <c r="L318" s="45">
        <v>13.71</v>
      </c>
      <c r="M318" s="46">
        <v>40.78</v>
      </c>
      <c r="N318" s="40">
        <f t="shared" si="24"/>
        <v>-0.10053488664000257</v>
      </c>
      <c r="O318" s="40">
        <f t="shared" si="25"/>
        <v>-9.2994409568691559E-3</v>
      </c>
      <c r="P318" s="40">
        <f t="shared" si="26"/>
        <v>-9.2563348801049591E-3</v>
      </c>
      <c r="Q318" s="40"/>
      <c r="R318" s="40"/>
      <c r="S318" s="47">
        <v>44937</v>
      </c>
      <c r="T318">
        <v>5.29</v>
      </c>
      <c r="U318" s="40">
        <f t="shared" si="27"/>
        <v>0</v>
      </c>
      <c r="V318" s="40">
        <f t="shared" si="28"/>
        <v>5.29</v>
      </c>
      <c r="W318" s="40">
        <f t="shared" si="29"/>
        <v>0</v>
      </c>
    </row>
    <row r="319" spans="1:23" x14ac:dyDescent="0.2">
      <c r="A319" s="41">
        <v>41156</v>
      </c>
      <c r="B319" s="40">
        <v>17.87</v>
      </c>
      <c r="C319" s="40">
        <v>17.87</v>
      </c>
      <c r="D319" s="40">
        <v>17.87</v>
      </c>
      <c r="E319" s="40">
        <v>17.87</v>
      </c>
      <c r="G319" s="36">
        <v>45229</v>
      </c>
      <c r="H319" s="40">
        <v>15.16</v>
      </c>
      <c r="I319" s="40">
        <v>41.161000000000001</v>
      </c>
      <c r="J319" s="44"/>
      <c r="K319" s="40"/>
      <c r="L319" s="45">
        <v>15.16</v>
      </c>
      <c r="M319" s="46">
        <v>41.161000000000001</v>
      </c>
      <c r="N319" s="40">
        <f t="shared" si="24"/>
        <v>-0.10687651634365143</v>
      </c>
      <c r="O319" s="40">
        <f t="shared" si="25"/>
        <v>1.6189231990684977E-2</v>
      </c>
      <c r="P319" s="40">
        <f t="shared" si="26"/>
        <v>1.6320987654321023E-2</v>
      </c>
      <c r="Q319" s="40"/>
      <c r="R319" s="40"/>
      <c r="S319" t="s">
        <v>2705</v>
      </c>
      <c r="T319">
        <v>5.29</v>
      </c>
      <c r="U319" s="40">
        <f t="shared" si="27"/>
        <v>0</v>
      </c>
      <c r="V319" s="40">
        <f t="shared" si="28"/>
        <v>5.29</v>
      </c>
      <c r="W319" s="40">
        <f t="shared" si="29"/>
        <v>0</v>
      </c>
    </row>
    <row r="320" spans="1:23" x14ac:dyDescent="0.2">
      <c r="A320" s="41">
        <v>41186</v>
      </c>
      <c r="B320" s="40">
        <v>19.84</v>
      </c>
      <c r="C320" s="40">
        <v>19.84</v>
      </c>
      <c r="D320" s="40">
        <v>19.84</v>
      </c>
      <c r="E320" s="40">
        <v>19.84</v>
      </c>
      <c r="G320" s="36">
        <v>45226</v>
      </c>
      <c r="H320" s="40">
        <v>16.87</v>
      </c>
      <c r="I320" s="40">
        <v>40.5</v>
      </c>
      <c r="J320" s="44"/>
      <c r="K320" s="40"/>
      <c r="L320" s="45">
        <v>16.87</v>
      </c>
      <c r="M320" s="46">
        <v>40.5</v>
      </c>
      <c r="N320" s="40">
        <f t="shared" si="24"/>
        <v>-0.11995416055936728</v>
      </c>
      <c r="O320" s="40">
        <f t="shared" si="25"/>
        <v>4.3055518966097278E-3</v>
      </c>
      <c r="P320" s="40">
        <f t="shared" si="26"/>
        <v>4.3148341020681318E-3</v>
      </c>
      <c r="Q320" s="40"/>
      <c r="R320" s="40"/>
      <c r="S320" t="s">
        <v>2704</v>
      </c>
      <c r="T320">
        <v>5.29</v>
      </c>
      <c r="U320" s="40">
        <f t="shared" si="27"/>
        <v>-1.8885746878681362E-3</v>
      </c>
      <c r="V320" s="40">
        <f t="shared" si="28"/>
        <v>5.29</v>
      </c>
      <c r="W320" s="40">
        <f t="shared" si="29"/>
        <v>-1.8885746878681362E-3</v>
      </c>
    </row>
    <row r="321" spans="1:23" x14ac:dyDescent="0.2">
      <c r="A321" s="41">
        <v>41217</v>
      </c>
      <c r="B321" s="40">
        <v>18.690000000000001</v>
      </c>
      <c r="C321" s="40">
        <v>18.690000000000001</v>
      </c>
      <c r="D321" s="40">
        <v>18.690000000000001</v>
      </c>
      <c r="E321" s="40">
        <v>18.690000000000001</v>
      </c>
      <c r="G321" s="36">
        <v>45225</v>
      </c>
      <c r="H321" s="40">
        <v>19.02</v>
      </c>
      <c r="I321" s="40">
        <v>40.326000000000001</v>
      </c>
      <c r="J321" s="44"/>
      <c r="K321" s="40"/>
      <c r="L321" s="45">
        <v>19.02</v>
      </c>
      <c r="M321" s="46">
        <v>40.326000000000001</v>
      </c>
      <c r="N321" s="40">
        <f t="shared" si="24"/>
        <v>-8.2224262289797415E-2</v>
      </c>
      <c r="O321" s="40">
        <f t="shared" si="25"/>
        <v>-3.5397398729011827E-2</v>
      </c>
      <c r="P321" s="40">
        <f t="shared" si="26"/>
        <v>-3.4778237870700661E-2</v>
      </c>
      <c r="Q321" s="40"/>
      <c r="R321" s="40"/>
      <c r="S321" t="s">
        <v>2703</v>
      </c>
      <c r="T321">
        <v>5.3</v>
      </c>
      <c r="U321" s="40">
        <f t="shared" si="27"/>
        <v>0</v>
      </c>
      <c r="V321" s="40">
        <f t="shared" si="28"/>
        <v>5.3</v>
      </c>
      <c r="W321" s="40">
        <f t="shared" si="29"/>
        <v>0</v>
      </c>
    </row>
    <row r="322" spans="1:23" x14ac:dyDescent="0.2">
      <c r="A322" s="41">
        <v>41247</v>
      </c>
      <c r="B322" s="40">
        <v>15.99</v>
      </c>
      <c r="C322" s="40">
        <v>15.99</v>
      </c>
      <c r="D322" s="40">
        <v>15.99</v>
      </c>
      <c r="E322" s="40">
        <v>15.99</v>
      </c>
      <c r="G322" s="36">
        <v>45224</v>
      </c>
      <c r="H322" s="40">
        <v>20.65</v>
      </c>
      <c r="I322" s="40">
        <v>41.779000000000003</v>
      </c>
      <c r="J322" s="44"/>
      <c r="K322" s="40"/>
      <c r="L322" s="45">
        <v>20.65</v>
      </c>
      <c r="M322" s="46">
        <v>41.779000000000003</v>
      </c>
      <c r="N322" s="40">
        <f t="shared" si="24"/>
        <v>-3.3804694684952327E-2</v>
      </c>
      <c r="O322" s="40">
        <f t="shared" si="25"/>
        <v>-4.4107240596864328E-2</v>
      </c>
      <c r="P322" s="40">
        <f t="shared" si="26"/>
        <v>-4.3148661337974792E-2</v>
      </c>
      <c r="Q322" s="40"/>
      <c r="R322" s="40"/>
      <c r="S322" t="s">
        <v>2702</v>
      </c>
      <c r="T322">
        <v>5.3</v>
      </c>
      <c r="U322" s="40">
        <f t="shared" si="27"/>
        <v>1.8885746878681546E-3</v>
      </c>
      <c r="V322" s="40">
        <f t="shared" si="28"/>
        <v>5.3</v>
      </c>
      <c r="W322" s="40">
        <f t="shared" si="29"/>
        <v>1.8885746878681546E-3</v>
      </c>
    </row>
    <row r="323" spans="1:23" x14ac:dyDescent="0.2">
      <c r="A323" s="40" t="s">
        <v>943</v>
      </c>
      <c r="B323" s="40">
        <v>19.07</v>
      </c>
      <c r="C323" s="40">
        <v>19.07</v>
      </c>
      <c r="D323" s="40">
        <v>19.07</v>
      </c>
      <c r="E323" s="40">
        <v>19.07</v>
      </c>
      <c r="G323" s="36">
        <v>45223</v>
      </c>
      <c r="H323" s="40">
        <v>21.36</v>
      </c>
      <c r="I323" s="40">
        <v>43.662999999999997</v>
      </c>
      <c r="J323" s="44"/>
      <c r="K323" s="40"/>
      <c r="L323" s="45">
        <v>21.36</v>
      </c>
      <c r="M323" s="46">
        <v>43.662999999999997</v>
      </c>
      <c r="N323" s="40">
        <f t="shared" ref="N323:N386" si="30">LN(L323/L324)</f>
        <v>2.6567027384721706E-2</v>
      </c>
      <c r="O323" s="40">
        <f t="shared" ref="O323:O386" si="31">LN(M323/M324)</f>
        <v>1.5882510272846897E-2</v>
      </c>
      <c r="P323" s="40">
        <f t="shared" ref="P323:P386" si="32">(M323-M324)/M324</f>
        <v>1.6009307737056319E-2</v>
      </c>
      <c r="Q323" s="40"/>
      <c r="R323" s="40"/>
      <c r="S323" t="s">
        <v>2701</v>
      </c>
      <c r="T323">
        <v>5.29</v>
      </c>
      <c r="U323" s="40">
        <f t="shared" ref="U323:U386" si="33">LN(T323/T324)</f>
        <v>-1.8885746878681362E-3</v>
      </c>
      <c r="V323" s="40">
        <f t="shared" ref="V323:V386" si="34">IF(T323=0, 0.001,T323)</f>
        <v>5.29</v>
      </c>
      <c r="W323" s="40">
        <f t="shared" ref="W323:W386" si="35">LN(V323/V324)</f>
        <v>-1.8885746878681362E-3</v>
      </c>
    </row>
    <row r="324" spans="1:23" x14ac:dyDescent="0.2">
      <c r="A324" s="40" t="s">
        <v>944</v>
      </c>
      <c r="B324" s="40">
        <v>20.13</v>
      </c>
      <c r="C324" s="40">
        <v>20.13</v>
      </c>
      <c r="D324" s="40">
        <v>20.13</v>
      </c>
      <c r="E324" s="40">
        <v>20.13</v>
      </c>
      <c r="G324" s="36">
        <v>45222</v>
      </c>
      <c r="H324" s="40">
        <v>20.8</v>
      </c>
      <c r="I324" s="40">
        <v>42.975000000000001</v>
      </c>
      <c r="J324" s="44"/>
      <c r="K324" s="40"/>
      <c r="L324" s="45">
        <v>20.8</v>
      </c>
      <c r="M324" s="46">
        <v>42.975000000000001</v>
      </c>
      <c r="N324" s="40">
        <f t="shared" si="30"/>
        <v>1.501602445646393E-2</v>
      </c>
      <c r="O324" s="40">
        <f t="shared" si="31"/>
        <v>3.7651729410837019E-2</v>
      </c>
      <c r="P324" s="40">
        <f t="shared" si="32"/>
        <v>3.8369536327832438E-2</v>
      </c>
      <c r="Q324" s="40"/>
      <c r="R324" s="40"/>
      <c r="S324" t="s">
        <v>2700</v>
      </c>
      <c r="T324">
        <v>5.3</v>
      </c>
      <c r="U324" s="40">
        <f t="shared" si="33"/>
        <v>-1.8850146957712238E-3</v>
      </c>
      <c r="V324" s="40">
        <f t="shared" si="34"/>
        <v>5.3</v>
      </c>
      <c r="W324" s="40">
        <f t="shared" si="35"/>
        <v>-1.8850146957712238E-3</v>
      </c>
    </row>
    <row r="325" spans="1:23" x14ac:dyDescent="0.2">
      <c r="A325" s="40" t="s">
        <v>945</v>
      </c>
      <c r="B325" s="40">
        <v>18.84</v>
      </c>
      <c r="C325" s="40">
        <v>18.84</v>
      </c>
      <c r="D325" s="40">
        <v>18.84</v>
      </c>
      <c r="E325" s="40">
        <v>18.84</v>
      </c>
      <c r="G325" s="36">
        <v>45219</v>
      </c>
      <c r="H325" s="40">
        <v>20.49</v>
      </c>
      <c r="I325" s="40">
        <v>41.387</v>
      </c>
      <c r="J325" s="44"/>
      <c r="K325" s="40"/>
      <c r="L325" s="45">
        <v>20.49</v>
      </c>
      <c r="M325" s="46">
        <v>41.387</v>
      </c>
      <c r="N325" s="40">
        <f t="shared" si="30"/>
        <v>5.9313865810385218E-2</v>
      </c>
      <c r="O325" s="40">
        <f t="shared" si="31"/>
        <v>-1.7104671517283555E-2</v>
      </c>
      <c r="P325" s="40">
        <f t="shared" si="32"/>
        <v>-1.6959217120733443E-2</v>
      </c>
      <c r="Q325" s="40"/>
      <c r="R325" s="40"/>
      <c r="S325" t="s">
        <v>2699</v>
      </c>
      <c r="T325">
        <v>5.31</v>
      </c>
      <c r="U325" s="40">
        <f t="shared" si="33"/>
        <v>3.7735893836392666E-3</v>
      </c>
      <c r="V325" s="40">
        <f t="shared" si="34"/>
        <v>5.31</v>
      </c>
      <c r="W325" s="40">
        <f t="shared" si="35"/>
        <v>3.7735893836392666E-3</v>
      </c>
    </row>
    <row r="326" spans="1:23" x14ac:dyDescent="0.2">
      <c r="A326" s="40" t="s">
        <v>946</v>
      </c>
      <c r="B326" s="40">
        <v>18.850000000000001</v>
      </c>
      <c r="C326" s="40">
        <v>18.850000000000001</v>
      </c>
      <c r="D326" s="40">
        <v>18.850000000000001</v>
      </c>
      <c r="E326" s="40">
        <v>18.850000000000001</v>
      </c>
      <c r="G326" s="36">
        <v>45218</v>
      </c>
      <c r="H326" s="40">
        <v>19.309999999999999</v>
      </c>
      <c r="I326" s="40">
        <v>42.100999999999999</v>
      </c>
      <c r="J326" s="44"/>
      <c r="K326" s="40"/>
      <c r="L326" s="45">
        <v>19.309999999999999</v>
      </c>
      <c r="M326" s="46">
        <v>42.100999999999999</v>
      </c>
      <c r="N326" s="40">
        <f t="shared" si="30"/>
        <v>-6.9027395317028672E-2</v>
      </c>
      <c r="O326" s="40">
        <f t="shared" si="31"/>
        <v>-2.2539364442027156E-3</v>
      </c>
      <c r="P326" s="40">
        <f t="shared" si="32"/>
        <v>-2.2513982367996697E-3</v>
      </c>
      <c r="Q326" s="40"/>
      <c r="R326" s="40"/>
      <c r="S326" t="s">
        <v>2698</v>
      </c>
      <c r="T326">
        <v>5.29</v>
      </c>
      <c r="U326" s="40">
        <f t="shared" si="33"/>
        <v>-3.7735893836393797E-3</v>
      </c>
      <c r="V326" s="40">
        <f t="shared" si="34"/>
        <v>5.29</v>
      </c>
      <c r="W326" s="40">
        <f t="shared" si="35"/>
        <v>-3.7735893836393797E-3</v>
      </c>
    </row>
    <row r="327" spans="1:23" x14ac:dyDescent="0.2">
      <c r="A327" s="40" t="s">
        <v>947</v>
      </c>
      <c r="B327" s="40">
        <v>18.09</v>
      </c>
      <c r="C327" s="40">
        <v>18.09</v>
      </c>
      <c r="D327" s="40">
        <v>18.09</v>
      </c>
      <c r="E327" s="40">
        <v>18.09</v>
      </c>
      <c r="G327" s="36">
        <v>45217</v>
      </c>
      <c r="H327" s="40">
        <v>20.69</v>
      </c>
      <c r="I327" s="40">
        <v>42.195999999999998</v>
      </c>
      <c r="J327" s="44"/>
      <c r="K327" s="40"/>
      <c r="L327" s="45">
        <v>20.69</v>
      </c>
      <c r="M327" s="46">
        <v>42.195999999999998</v>
      </c>
      <c r="N327" s="40">
        <f t="shared" si="30"/>
        <v>-3.3775665402362015E-3</v>
      </c>
      <c r="O327" s="40">
        <f t="shared" si="31"/>
        <v>-4.0454119487425527E-2</v>
      </c>
      <c r="P327" s="40">
        <f t="shared" si="32"/>
        <v>-3.9646775001138064E-2</v>
      </c>
      <c r="Q327" s="40"/>
      <c r="R327" s="40"/>
      <c r="S327" t="s">
        <v>2697</v>
      </c>
      <c r="T327">
        <v>5.31</v>
      </c>
      <c r="U327" s="40">
        <f t="shared" si="33"/>
        <v>1.8850146957712041E-3</v>
      </c>
      <c r="V327" s="40">
        <f t="shared" si="34"/>
        <v>5.31</v>
      </c>
      <c r="W327" s="40">
        <f t="shared" si="35"/>
        <v>1.8850146957712041E-3</v>
      </c>
    </row>
    <row r="328" spans="1:23" x14ac:dyDescent="0.2">
      <c r="A328" s="40" t="s">
        <v>948</v>
      </c>
      <c r="B328" s="40">
        <v>16.850000000000001</v>
      </c>
      <c r="C328" s="40">
        <v>16.850000000000001</v>
      </c>
      <c r="D328" s="40">
        <v>16.850000000000001</v>
      </c>
      <c r="E328" s="40">
        <v>16.850000000000001</v>
      </c>
      <c r="G328" s="36">
        <v>45216</v>
      </c>
      <c r="H328" s="40">
        <v>20.76</v>
      </c>
      <c r="I328" s="40">
        <v>43.938000000000002</v>
      </c>
      <c r="J328" s="44"/>
      <c r="K328" s="40"/>
      <c r="L328" s="45">
        <v>20.76</v>
      </c>
      <c r="M328" s="46">
        <v>43.938000000000002</v>
      </c>
      <c r="N328" s="40">
        <f t="shared" si="30"/>
        <v>-3.3162678904864448E-2</v>
      </c>
      <c r="O328" s="40">
        <f t="shared" si="31"/>
        <v>-4.7924934943569836E-2</v>
      </c>
      <c r="P328" s="40">
        <f t="shared" si="32"/>
        <v>-4.6794663195574279E-2</v>
      </c>
      <c r="Q328" s="40"/>
      <c r="R328" s="40"/>
      <c r="S328" t="s">
        <v>2696</v>
      </c>
      <c r="T328">
        <v>5.3</v>
      </c>
      <c r="U328" s="40">
        <f t="shared" si="33"/>
        <v>-1.8850146957712238E-3</v>
      </c>
      <c r="V328" s="40">
        <f t="shared" si="34"/>
        <v>5.3</v>
      </c>
      <c r="W328" s="40">
        <f t="shared" si="35"/>
        <v>-1.8850146957712238E-3</v>
      </c>
    </row>
    <row r="329" spans="1:23" x14ac:dyDescent="0.2">
      <c r="A329" s="40" t="s">
        <v>949</v>
      </c>
      <c r="B329" s="40">
        <v>19.100000000000001</v>
      </c>
      <c r="C329" s="40">
        <v>19.100000000000001</v>
      </c>
      <c r="D329" s="40">
        <v>19.100000000000001</v>
      </c>
      <c r="E329" s="40">
        <v>19.100000000000001</v>
      </c>
      <c r="G329" s="36">
        <v>45215</v>
      </c>
      <c r="H329" s="40">
        <v>21.46</v>
      </c>
      <c r="I329" s="40">
        <v>46.094999999999999</v>
      </c>
      <c r="J329" s="44"/>
      <c r="K329" s="40"/>
      <c r="L329" s="45">
        <v>21.46</v>
      </c>
      <c r="M329" s="46">
        <v>46.094999999999999</v>
      </c>
      <c r="N329" s="40">
        <f t="shared" si="30"/>
        <v>0.12702881513695574</v>
      </c>
      <c r="O329" s="40">
        <f t="shared" si="31"/>
        <v>1.384966870778208E-2</v>
      </c>
      <c r="P329" s="40">
        <f t="shared" si="32"/>
        <v>1.3946019665207549E-2</v>
      </c>
      <c r="Q329" s="40"/>
      <c r="R329" s="40"/>
      <c r="S329" t="s">
        <v>2695</v>
      </c>
      <c r="T329">
        <v>5.31</v>
      </c>
      <c r="U329" s="40">
        <f t="shared" si="33"/>
        <v>0</v>
      </c>
      <c r="V329" s="40">
        <f t="shared" si="34"/>
        <v>5.31</v>
      </c>
      <c r="W329" s="40">
        <f t="shared" si="35"/>
        <v>0</v>
      </c>
    </row>
    <row r="330" spans="1:23" x14ac:dyDescent="0.2">
      <c r="A330" s="40" t="s">
        <v>950</v>
      </c>
      <c r="B330" s="40">
        <v>17.87</v>
      </c>
      <c r="C330" s="40">
        <v>17.87</v>
      </c>
      <c r="D330" s="40">
        <v>17.87</v>
      </c>
      <c r="E330" s="40">
        <v>17.87</v>
      </c>
      <c r="G330" s="36">
        <v>45212</v>
      </c>
      <c r="H330" s="40">
        <v>18.899999999999999</v>
      </c>
      <c r="I330" s="40">
        <v>45.460999999999999</v>
      </c>
      <c r="J330" s="44"/>
      <c r="K330" s="40"/>
      <c r="L330" s="45">
        <v>18.899999999999999</v>
      </c>
      <c r="M330" s="46">
        <v>45.460999999999999</v>
      </c>
      <c r="N330" s="40">
        <f t="shared" si="30"/>
        <v>6.5032470270854362E-2</v>
      </c>
      <c r="O330" s="40">
        <f t="shared" si="31"/>
        <v>-3.2121888167735313E-2</v>
      </c>
      <c r="P330" s="40">
        <f t="shared" si="32"/>
        <v>-3.1611460219405724E-2</v>
      </c>
      <c r="Q330" s="40"/>
      <c r="R330" s="40"/>
      <c r="S330" t="s">
        <v>2694</v>
      </c>
      <c r="T330">
        <v>5.31</v>
      </c>
      <c r="U330" s="40">
        <f t="shared" si="33"/>
        <v>-3.7594029239058128E-3</v>
      </c>
      <c r="V330" s="40">
        <f t="shared" si="34"/>
        <v>5.31</v>
      </c>
      <c r="W330" s="40">
        <f t="shared" si="35"/>
        <v>-3.7594029239058128E-3</v>
      </c>
    </row>
    <row r="331" spans="1:23" x14ac:dyDescent="0.2">
      <c r="A331" s="40" t="s">
        <v>951</v>
      </c>
      <c r="B331" s="40">
        <v>16.14</v>
      </c>
      <c r="C331" s="40">
        <v>16.14</v>
      </c>
      <c r="D331" s="40">
        <v>16.14</v>
      </c>
      <c r="E331" s="40">
        <v>16.14</v>
      </c>
      <c r="G331" s="36">
        <v>45211</v>
      </c>
      <c r="H331" s="40">
        <v>17.71</v>
      </c>
      <c r="I331" s="40">
        <v>46.945</v>
      </c>
      <c r="J331" s="44"/>
      <c r="K331" s="40"/>
      <c r="L331" s="45">
        <v>17.71</v>
      </c>
      <c r="M331" s="46">
        <v>46.945</v>
      </c>
      <c r="N331" s="40">
        <f t="shared" si="30"/>
        <v>2.9801632399984221E-2</v>
      </c>
      <c r="O331" s="40">
        <f t="shared" si="31"/>
        <v>2.9653038762797027E-3</v>
      </c>
      <c r="P331" s="40">
        <f t="shared" si="32"/>
        <v>2.9697047387087748E-3</v>
      </c>
      <c r="Q331" s="40"/>
      <c r="R331" s="40"/>
      <c r="S331" t="s">
        <v>2693</v>
      </c>
      <c r="T331">
        <v>5.33</v>
      </c>
      <c r="U331" s="40">
        <f t="shared" si="33"/>
        <v>-1.8744147943503039E-3</v>
      </c>
      <c r="V331" s="40">
        <f t="shared" si="34"/>
        <v>5.33</v>
      </c>
      <c r="W331" s="40">
        <f t="shared" si="35"/>
        <v>-1.8744147943503039E-3</v>
      </c>
    </row>
    <row r="332" spans="1:23" x14ac:dyDescent="0.2">
      <c r="A332" s="40" t="s">
        <v>952</v>
      </c>
      <c r="B332" s="40">
        <v>14.7</v>
      </c>
      <c r="C332" s="40">
        <v>14.7</v>
      </c>
      <c r="D332" s="40">
        <v>14.7</v>
      </c>
      <c r="E332" s="40">
        <v>14.7</v>
      </c>
      <c r="G332" s="36">
        <v>45210</v>
      </c>
      <c r="H332" s="40">
        <v>17.190000000000001</v>
      </c>
      <c r="I332" s="40">
        <v>46.805999999999997</v>
      </c>
      <c r="J332" s="44"/>
      <c r="K332" s="40"/>
      <c r="L332" s="45">
        <v>17.190000000000001</v>
      </c>
      <c r="M332" s="46">
        <v>46.805999999999997</v>
      </c>
      <c r="N332" s="40">
        <f t="shared" si="30"/>
        <v>-8.7399124183320756E-2</v>
      </c>
      <c r="O332" s="40">
        <f t="shared" si="31"/>
        <v>2.1770977789842671E-2</v>
      </c>
      <c r="P332" s="40">
        <f t="shared" si="32"/>
        <v>2.2009694746495383E-2</v>
      </c>
      <c r="Q332" s="40"/>
      <c r="R332" s="40"/>
      <c r="S332" s="47">
        <v>45270</v>
      </c>
      <c r="T332">
        <v>5.34</v>
      </c>
      <c r="U332" s="40">
        <f t="shared" si="33"/>
        <v>5.6338177182560642E-3</v>
      </c>
      <c r="V332" s="40">
        <f t="shared" si="34"/>
        <v>5.34</v>
      </c>
      <c r="W332" s="40">
        <f t="shared" si="35"/>
        <v>5.6338177182560642E-3</v>
      </c>
    </row>
    <row r="333" spans="1:23" x14ac:dyDescent="0.2">
      <c r="A333" s="40" t="s">
        <v>953</v>
      </c>
      <c r="B333" s="40">
        <v>14.65</v>
      </c>
      <c r="C333" s="40">
        <v>14.65</v>
      </c>
      <c r="D333" s="40">
        <v>14.65</v>
      </c>
      <c r="E333" s="40">
        <v>14.65</v>
      </c>
      <c r="G333" s="36">
        <v>45209</v>
      </c>
      <c r="H333" s="40">
        <v>18.760000000000002</v>
      </c>
      <c r="I333" s="40">
        <v>45.798000000000002</v>
      </c>
      <c r="J333" s="44"/>
      <c r="K333" s="40"/>
      <c r="L333" s="45">
        <v>18.760000000000002</v>
      </c>
      <c r="M333" s="46">
        <v>45.798000000000002</v>
      </c>
      <c r="N333" s="40">
        <f t="shared" si="30"/>
        <v>0.16729640903976112</v>
      </c>
      <c r="O333" s="40">
        <f t="shared" si="31"/>
        <v>1.1529593739865238E-2</v>
      </c>
      <c r="P333" s="40">
        <f t="shared" si="32"/>
        <v>1.1596315684845239E-2</v>
      </c>
      <c r="Q333" s="40"/>
      <c r="R333" s="40"/>
      <c r="S333" s="47">
        <v>45240</v>
      </c>
      <c r="T333">
        <v>5.31</v>
      </c>
      <c r="U333" s="40">
        <f t="shared" si="33"/>
        <v>-3.7594029239058128E-3</v>
      </c>
      <c r="V333" s="40">
        <f t="shared" si="34"/>
        <v>5.31</v>
      </c>
      <c r="W333" s="40">
        <f t="shared" si="35"/>
        <v>-3.7594029239058128E-3</v>
      </c>
    </row>
    <row r="334" spans="1:23" x14ac:dyDescent="0.2">
      <c r="A334" s="40" t="s">
        <v>954</v>
      </c>
      <c r="B334" s="40">
        <v>16.55</v>
      </c>
      <c r="C334" s="40">
        <v>16.55</v>
      </c>
      <c r="D334" s="40">
        <v>16.55</v>
      </c>
      <c r="E334" s="40">
        <v>16.55</v>
      </c>
      <c r="G334" s="36">
        <v>45208</v>
      </c>
      <c r="H334" s="40">
        <v>15.87</v>
      </c>
      <c r="I334" s="40">
        <v>45.273000000000003</v>
      </c>
      <c r="J334" s="44"/>
      <c r="K334" s="40"/>
      <c r="L334" s="45">
        <v>15.87</v>
      </c>
      <c r="M334" s="46">
        <v>45.273000000000003</v>
      </c>
      <c r="N334" s="40">
        <f t="shared" si="30"/>
        <v>4.5110741177876723E-2</v>
      </c>
      <c r="O334" s="40">
        <f t="shared" si="31"/>
        <v>-1.0743224105633362E-2</v>
      </c>
      <c r="P334" s="40">
        <f t="shared" si="32"/>
        <v>-1.0685721777894262E-2</v>
      </c>
      <c r="Q334" s="40"/>
      <c r="R334" s="40"/>
      <c r="S334" s="47">
        <v>45209</v>
      </c>
      <c r="T334">
        <v>5.33</v>
      </c>
      <c r="U334" s="40">
        <f t="shared" si="33"/>
        <v>1.8779348242001143E-3</v>
      </c>
      <c r="V334" s="40">
        <f t="shared" si="34"/>
        <v>5.33</v>
      </c>
      <c r="W334" s="40">
        <f t="shared" si="35"/>
        <v>1.8779348242001143E-3</v>
      </c>
    </row>
    <row r="335" spans="1:23" x14ac:dyDescent="0.2">
      <c r="A335" s="41">
        <v>40913</v>
      </c>
      <c r="B335" s="40">
        <v>15.63</v>
      </c>
      <c r="C335" s="40">
        <v>15.63</v>
      </c>
      <c r="D335" s="40">
        <v>15.63</v>
      </c>
      <c r="E335" s="40">
        <v>15.63</v>
      </c>
      <c r="G335" s="36">
        <v>45205</v>
      </c>
      <c r="H335" s="40">
        <v>15.17</v>
      </c>
      <c r="I335" s="40">
        <v>45.762</v>
      </c>
      <c r="J335" s="44"/>
      <c r="K335" s="40"/>
      <c r="L335" s="45">
        <v>15.17</v>
      </c>
      <c r="M335" s="46">
        <v>45.762</v>
      </c>
      <c r="N335" s="40">
        <f t="shared" si="30"/>
        <v>-0.12034329454366126</v>
      </c>
      <c r="O335" s="40">
        <f t="shared" si="31"/>
        <v>2.3749043207335539E-2</v>
      </c>
      <c r="P335" s="40">
        <f t="shared" si="32"/>
        <v>2.4033297529538086E-2</v>
      </c>
      <c r="Q335" s="40"/>
      <c r="R335" s="40"/>
      <c r="S335" s="47">
        <v>45087</v>
      </c>
      <c r="T335">
        <v>5.32</v>
      </c>
      <c r="U335" s="40">
        <f t="shared" si="33"/>
        <v>3.7664827954768648E-3</v>
      </c>
      <c r="V335" s="40">
        <f t="shared" si="34"/>
        <v>5.32</v>
      </c>
      <c r="W335" s="40">
        <f t="shared" si="35"/>
        <v>3.7664827954768648E-3</v>
      </c>
    </row>
    <row r="336" spans="1:23" x14ac:dyDescent="0.2">
      <c r="A336" s="41">
        <v>40944</v>
      </c>
      <c r="B336" s="40">
        <v>16.23</v>
      </c>
      <c r="C336" s="40">
        <v>16.23</v>
      </c>
      <c r="D336" s="40">
        <v>16.23</v>
      </c>
      <c r="E336" s="40">
        <v>16.23</v>
      </c>
      <c r="G336" s="36">
        <v>45204</v>
      </c>
      <c r="H336" s="40">
        <v>17.11</v>
      </c>
      <c r="I336" s="40">
        <v>44.688000000000002</v>
      </c>
      <c r="J336" s="44"/>
      <c r="K336" s="40"/>
      <c r="L336" s="45">
        <v>17.11</v>
      </c>
      <c r="M336" s="46">
        <v>44.688000000000002</v>
      </c>
      <c r="N336" s="40">
        <f t="shared" si="30"/>
        <v>-4.4019681841265958E-2</v>
      </c>
      <c r="O336" s="40">
        <f t="shared" si="31"/>
        <v>1.4583990975797418E-2</v>
      </c>
      <c r="P336" s="40">
        <f t="shared" si="32"/>
        <v>1.4690856247587604E-2</v>
      </c>
      <c r="Q336" s="40"/>
      <c r="R336" s="40"/>
      <c r="S336" s="47">
        <v>45056</v>
      </c>
      <c r="T336">
        <v>5.3</v>
      </c>
      <c r="U336" s="40">
        <f t="shared" si="33"/>
        <v>1.8885746878681546E-3</v>
      </c>
      <c r="V336" s="40">
        <f t="shared" si="34"/>
        <v>5.3</v>
      </c>
      <c r="W336" s="40">
        <f t="shared" si="35"/>
        <v>1.8885746878681546E-3</v>
      </c>
    </row>
    <row r="337" spans="1:23" x14ac:dyDescent="0.2">
      <c r="A337" s="41">
        <v>40973</v>
      </c>
      <c r="B337" s="40">
        <v>16.940000000000001</v>
      </c>
      <c r="C337" s="40">
        <v>16.940000000000001</v>
      </c>
      <c r="D337" s="40">
        <v>16.940000000000001</v>
      </c>
      <c r="E337" s="40">
        <v>16.940000000000001</v>
      </c>
      <c r="G337" s="36">
        <v>45203</v>
      </c>
      <c r="H337" s="40">
        <v>17.88</v>
      </c>
      <c r="I337" s="40">
        <v>44.040999999999997</v>
      </c>
      <c r="J337" s="44"/>
      <c r="K337" s="40"/>
      <c r="L337" s="45">
        <v>17.88</v>
      </c>
      <c r="M337" s="46">
        <v>44.040999999999997</v>
      </c>
      <c r="N337" s="40">
        <f t="shared" si="30"/>
        <v>9.3131347131414396E-2</v>
      </c>
      <c r="O337" s="40">
        <f t="shared" si="31"/>
        <v>1.196935187891097E-2</v>
      </c>
      <c r="P337" s="40">
        <f t="shared" si="32"/>
        <v>1.20412712273363E-2</v>
      </c>
      <c r="Q337" s="40"/>
      <c r="R337" s="40"/>
      <c r="S337" s="47">
        <v>45026</v>
      </c>
      <c r="T337">
        <v>5.29</v>
      </c>
      <c r="U337" s="40">
        <f t="shared" si="33"/>
        <v>1.8921481520379623E-3</v>
      </c>
      <c r="V337" s="40">
        <f t="shared" si="34"/>
        <v>5.29</v>
      </c>
      <c r="W337" s="40">
        <f t="shared" si="35"/>
        <v>1.8921481520379623E-3</v>
      </c>
    </row>
    <row r="338" spans="1:23" x14ac:dyDescent="0.2">
      <c r="A338" s="41">
        <v>41004</v>
      </c>
      <c r="B338" s="40">
        <v>18.420000000000002</v>
      </c>
      <c r="C338" s="40">
        <v>18.420000000000002</v>
      </c>
      <c r="D338" s="40">
        <v>18.420000000000002</v>
      </c>
      <c r="E338" s="40">
        <v>18.420000000000002</v>
      </c>
      <c r="G338" s="36">
        <v>45202</v>
      </c>
      <c r="H338" s="40">
        <v>16.29</v>
      </c>
      <c r="I338" s="40">
        <v>43.517000000000003</v>
      </c>
      <c r="J338" s="44"/>
      <c r="K338" s="40"/>
      <c r="L338" s="45">
        <v>16.29</v>
      </c>
      <c r="M338" s="46">
        <v>43.517000000000003</v>
      </c>
      <c r="N338" s="40">
        <f t="shared" si="30"/>
        <v>-0.1196229625783907</v>
      </c>
      <c r="O338" s="40">
        <f t="shared" si="31"/>
        <v>-2.865460662103406E-2</v>
      </c>
      <c r="P338" s="40">
        <f t="shared" si="32"/>
        <v>-2.8247956768344282E-2</v>
      </c>
      <c r="Q338" s="40"/>
      <c r="R338" s="40"/>
      <c r="S338" s="47">
        <v>44995</v>
      </c>
      <c r="T338">
        <v>5.28</v>
      </c>
      <c r="U338" s="40">
        <f t="shared" si="33"/>
        <v>-1.8921481520378152E-3</v>
      </c>
      <c r="V338" s="40">
        <f t="shared" si="34"/>
        <v>5.28</v>
      </c>
      <c r="W338" s="40">
        <f t="shared" si="35"/>
        <v>-1.8921481520378152E-3</v>
      </c>
    </row>
    <row r="339" spans="1:23" x14ac:dyDescent="0.2">
      <c r="A339" s="41">
        <v>41095</v>
      </c>
      <c r="B339" s="40">
        <v>18.46</v>
      </c>
      <c r="C339" s="40">
        <v>18.46</v>
      </c>
      <c r="D339" s="40">
        <v>18.46</v>
      </c>
      <c r="E339" s="40">
        <v>18.46</v>
      </c>
      <c r="G339" s="36">
        <v>45201</v>
      </c>
      <c r="H339" s="40">
        <v>18.36</v>
      </c>
      <c r="I339" s="40">
        <v>44.781999999999996</v>
      </c>
      <c r="J339" s="44"/>
      <c r="K339" s="40"/>
      <c r="L339" s="45">
        <v>18.36</v>
      </c>
      <c r="M339" s="46">
        <v>44.781999999999996</v>
      </c>
      <c r="N339" s="40">
        <f t="shared" si="30"/>
        <v>3.2733253449691085E-3</v>
      </c>
      <c r="O339" s="40">
        <f t="shared" si="31"/>
        <v>2.9068323644495121E-2</v>
      </c>
      <c r="P339" s="40">
        <f t="shared" si="32"/>
        <v>2.9494930917952002E-2</v>
      </c>
      <c r="Q339" s="40"/>
      <c r="R339" s="40"/>
      <c r="S339" s="47">
        <v>44967</v>
      </c>
      <c r="T339">
        <v>5.29</v>
      </c>
      <c r="U339" s="40">
        <f t="shared" si="33"/>
        <v>0</v>
      </c>
      <c r="V339" s="40">
        <f t="shared" si="34"/>
        <v>5.29</v>
      </c>
      <c r="W339" s="40">
        <f t="shared" si="35"/>
        <v>0</v>
      </c>
    </row>
    <row r="340" spans="1:23" x14ac:dyDescent="0.2">
      <c r="A340" s="41">
        <v>41126</v>
      </c>
      <c r="B340" s="40">
        <v>19.09</v>
      </c>
      <c r="C340" s="40">
        <v>19.09</v>
      </c>
      <c r="D340" s="40">
        <v>19.09</v>
      </c>
      <c r="E340" s="40">
        <v>19.09</v>
      </c>
      <c r="G340" s="36">
        <v>45198</v>
      </c>
      <c r="H340" s="40">
        <v>18.3</v>
      </c>
      <c r="I340" s="40">
        <v>43.499000000000002</v>
      </c>
      <c r="J340" s="44"/>
      <c r="K340" s="40"/>
      <c r="L340" s="45">
        <v>18.3</v>
      </c>
      <c r="M340" s="46">
        <v>43.499000000000002</v>
      </c>
      <c r="N340" s="40">
        <f t="shared" si="30"/>
        <v>-8.381867188307135E-2</v>
      </c>
      <c r="O340" s="40">
        <f t="shared" si="31"/>
        <v>9.4702052068563539E-3</v>
      </c>
      <c r="P340" s="40">
        <f t="shared" si="32"/>
        <v>9.5151894915176428E-3</v>
      </c>
      <c r="Q340" s="40"/>
      <c r="R340" s="40"/>
      <c r="S340" t="s">
        <v>2692</v>
      </c>
      <c r="T340">
        <v>5.29</v>
      </c>
      <c r="U340" s="40">
        <f t="shared" si="33"/>
        <v>0</v>
      </c>
      <c r="V340" s="40">
        <f t="shared" si="34"/>
        <v>5.29</v>
      </c>
      <c r="W340" s="40">
        <f t="shared" si="35"/>
        <v>0</v>
      </c>
    </row>
    <row r="341" spans="1:23" x14ac:dyDescent="0.2">
      <c r="A341" s="41">
        <v>41157</v>
      </c>
      <c r="B341" s="40">
        <v>20.239999999999998</v>
      </c>
      <c r="C341" s="40">
        <v>20.239999999999998</v>
      </c>
      <c r="D341" s="40">
        <v>20.239999999999998</v>
      </c>
      <c r="E341" s="40">
        <v>20.239999999999998</v>
      </c>
      <c r="G341" s="36">
        <v>45197</v>
      </c>
      <c r="H341" s="40">
        <v>19.899999999999999</v>
      </c>
      <c r="I341" s="40">
        <v>43.088999999999999</v>
      </c>
      <c r="J341" s="44"/>
      <c r="K341" s="40"/>
      <c r="L341" s="45">
        <v>19.899999999999999</v>
      </c>
      <c r="M341" s="46">
        <v>43.088999999999999</v>
      </c>
      <c r="N341" s="40">
        <f t="shared" si="30"/>
        <v>0.12225280922233193</v>
      </c>
      <c r="O341" s="40">
        <f t="shared" si="31"/>
        <v>1.4516892966468603E-2</v>
      </c>
      <c r="P341" s="40">
        <f t="shared" si="32"/>
        <v>1.4622774795139754E-2</v>
      </c>
      <c r="Q341" s="40"/>
      <c r="R341" s="40"/>
      <c r="S341" t="s">
        <v>2691</v>
      </c>
      <c r="T341">
        <v>5.29</v>
      </c>
      <c r="U341" s="40">
        <f t="shared" si="33"/>
        <v>-1.8885746878681362E-3</v>
      </c>
      <c r="V341" s="40">
        <f t="shared" si="34"/>
        <v>5.29</v>
      </c>
      <c r="W341" s="40">
        <f t="shared" si="35"/>
        <v>-1.8885746878681362E-3</v>
      </c>
    </row>
    <row r="342" spans="1:23" x14ac:dyDescent="0.2">
      <c r="A342" s="41">
        <v>41187</v>
      </c>
      <c r="B342" s="40">
        <v>18.64</v>
      </c>
      <c r="C342" s="40">
        <v>18.64</v>
      </c>
      <c r="D342" s="40">
        <v>18.64</v>
      </c>
      <c r="E342" s="40">
        <v>18.64</v>
      </c>
      <c r="G342" s="36">
        <v>45196</v>
      </c>
      <c r="H342" s="40">
        <v>17.61</v>
      </c>
      <c r="I342" s="40">
        <v>42.468000000000004</v>
      </c>
      <c r="J342" s="44"/>
      <c r="K342" s="40"/>
      <c r="L342" s="45">
        <v>17.61</v>
      </c>
      <c r="M342" s="46">
        <v>42.468000000000004</v>
      </c>
      <c r="N342" s="40">
        <f t="shared" si="30"/>
        <v>2.355753868870741E-2</v>
      </c>
      <c r="O342" s="40">
        <f t="shared" si="31"/>
        <v>1.3202528845225547E-2</v>
      </c>
      <c r="P342" s="40">
        <f t="shared" si="32"/>
        <v>1.3290067046837398E-2</v>
      </c>
      <c r="Q342" s="40"/>
      <c r="R342" s="40"/>
      <c r="S342" t="s">
        <v>2690</v>
      </c>
      <c r="T342">
        <v>5.3</v>
      </c>
      <c r="U342" s="40">
        <f t="shared" si="33"/>
        <v>0</v>
      </c>
      <c r="V342" s="40">
        <f t="shared" si="34"/>
        <v>5.3</v>
      </c>
      <c r="W342" s="40">
        <f t="shared" si="35"/>
        <v>0</v>
      </c>
    </row>
    <row r="343" spans="1:23" x14ac:dyDescent="0.2">
      <c r="A343" s="41">
        <v>41218</v>
      </c>
      <c r="B343" s="40">
        <v>20.190000000000001</v>
      </c>
      <c r="C343" s="40">
        <v>20.190000000000001</v>
      </c>
      <c r="D343" s="40">
        <v>20.190000000000001</v>
      </c>
      <c r="E343" s="40">
        <v>20.190000000000001</v>
      </c>
      <c r="G343" s="36">
        <v>45195</v>
      </c>
      <c r="H343" s="40">
        <v>17.2</v>
      </c>
      <c r="I343" s="40">
        <v>41.911000000000001</v>
      </c>
      <c r="J343" s="44"/>
      <c r="K343" s="40"/>
      <c r="L343" s="45">
        <v>17.2</v>
      </c>
      <c r="M343" s="46">
        <v>41.911000000000001</v>
      </c>
      <c r="N343" s="40">
        <f t="shared" si="30"/>
        <v>-2.4692612590371522E-2</v>
      </c>
      <c r="O343" s="40">
        <f t="shared" si="31"/>
        <v>-7.3930899063656616E-3</v>
      </c>
      <c r="P343" s="40">
        <f t="shared" si="32"/>
        <v>-7.3658282412012678E-3</v>
      </c>
      <c r="Q343" s="40"/>
      <c r="R343" s="40"/>
      <c r="S343" t="s">
        <v>2689</v>
      </c>
      <c r="T343">
        <v>5.3</v>
      </c>
      <c r="U343" s="40">
        <f t="shared" si="33"/>
        <v>0</v>
      </c>
      <c r="V343" s="40">
        <f t="shared" si="34"/>
        <v>5.3</v>
      </c>
      <c r="W343" s="40">
        <f t="shared" si="35"/>
        <v>0</v>
      </c>
    </row>
    <row r="344" spans="1:23" x14ac:dyDescent="0.2">
      <c r="A344" s="40" t="s">
        <v>955</v>
      </c>
      <c r="B344" s="40">
        <v>22.56</v>
      </c>
      <c r="C344" s="40">
        <v>22.56</v>
      </c>
      <c r="D344" s="40">
        <v>22.56</v>
      </c>
      <c r="E344" s="40">
        <v>22.56</v>
      </c>
      <c r="G344" s="36">
        <v>45194</v>
      </c>
      <c r="H344" s="40">
        <v>17.63</v>
      </c>
      <c r="I344" s="40">
        <v>42.222000000000001</v>
      </c>
      <c r="J344" s="44"/>
      <c r="K344" s="40"/>
      <c r="L344" s="45">
        <v>17.63</v>
      </c>
      <c r="M344" s="46">
        <v>42.222000000000001</v>
      </c>
      <c r="N344" s="40">
        <f t="shared" si="30"/>
        <v>-7.0617567213953528E-2</v>
      </c>
      <c r="O344" s="40">
        <f t="shared" si="31"/>
        <v>1.4600889217616979E-2</v>
      </c>
      <c r="P344" s="40">
        <f t="shared" si="32"/>
        <v>1.470800288392218E-2</v>
      </c>
      <c r="Q344" s="40"/>
      <c r="R344" s="40"/>
      <c r="S344" t="s">
        <v>2688</v>
      </c>
      <c r="T344">
        <v>5.3</v>
      </c>
      <c r="U344" s="40">
        <f t="shared" si="33"/>
        <v>1.8885746878681546E-3</v>
      </c>
      <c r="V344" s="40">
        <f t="shared" si="34"/>
        <v>5.3</v>
      </c>
      <c r="W344" s="40">
        <f t="shared" si="35"/>
        <v>1.8885746878681546E-3</v>
      </c>
    </row>
    <row r="345" spans="1:23" x14ac:dyDescent="0.2">
      <c r="A345" s="40" t="s">
        <v>956</v>
      </c>
      <c r="B345" s="40">
        <v>22.63</v>
      </c>
      <c r="C345" s="40">
        <v>22.63</v>
      </c>
      <c r="D345" s="40">
        <v>22.63</v>
      </c>
      <c r="E345" s="40">
        <v>22.63</v>
      </c>
      <c r="G345" s="36">
        <v>45191</v>
      </c>
      <c r="H345" s="40">
        <v>18.920000000000002</v>
      </c>
      <c r="I345" s="40">
        <v>41.61</v>
      </c>
      <c r="J345" s="44"/>
      <c r="K345" s="40"/>
      <c r="L345" s="45">
        <v>18.920000000000002</v>
      </c>
      <c r="M345" s="46">
        <v>41.61</v>
      </c>
      <c r="N345" s="40">
        <f t="shared" si="30"/>
        <v>-4.7984443509467206E-2</v>
      </c>
      <c r="O345" s="40">
        <f t="shared" si="31"/>
        <v>1.4353908081184084E-2</v>
      </c>
      <c r="P345" s="40">
        <f t="shared" si="32"/>
        <v>1.4457420094107233E-2</v>
      </c>
      <c r="Q345" s="40"/>
      <c r="R345" s="40"/>
      <c r="S345" t="s">
        <v>2687</v>
      </c>
      <c r="T345">
        <v>5.29</v>
      </c>
      <c r="U345" s="40">
        <f t="shared" si="33"/>
        <v>0</v>
      </c>
      <c r="V345" s="40">
        <f t="shared" si="34"/>
        <v>5.29</v>
      </c>
      <c r="W345" s="40">
        <f t="shared" si="35"/>
        <v>0</v>
      </c>
    </row>
    <row r="346" spans="1:23" x14ac:dyDescent="0.2">
      <c r="A346" s="40" t="s">
        <v>957</v>
      </c>
      <c r="B346" s="40">
        <v>22.41</v>
      </c>
      <c r="C346" s="40">
        <v>22.41</v>
      </c>
      <c r="D346" s="40">
        <v>22.41</v>
      </c>
      <c r="E346" s="40">
        <v>22.41</v>
      </c>
      <c r="G346" s="36">
        <v>45190</v>
      </c>
      <c r="H346" s="40">
        <v>19.850000000000001</v>
      </c>
      <c r="I346" s="40">
        <v>41.017000000000003</v>
      </c>
      <c r="J346" s="44"/>
      <c r="K346" s="40"/>
      <c r="L346" s="45">
        <v>19.850000000000001</v>
      </c>
      <c r="M346" s="46">
        <v>41.017000000000003</v>
      </c>
      <c r="N346" s="40">
        <f t="shared" si="30"/>
        <v>0.12258041892622898</v>
      </c>
      <c r="O346" s="40">
        <f t="shared" si="31"/>
        <v>-2.9357349961676597E-2</v>
      </c>
      <c r="P346" s="40">
        <f t="shared" si="32"/>
        <v>-2.8930609152678668E-2</v>
      </c>
      <c r="Q346" s="40"/>
      <c r="R346" s="40"/>
      <c r="S346" t="s">
        <v>2686</v>
      </c>
      <c r="T346">
        <v>5.29</v>
      </c>
      <c r="U346" s="40">
        <f t="shared" si="33"/>
        <v>0</v>
      </c>
      <c r="V346" s="40">
        <f t="shared" si="34"/>
        <v>5.29</v>
      </c>
      <c r="W346" s="40">
        <f t="shared" si="35"/>
        <v>0</v>
      </c>
    </row>
    <row r="347" spans="1:23" x14ac:dyDescent="0.2">
      <c r="A347" s="40" t="s">
        <v>958</v>
      </c>
      <c r="B347" s="40">
        <v>25.44</v>
      </c>
      <c r="C347" s="40">
        <v>25.44</v>
      </c>
      <c r="D347" s="40">
        <v>25.44</v>
      </c>
      <c r="E347" s="40">
        <v>25.44</v>
      </c>
      <c r="G347" s="36">
        <v>45189</v>
      </c>
      <c r="H347" s="40">
        <v>17.559999999999999</v>
      </c>
      <c r="I347" s="40">
        <v>42.238999999999997</v>
      </c>
      <c r="J347" s="44"/>
      <c r="K347" s="40"/>
      <c r="L347" s="45">
        <v>17.559999999999999</v>
      </c>
      <c r="M347" s="46">
        <v>42.238999999999997</v>
      </c>
      <c r="N347" s="40">
        <f t="shared" si="30"/>
        <v>2.851441909209869E-3</v>
      </c>
      <c r="O347" s="40">
        <f t="shared" si="31"/>
        <v>-2.9876637672344795E-2</v>
      </c>
      <c r="P347" s="40">
        <f t="shared" si="32"/>
        <v>-2.9434742647058958E-2</v>
      </c>
      <c r="Q347" s="40"/>
      <c r="R347" s="40"/>
      <c r="S347" t="s">
        <v>2685</v>
      </c>
      <c r="T347">
        <v>5.29</v>
      </c>
      <c r="U347" s="40">
        <f t="shared" si="33"/>
        <v>0</v>
      </c>
      <c r="V347" s="40">
        <f t="shared" si="34"/>
        <v>5.29</v>
      </c>
      <c r="W347" s="40">
        <f t="shared" si="35"/>
        <v>0</v>
      </c>
    </row>
    <row r="348" spans="1:23" x14ac:dyDescent="0.2">
      <c r="A348" s="40" t="s">
        <v>959</v>
      </c>
      <c r="B348" s="40">
        <v>26.6</v>
      </c>
      <c r="C348" s="40">
        <v>26.6</v>
      </c>
      <c r="D348" s="40">
        <v>26.6</v>
      </c>
      <c r="E348" s="40">
        <v>26.6</v>
      </c>
      <c r="G348" s="36">
        <v>45188</v>
      </c>
      <c r="H348" s="40">
        <v>17.510000000000002</v>
      </c>
      <c r="I348" s="40">
        <v>43.52</v>
      </c>
      <c r="J348" s="44"/>
      <c r="K348" s="40"/>
      <c r="L348" s="45">
        <v>17.510000000000002</v>
      </c>
      <c r="M348" s="46">
        <v>43.52</v>
      </c>
      <c r="N348" s="40">
        <f t="shared" si="30"/>
        <v>-7.5331014419593972E-2</v>
      </c>
      <c r="O348" s="40">
        <f t="shared" si="31"/>
        <v>-1.019600539023807E-2</v>
      </c>
      <c r="P348" s="40">
        <f t="shared" si="32"/>
        <v>-1.0144202338170358E-2</v>
      </c>
      <c r="Q348" s="40"/>
      <c r="R348" s="40"/>
      <c r="S348" t="s">
        <v>2684</v>
      </c>
      <c r="T348">
        <v>5.29</v>
      </c>
      <c r="U348" s="40">
        <f t="shared" si="33"/>
        <v>0</v>
      </c>
      <c r="V348" s="40">
        <f t="shared" si="34"/>
        <v>5.29</v>
      </c>
      <c r="W348" s="40">
        <f t="shared" si="35"/>
        <v>0</v>
      </c>
    </row>
    <row r="349" spans="1:23" x14ac:dyDescent="0.2">
      <c r="A349" s="40" t="s">
        <v>960</v>
      </c>
      <c r="B349" s="40">
        <v>21.93</v>
      </c>
      <c r="C349" s="40">
        <v>21.93</v>
      </c>
      <c r="D349" s="40">
        <v>21.93</v>
      </c>
      <c r="E349" s="40">
        <v>21.93</v>
      </c>
      <c r="G349" s="36">
        <v>45187</v>
      </c>
      <c r="H349" s="40">
        <v>18.88</v>
      </c>
      <c r="I349" s="40">
        <v>43.966000000000001</v>
      </c>
      <c r="J349" s="44"/>
      <c r="K349" s="40"/>
      <c r="L349" s="45">
        <v>18.88</v>
      </c>
      <c r="M349" s="46">
        <v>43.966000000000001</v>
      </c>
      <c r="N349" s="40">
        <f t="shared" si="30"/>
        <v>0.21221304148681355</v>
      </c>
      <c r="O349" s="40">
        <f t="shared" si="31"/>
        <v>1.5022878567996221E-3</v>
      </c>
      <c r="P349" s="40">
        <f t="shared" si="32"/>
        <v>1.5034168564920843E-3</v>
      </c>
      <c r="Q349" s="40"/>
      <c r="R349" s="40"/>
      <c r="S349" t="s">
        <v>2683</v>
      </c>
      <c r="T349">
        <v>5.29</v>
      </c>
      <c r="U349" s="40">
        <f t="shared" si="33"/>
        <v>1.8921481520379623E-3</v>
      </c>
      <c r="V349" s="40">
        <f t="shared" si="34"/>
        <v>5.29</v>
      </c>
      <c r="W349" s="40">
        <f t="shared" si="35"/>
        <v>1.8921481520379623E-3</v>
      </c>
    </row>
    <row r="350" spans="1:23" x14ac:dyDescent="0.2">
      <c r="A350" s="40" t="s">
        <v>961</v>
      </c>
      <c r="B350" s="40">
        <v>22.03</v>
      </c>
      <c r="C350" s="40">
        <v>22.03</v>
      </c>
      <c r="D350" s="40">
        <v>22.03</v>
      </c>
      <c r="E350" s="40">
        <v>22.03</v>
      </c>
      <c r="G350" s="36">
        <v>45184</v>
      </c>
      <c r="H350" s="40">
        <v>15.27</v>
      </c>
      <c r="I350" s="40">
        <v>43.9</v>
      </c>
      <c r="J350" s="44"/>
      <c r="K350" s="40"/>
      <c r="L350" s="45">
        <v>15.27</v>
      </c>
      <c r="M350" s="46">
        <v>43.9</v>
      </c>
      <c r="N350" s="40">
        <f t="shared" si="30"/>
        <v>7.0537707128779992E-2</v>
      </c>
      <c r="O350" s="40">
        <f t="shared" si="31"/>
        <v>-3.7576642942872385E-2</v>
      </c>
      <c r="P350" s="40">
        <f t="shared" si="32"/>
        <v>-3.6879401505013149E-2</v>
      </c>
      <c r="Q350" s="40"/>
      <c r="R350" s="40"/>
      <c r="S350" t="s">
        <v>2682</v>
      </c>
      <c r="T350">
        <v>5.28</v>
      </c>
      <c r="U350" s="40">
        <f t="shared" si="33"/>
        <v>0</v>
      </c>
      <c r="V350" s="40">
        <f t="shared" si="34"/>
        <v>5.28</v>
      </c>
      <c r="W350" s="40">
        <f t="shared" si="35"/>
        <v>0</v>
      </c>
    </row>
    <row r="351" spans="1:23" x14ac:dyDescent="0.2">
      <c r="A351" s="40" t="s">
        <v>962</v>
      </c>
      <c r="B351" s="40">
        <v>21.75</v>
      </c>
      <c r="C351" s="40">
        <v>21.75</v>
      </c>
      <c r="D351" s="40">
        <v>21.75</v>
      </c>
      <c r="E351" s="40">
        <v>21.75</v>
      </c>
      <c r="G351" s="36">
        <v>45183</v>
      </c>
      <c r="H351" s="40">
        <v>14.23</v>
      </c>
      <c r="I351" s="40">
        <v>45.581000000000003</v>
      </c>
      <c r="J351" s="44"/>
      <c r="K351" s="40"/>
      <c r="L351" s="45">
        <v>14.23</v>
      </c>
      <c r="M351" s="46">
        <v>45.581000000000003</v>
      </c>
      <c r="N351" s="40">
        <f t="shared" si="30"/>
        <v>4.3813111380394711E-2</v>
      </c>
      <c r="O351" s="40">
        <f t="shared" si="31"/>
        <v>2.1083617499729613E-3</v>
      </c>
      <c r="P351" s="40">
        <f t="shared" si="32"/>
        <v>2.110585907442094E-3</v>
      </c>
      <c r="Q351" s="40"/>
      <c r="R351" s="40"/>
      <c r="S351" t="s">
        <v>2681</v>
      </c>
      <c r="T351">
        <v>5.28</v>
      </c>
      <c r="U351" s="40">
        <f t="shared" si="33"/>
        <v>0</v>
      </c>
      <c r="V351" s="40">
        <f t="shared" si="34"/>
        <v>5.28</v>
      </c>
      <c r="W351" s="40">
        <f t="shared" si="35"/>
        <v>0</v>
      </c>
    </row>
    <row r="352" spans="1:23" x14ac:dyDescent="0.2">
      <c r="A352" s="40" t="s">
        <v>963</v>
      </c>
      <c r="B352" s="40">
        <v>19.22</v>
      </c>
      <c r="C352" s="40">
        <v>19.22</v>
      </c>
      <c r="D352" s="40">
        <v>19.22</v>
      </c>
      <c r="E352" s="40">
        <v>19.22</v>
      </c>
      <c r="G352" s="36">
        <v>45182</v>
      </c>
      <c r="H352" s="40">
        <v>13.62</v>
      </c>
      <c r="I352" s="40">
        <v>45.484999999999999</v>
      </c>
      <c r="J352" s="44"/>
      <c r="K352" s="40"/>
      <c r="L352" s="45">
        <v>13.62</v>
      </c>
      <c r="M352" s="46">
        <v>45.484999999999999</v>
      </c>
      <c r="N352" s="40">
        <f t="shared" si="30"/>
        <v>8.5010976242546443E-2</v>
      </c>
      <c r="O352" s="40">
        <f t="shared" si="31"/>
        <v>1.3613181286133341E-2</v>
      </c>
      <c r="P352" s="40">
        <f t="shared" si="32"/>
        <v>1.3706262536215779E-2</v>
      </c>
      <c r="Q352" s="40"/>
      <c r="R352" s="40"/>
      <c r="S352" t="s">
        <v>2680</v>
      </c>
      <c r="T352">
        <v>5.28</v>
      </c>
      <c r="U352" s="40">
        <f t="shared" si="33"/>
        <v>0</v>
      </c>
      <c r="V352" s="40">
        <f t="shared" si="34"/>
        <v>5.28</v>
      </c>
      <c r="W352" s="40">
        <f t="shared" si="35"/>
        <v>0</v>
      </c>
    </row>
    <row r="353" spans="1:23" x14ac:dyDescent="0.2">
      <c r="A353" s="40" t="s">
        <v>964</v>
      </c>
      <c r="B353" s="40">
        <v>19.21</v>
      </c>
      <c r="C353" s="40">
        <v>19.21</v>
      </c>
      <c r="D353" s="40">
        <v>19.21</v>
      </c>
      <c r="E353" s="40">
        <v>19.21</v>
      </c>
      <c r="G353" s="36">
        <v>45181</v>
      </c>
      <c r="H353" s="40">
        <v>12.51</v>
      </c>
      <c r="I353" s="40">
        <v>44.87</v>
      </c>
      <c r="J353" s="44"/>
      <c r="K353" s="40"/>
      <c r="L353" s="45">
        <v>12.51</v>
      </c>
      <c r="M353" s="46">
        <v>44.87</v>
      </c>
      <c r="N353" s="40">
        <f t="shared" si="30"/>
        <v>5.8428793007200587E-2</v>
      </c>
      <c r="O353" s="40">
        <f t="shared" si="31"/>
        <v>-6.840822697191367E-3</v>
      </c>
      <c r="P353" s="40">
        <f t="shared" si="32"/>
        <v>-6.8174775333126707E-3</v>
      </c>
      <c r="Q353" s="40"/>
      <c r="R353" s="40"/>
      <c r="S353" s="47">
        <v>45269</v>
      </c>
      <c r="T353">
        <v>5.28</v>
      </c>
      <c r="U353" s="40">
        <f t="shared" si="33"/>
        <v>0</v>
      </c>
      <c r="V353" s="40">
        <f t="shared" si="34"/>
        <v>5.28</v>
      </c>
      <c r="W353" s="40">
        <f t="shared" si="35"/>
        <v>0</v>
      </c>
    </row>
    <row r="354" spans="1:23" x14ac:dyDescent="0.2">
      <c r="A354" s="40" t="s">
        <v>965</v>
      </c>
      <c r="B354" s="40">
        <v>19.48</v>
      </c>
      <c r="C354" s="40">
        <v>19.48</v>
      </c>
      <c r="D354" s="40">
        <v>19.48</v>
      </c>
      <c r="E354" s="40">
        <v>19.48</v>
      </c>
      <c r="G354" s="36">
        <v>45180</v>
      </c>
      <c r="H354" s="40">
        <v>11.8</v>
      </c>
      <c r="I354" s="40">
        <v>45.177999999999997</v>
      </c>
      <c r="J354" s="44"/>
      <c r="K354" s="40"/>
      <c r="L354" s="45">
        <v>11.8</v>
      </c>
      <c r="M354" s="46">
        <v>45.177999999999997</v>
      </c>
      <c r="N354" s="40">
        <f t="shared" si="30"/>
        <v>-5.5226228220325961E-2</v>
      </c>
      <c r="O354" s="40">
        <f t="shared" si="31"/>
        <v>-8.683250150786052E-3</v>
      </c>
      <c r="P354" s="40">
        <f t="shared" si="32"/>
        <v>-8.64565961555353E-3</v>
      </c>
      <c r="Q354" s="40"/>
      <c r="R354" s="40"/>
      <c r="S354" s="47">
        <v>45239</v>
      </c>
      <c r="T354">
        <v>5.28</v>
      </c>
      <c r="U354" s="40">
        <f t="shared" si="33"/>
        <v>0</v>
      </c>
      <c r="V354" s="40">
        <f t="shared" si="34"/>
        <v>5.28</v>
      </c>
      <c r="W354" s="40">
        <f t="shared" si="35"/>
        <v>0</v>
      </c>
    </row>
    <row r="355" spans="1:23" x14ac:dyDescent="0.2">
      <c r="A355" s="40" t="s">
        <v>966</v>
      </c>
      <c r="B355" s="40">
        <v>23.39</v>
      </c>
      <c r="C355" s="40">
        <v>23.39</v>
      </c>
      <c r="D355" s="40">
        <v>23.39</v>
      </c>
      <c r="E355" s="40">
        <v>23.39</v>
      </c>
      <c r="G355" s="36">
        <v>45177</v>
      </c>
      <c r="H355" s="40">
        <v>12.47</v>
      </c>
      <c r="I355" s="40">
        <v>45.572000000000003</v>
      </c>
      <c r="J355" s="44"/>
      <c r="K355" s="40"/>
      <c r="L355" s="45">
        <v>12.47</v>
      </c>
      <c r="M355" s="46">
        <v>45.572000000000003</v>
      </c>
      <c r="N355" s="40">
        <f t="shared" si="30"/>
        <v>-0.11929663608780969</v>
      </c>
      <c r="O355" s="40">
        <f t="shared" si="31"/>
        <v>-1.4573357591985543E-2</v>
      </c>
      <c r="P355" s="40">
        <f t="shared" si="32"/>
        <v>-1.4467680197227502E-2</v>
      </c>
      <c r="Q355" s="40"/>
      <c r="R355" s="40"/>
      <c r="S355" s="47">
        <v>45147</v>
      </c>
      <c r="T355">
        <v>5.28</v>
      </c>
      <c r="U355" s="40">
        <f t="shared" si="33"/>
        <v>0</v>
      </c>
      <c r="V355" s="40">
        <f t="shared" si="34"/>
        <v>5.28</v>
      </c>
      <c r="W355" s="40">
        <f t="shared" si="35"/>
        <v>0</v>
      </c>
    </row>
    <row r="356" spans="1:23" x14ac:dyDescent="0.2">
      <c r="A356" s="40" t="s">
        <v>967</v>
      </c>
      <c r="B356" s="40">
        <v>22.41</v>
      </c>
      <c r="C356" s="40">
        <v>22.41</v>
      </c>
      <c r="D356" s="40">
        <v>22.41</v>
      </c>
      <c r="E356" s="40">
        <v>22.41</v>
      </c>
      <c r="G356" s="36">
        <v>45176</v>
      </c>
      <c r="H356" s="40">
        <v>14.05</v>
      </c>
      <c r="I356" s="40">
        <v>46.241</v>
      </c>
      <c r="J356" s="44"/>
      <c r="K356" s="40"/>
      <c r="L356" s="45">
        <v>14.05</v>
      </c>
      <c r="M356" s="46">
        <v>46.241</v>
      </c>
      <c r="N356" s="40">
        <f t="shared" si="30"/>
        <v>5.7116547435638744E-2</v>
      </c>
      <c r="O356" s="40">
        <f t="shared" si="31"/>
        <v>-1.7577782114358096E-2</v>
      </c>
      <c r="P356" s="40">
        <f t="shared" si="32"/>
        <v>-1.7424194131021448E-2</v>
      </c>
      <c r="Q356" s="40"/>
      <c r="R356" s="40"/>
      <c r="S356" s="47">
        <v>45116</v>
      </c>
      <c r="T356">
        <v>5.28</v>
      </c>
      <c r="U356" s="40">
        <f t="shared" si="33"/>
        <v>0</v>
      </c>
      <c r="V356" s="40">
        <f t="shared" si="34"/>
        <v>5.28</v>
      </c>
      <c r="W356" s="40">
        <f t="shared" si="35"/>
        <v>0</v>
      </c>
    </row>
    <row r="357" spans="1:23" x14ac:dyDescent="0.2">
      <c r="A357" s="41">
        <v>40914</v>
      </c>
      <c r="B357" s="40">
        <v>26.2</v>
      </c>
      <c r="C357" s="40">
        <v>26.2</v>
      </c>
      <c r="D357" s="40">
        <v>26.2</v>
      </c>
      <c r="E357" s="40">
        <v>26.2</v>
      </c>
      <c r="G357" s="36">
        <v>45175</v>
      </c>
      <c r="H357" s="40">
        <v>13.27</v>
      </c>
      <c r="I357" s="40">
        <v>47.061</v>
      </c>
      <c r="J357" s="44"/>
      <c r="K357" s="40"/>
      <c r="L357" s="45">
        <v>13.27</v>
      </c>
      <c r="M357" s="46">
        <v>47.061</v>
      </c>
      <c r="N357" s="40">
        <f t="shared" si="30"/>
        <v>6.9423581087666053E-2</v>
      </c>
      <c r="O357" s="40">
        <f t="shared" si="31"/>
        <v>-3.1108366701902108E-2</v>
      </c>
      <c r="P357" s="40">
        <f t="shared" si="32"/>
        <v>-3.0629480102166966E-2</v>
      </c>
      <c r="Q357" s="40"/>
      <c r="R357" s="40"/>
      <c r="S357" s="47">
        <v>45086</v>
      </c>
      <c r="T357">
        <v>5.28</v>
      </c>
      <c r="U357" s="40">
        <f t="shared" si="33"/>
        <v>1.8957351648991973E-3</v>
      </c>
      <c r="V357" s="40">
        <f t="shared" si="34"/>
        <v>5.28</v>
      </c>
      <c r="W357" s="40">
        <f t="shared" si="35"/>
        <v>1.8957351648991973E-3</v>
      </c>
    </row>
    <row r="358" spans="1:23" x14ac:dyDescent="0.2">
      <c r="A358" s="41">
        <v>41005</v>
      </c>
      <c r="B358" s="40">
        <v>24.67</v>
      </c>
      <c r="C358" s="40">
        <v>24.67</v>
      </c>
      <c r="D358" s="40">
        <v>24.67</v>
      </c>
      <c r="E358" s="40">
        <v>24.67</v>
      </c>
      <c r="G358" s="36">
        <v>45174</v>
      </c>
      <c r="H358" s="40">
        <v>12.38</v>
      </c>
      <c r="I358" s="40">
        <v>48.548000000000002</v>
      </c>
      <c r="J358" s="44"/>
      <c r="K358" s="40"/>
      <c r="L358" s="45">
        <v>12.38</v>
      </c>
      <c r="M358" s="46">
        <v>48.548000000000002</v>
      </c>
      <c r="N358" s="40">
        <f t="shared" si="30"/>
        <v>-5.6529962950655752E-2</v>
      </c>
      <c r="O358" s="40">
        <f t="shared" si="31"/>
        <v>8.036515057962835E-4</v>
      </c>
      <c r="P358" s="40">
        <f t="shared" si="32"/>
        <v>8.039745201921598E-4</v>
      </c>
      <c r="Q358" s="40"/>
      <c r="R358" s="40"/>
      <c r="S358" s="47">
        <v>45055</v>
      </c>
      <c r="T358">
        <v>5.27</v>
      </c>
      <c r="U358" s="40">
        <f t="shared" si="33"/>
        <v>-1.895735164899312E-3</v>
      </c>
      <c r="V358" s="40">
        <f t="shared" si="34"/>
        <v>5.27</v>
      </c>
      <c r="W358" s="40">
        <f t="shared" si="35"/>
        <v>-1.895735164899312E-3</v>
      </c>
    </row>
    <row r="359" spans="1:23" x14ac:dyDescent="0.2">
      <c r="A359" s="41">
        <v>41035</v>
      </c>
      <c r="B359" s="40">
        <v>23.17</v>
      </c>
      <c r="C359" s="40">
        <v>23.17</v>
      </c>
      <c r="D359" s="40">
        <v>23.17</v>
      </c>
      <c r="E359" s="40">
        <v>23.17</v>
      </c>
      <c r="G359" s="36">
        <v>45170</v>
      </c>
      <c r="H359" s="40">
        <v>13.1</v>
      </c>
      <c r="I359" s="40">
        <v>48.509</v>
      </c>
      <c r="J359" s="44"/>
      <c r="K359" s="40"/>
      <c r="L359" s="45">
        <v>13.1</v>
      </c>
      <c r="M359" s="46">
        <v>48.509</v>
      </c>
      <c r="N359" s="40">
        <f t="shared" si="30"/>
        <v>0</v>
      </c>
      <c r="O359" s="40">
        <f t="shared" si="31"/>
        <v>-1.7289730131532354E-2</v>
      </c>
      <c r="P359" s="40">
        <f t="shared" si="32"/>
        <v>-1.7141120453854658E-2</v>
      </c>
      <c r="Q359" s="40"/>
      <c r="R359" s="40"/>
      <c r="S359" s="47">
        <v>44935</v>
      </c>
      <c r="T359">
        <v>5.28</v>
      </c>
      <c r="U359" s="40">
        <f t="shared" si="33"/>
        <v>0</v>
      </c>
      <c r="V359" s="40">
        <f t="shared" si="34"/>
        <v>5.28</v>
      </c>
      <c r="W359" s="40">
        <f t="shared" si="35"/>
        <v>0</v>
      </c>
    </row>
    <row r="360" spans="1:23" x14ac:dyDescent="0.2">
      <c r="A360" s="41">
        <v>41066</v>
      </c>
      <c r="B360" s="40">
        <v>19.309999999999999</v>
      </c>
      <c r="C360" s="40">
        <v>19.309999999999999</v>
      </c>
      <c r="D360" s="40">
        <v>19.309999999999999</v>
      </c>
      <c r="E360" s="40">
        <v>19.309999999999999</v>
      </c>
      <c r="G360" s="36">
        <v>45169</v>
      </c>
      <c r="H360" s="40">
        <v>13.1</v>
      </c>
      <c r="I360" s="40">
        <v>49.354999999999997</v>
      </c>
      <c r="J360" s="44"/>
      <c r="K360" s="40"/>
      <c r="L360" s="45">
        <v>13.1</v>
      </c>
      <c r="M360" s="46">
        <v>49.354999999999997</v>
      </c>
      <c r="N360" s="40">
        <f t="shared" si="30"/>
        <v>1.6160413256009688E-2</v>
      </c>
      <c r="O360" s="40">
        <f t="shared" si="31"/>
        <v>1.8454866877065552E-3</v>
      </c>
      <c r="P360" s="40">
        <f t="shared" si="32"/>
        <v>1.8471906463136158E-3</v>
      </c>
      <c r="Q360" s="40"/>
      <c r="R360" s="40"/>
      <c r="S360" t="s">
        <v>2679</v>
      </c>
      <c r="T360">
        <v>5.28</v>
      </c>
      <c r="U360" s="40">
        <f t="shared" si="33"/>
        <v>-1.8921481520378152E-3</v>
      </c>
      <c r="V360" s="40">
        <f t="shared" si="34"/>
        <v>5.28</v>
      </c>
      <c r="W360" s="40">
        <f t="shared" si="35"/>
        <v>-1.8921481520378152E-3</v>
      </c>
    </row>
    <row r="361" spans="1:23" x14ac:dyDescent="0.2">
      <c r="A361" s="41">
        <v>41096</v>
      </c>
      <c r="B361" s="40">
        <v>19.62</v>
      </c>
      <c r="C361" s="40">
        <v>19.62</v>
      </c>
      <c r="D361" s="40">
        <v>19.62</v>
      </c>
      <c r="E361" s="40">
        <v>19.62</v>
      </c>
      <c r="G361" s="36">
        <v>45168</v>
      </c>
      <c r="H361" s="40">
        <v>12.89</v>
      </c>
      <c r="I361" s="40">
        <v>49.264000000000003</v>
      </c>
      <c r="J361" s="44"/>
      <c r="K361" s="40"/>
      <c r="L361" s="45">
        <v>12.89</v>
      </c>
      <c r="M361" s="46">
        <v>49.264000000000003</v>
      </c>
      <c r="N361" s="40">
        <f t="shared" si="30"/>
        <v>0.2098498385402762</v>
      </c>
      <c r="O361" s="40">
        <f t="shared" si="31"/>
        <v>9.791200936245751E-3</v>
      </c>
      <c r="P361" s="40">
        <f t="shared" si="32"/>
        <v>9.8392915710069691E-3</v>
      </c>
      <c r="Q361" s="40"/>
      <c r="R361" s="40"/>
      <c r="S361" t="s">
        <v>2678</v>
      </c>
      <c r="T361">
        <v>5.29</v>
      </c>
      <c r="U361" s="40">
        <f t="shared" si="33"/>
        <v>3.7878833169371563E-3</v>
      </c>
      <c r="V361" s="40">
        <f t="shared" si="34"/>
        <v>5.29</v>
      </c>
      <c r="W361" s="40">
        <f t="shared" si="35"/>
        <v>3.7878833169371563E-3</v>
      </c>
    </row>
    <row r="362" spans="1:23" x14ac:dyDescent="0.2">
      <c r="A362" s="41">
        <v>41127</v>
      </c>
      <c r="B362" s="40">
        <v>19.850000000000001</v>
      </c>
      <c r="C362" s="40">
        <v>19.850000000000001</v>
      </c>
      <c r="D362" s="40">
        <v>19.850000000000001</v>
      </c>
      <c r="E362" s="40">
        <v>19.850000000000001</v>
      </c>
      <c r="G362" s="36">
        <v>45167</v>
      </c>
      <c r="H362" s="40">
        <v>10.45</v>
      </c>
      <c r="I362" s="40">
        <v>48.783999999999999</v>
      </c>
      <c r="J362" s="44"/>
      <c r="K362" s="40"/>
      <c r="L362" s="45">
        <v>10.45</v>
      </c>
      <c r="M362" s="46">
        <v>48.783999999999999</v>
      </c>
      <c r="N362" s="40">
        <f t="shared" si="30"/>
        <v>-0.12064973613845957</v>
      </c>
      <c r="O362" s="40">
        <f t="shared" si="31"/>
        <v>4.0771603584804993E-2</v>
      </c>
      <c r="P362" s="40">
        <f t="shared" si="32"/>
        <v>4.1614177431408092E-2</v>
      </c>
      <c r="Q362" s="40"/>
      <c r="R362" s="40"/>
      <c r="S362" t="s">
        <v>2677</v>
      </c>
      <c r="T362">
        <v>5.27</v>
      </c>
      <c r="U362" s="40">
        <f t="shared" si="33"/>
        <v>-3.7878833169370917E-3</v>
      </c>
      <c r="V362" s="40">
        <f t="shared" si="34"/>
        <v>5.27</v>
      </c>
      <c r="W362" s="40">
        <f t="shared" si="35"/>
        <v>-3.7878833169370917E-3</v>
      </c>
    </row>
    <row r="363" spans="1:23" x14ac:dyDescent="0.2">
      <c r="A363" s="41">
        <v>41219</v>
      </c>
      <c r="B363" s="40">
        <v>26.39</v>
      </c>
      <c r="C363" s="40">
        <v>26.39</v>
      </c>
      <c r="D363" s="40">
        <v>26.39</v>
      </c>
      <c r="E363" s="40">
        <v>26.39</v>
      </c>
      <c r="G363" s="36">
        <v>45166</v>
      </c>
      <c r="H363" s="40">
        <v>11.79</v>
      </c>
      <c r="I363" s="40">
        <v>46.835000000000001</v>
      </c>
      <c r="J363" s="44"/>
      <c r="K363" s="40"/>
      <c r="L363" s="45">
        <v>11.79</v>
      </c>
      <c r="M363" s="46">
        <v>46.835000000000001</v>
      </c>
      <c r="N363" s="40">
        <f t="shared" si="30"/>
        <v>-5.2056361956053267E-2</v>
      </c>
      <c r="O363" s="40">
        <f t="shared" si="31"/>
        <v>1.7598162363753032E-2</v>
      </c>
      <c r="P363" s="40">
        <f t="shared" si="32"/>
        <v>1.7753922378199838E-2</v>
      </c>
      <c r="Q363" s="40"/>
      <c r="R363" s="40"/>
      <c r="S363" t="s">
        <v>2676</v>
      </c>
      <c r="T363">
        <v>5.29</v>
      </c>
      <c r="U363" s="40">
        <f t="shared" si="33"/>
        <v>0</v>
      </c>
      <c r="V363" s="40">
        <f t="shared" si="34"/>
        <v>5.29</v>
      </c>
      <c r="W363" s="40">
        <f t="shared" si="35"/>
        <v>0</v>
      </c>
    </row>
    <row r="364" spans="1:23" x14ac:dyDescent="0.2">
      <c r="A364" s="41">
        <v>41249</v>
      </c>
      <c r="B364" s="40">
        <v>24.22</v>
      </c>
      <c r="C364" s="40">
        <v>24.22</v>
      </c>
      <c r="D364" s="40">
        <v>24.22</v>
      </c>
      <c r="E364" s="40">
        <v>24.22</v>
      </c>
      <c r="G364" s="36">
        <v>45163</v>
      </c>
      <c r="H364" s="40">
        <v>12.42</v>
      </c>
      <c r="I364" s="40">
        <v>46.018000000000001</v>
      </c>
      <c r="J364" s="44"/>
      <c r="K364" s="40"/>
      <c r="L364" s="45">
        <v>12.42</v>
      </c>
      <c r="M364" s="46">
        <v>46.018000000000001</v>
      </c>
      <c r="N364" s="40">
        <f t="shared" si="30"/>
        <v>-6.8455958722375448E-2</v>
      </c>
      <c r="O364" s="40">
        <f t="shared" si="31"/>
        <v>-2.4577062580145515E-2</v>
      </c>
      <c r="P364" s="40">
        <f t="shared" si="32"/>
        <v>-2.4277505671818928E-2</v>
      </c>
      <c r="Q364" s="40"/>
      <c r="R364" s="40"/>
      <c r="S364" t="s">
        <v>2675</v>
      </c>
      <c r="T364">
        <v>5.29</v>
      </c>
      <c r="U364" s="40">
        <f t="shared" si="33"/>
        <v>1.8921481520379623E-3</v>
      </c>
      <c r="V364" s="40">
        <f t="shared" si="34"/>
        <v>5.29</v>
      </c>
      <c r="W364" s="40">
        <f t="shared" si="35"/>
        <v>1.8921481520379623E-3</v>
      </c>
    </row>
    <row r="365" spans="1:23" x14ac:dyDescent="0.2">
      <c r="A365" s="40" t="s">
        <v>968</v>
      </c>
      <c r="B365" s="40">
        <v>26.19</v>
      </c>
      <c r="C365" s="40">
        <v>26.19</v>
      </c>
      <c r="D365" s="40">
        <v>26.19</v>
      </c>
      <c r="E365" s="40">
        <v>26.19</v>
      </c>
      <c r="G365" s="36">
        <v>45162</v>
      </c>
      <c r="H365" s="40">
        <v>13.3</v>
      </c>
      <c r="I365" s="40">
        <v>47.162999999999997</v>
      </c>
      <c r="J365" s="44"/>
      <c r="K365" s="40"/>
      <c r="L365" s="45">
        <v>13.3</v>
      </c>
      <c r="M365" s="46">
        <v>47.162999999999997</v>
      </c>
      <c r="N365" s="40">
        <f t="shared" si="30"/>
        <v>-1.7145406954988448E-2</v>
      </c>
      <c r="O365" s="40">
        <f t="shared" si="31"/>
        <v>9.9704078094845026E-4</v>
      </c>
      <c r="P365" s="40">
        <f t="shared" si="32"/>
        <v>9.9753799134045845E-4</v>
      </c>
      <c r="Q365" s="40"/>
      <c r="R365" s="40"/>
      <c r="S365" t="s">
        <v>2674</v>
      </c>
      <c r="T365">
        <v>5.28</v>
      </c>
      <c r="U365" s="40">
        <f t="shared" si="33"/>
        <v>0</v>
      </c>
      <c r="V365" s="40">
        <f t="shared" si="34"/>
        <v>5.28</v>
      </c>
      <c r="W365" s="40">
        <f t="shared" si="35"/>
        <v>0</v>
      </c>
    </row>
    <row r="366" spans="1:23" x14ac:dyDescent="0.2">
      <c r="A366" s="40" t="s">
        <v>969</v>
      </c>
      <c r="B366" s="40">
        <v>25.22</v>
      </c>
      <c r="C366" s="40">
        <v>25.22</v>
      </c>
      <c r="D366" s="40">
        <v>25.22</v>
      </c>
      <c r="E366" s="40">
        <v>25.22</v>
      </c>
      <c r="G366" s="36">
        <v>45161</v>
      </c>
      <c r="H366" s="40">
        <v>13.53</v>
      </c>
      <c r="I366" s="40">
        <v>47.116</v>
      </c>
      <c r="J366" s="44"/>
      <c r="K366" s="40"/>
      <c r="L366" s="45">
        <v>13.53</v>
      </c>
      <c r="M366" s="46">
        <v>47.116</v>
      </c>
      <c r="N366" s="40">
        <f t="shared" si="30"/>
        <v>-1.8308823402815852E-2</v>
      </c>
      <c r="O366" s="40">
        <f t="shared" si="31"/>
        <v>3.1214812282457424E-2</v>
      </c>
      <c r="P366" s="40">
        <f t="shared" si="32"/>
        <v>3.170710344223527E-2</v>
      </c>
      <c r="Q366" s="40"/>
      <c r="R366" s="40"/>
      <c r="S366" t="s">
        <v>2673</v>
      </c>
      <c r="T366">
        <v>5.28</v>
      </c>
      <c r="U366" s="40">
        <f t="shared" si="33"/>
        <v>1.8957351648991973E-3</v>
      </c>
      <c r="V366" s="40">
        <f t="shared" si="34"/>
        <v>5.28</v>
      </c>
      <c r="W366" s="40">
        <f t="shared" si="35"/>
        <v>1.8957351648991973E-3</v>
      </c>
    </row>
    <row r="367" spans="1:23" x14ac:dyDescent="0.2">
      <c r="A367" s="40" t="s">
        <v>970</v>
      </c>
      <c r="B367" s="40">
        <v>24.32</v>
      </c>
      <c r="C367" s="40">
        <v>24.32</v>
      </c>
      <c r="D367" s="40">
        <v>24.32</v>
      </c>
      <c r="E367" s="40">
        <v>24.32</v>
      </c>
      <c r="G367" s="36">
        <v>45160</v>
      </c>
      <c r="H367" s="40">
        <v>13.78</v>
      </c>
      <c r="I367" s="40">
        <v>45.667999999999999</v>
      </c>
      <c r="J367" s="44"/>
      <c r="K367" s="40"/>
      <c r="L367" s="45">
        <v>13.78</v>
      </c>
      <c r="M367" s="46">
        <v>45.667999999999999</v>
      </c>
      <c r="N367" s="40">
        <f t="shared" si="30"/>
        <v>-0.15560100640490487</v>
      </c>
      <c r="O367" s="40">
        <f t="shared" si="31"/>
        <v>-2.8047393629338363E-2</v>
      </c>
      <c r="P367" s="40">
        <f t="shared" si="32"/>
        <v>-2.7657717120531427E-2</v>
      </c>
      <c r="Q367" s="40"/>
      <c r="R367" s="40"/>
      <c r="S367" t="s">
        <v>2672</v>
      </c>
      <c r="T367">
        <v>5.27</v>
      </c>
      <c r="U367" s="40">
        <f t="shared" si="33"/>
        <v>-1.895735164899312E-3</v>
      </c>
      <c r="V367" s="40">
        <f t="shared" si="34"/>
        <v>5.27</v>
      </c>
      <c r="W367" s="40">
        <f t="shared" si="35"/>
        <v>-1.895735164899312E-3</v>
      </c>
    </row>
    <row r="368" spans="1:23" x14ac:dyDescent="0.2">
      <c r="A368" s="40" t="s">
        <v>971</v>
      </c>
      <c r="B368" s="40">
        <v>19.170000000000002</v>
      </c>
      <c r="C368" s="40">
        <v>19.170000000000002</v>
      </c>
      <c r="D368" s="40">
        <v>19.170000000000002</v>
      </c>
      <c r="E368" s="40">
        <v>19.170000000000002</v>
      </c>
      <c r="G368" s="36">
        <v>45159</v>
      </c>
      <c r="H368" s="40">
        <v>16.100000000000001</v>
      </c>
      <c r="I368" s="40">
        <v>46.966999999999999</v>
      </c>
      <c r="J368" s="44"/>
      <c r="K368" s="40"/>
      <c r="L368" s="45">
        <v>16.100000000000001</v>
      </c>
      <c r="M368" s="46">
        <v>46.966999999999999</v>
      </c>
      <c r="N368" s="40">
        <f t="shared" si="30"/>
        <v>4.8355476051307189E-2</v>
      </c>
      <c r="O368" s="40">
        <f t="shared" si="31"/>
        <v>8.1315687389882985E-2</v>
      </c>
      <c r="P368" s="40">
        <f t="shared" si="32"/>
        <v>8.4713272823852728E-2</v>
      </c>
      <c r="Q368" s="40"/>
      <c r="R368" s="40"/>
      <c r="S368" t="s">
        <v>2671</v>
      </c>
      <c r="T368">
        <v>5.28</v>
      </c>
      <c r="U368" s="40">
        <f t="shared" si="33"/>
        <v>1.8957351648991973E-3</v>
      </c>
      <c r="V368" s="40">
        <f t="shared" si="34"/>
        <v>5.28</v>
      </c>
      <c r="W368" s="40">
        <f t="shared" si="35"/>
        <v>1.8957351648991973E-3</v>
      </c>
    </row>
    <row r="369" spans="1:23" x14ac:dyDescent="0.2">
      <c r="A369" s="40" t="s">
        <v>972</v>
      </c>
      <c r="B369" s="40">
        <v>19.53</v>
      </c>
      <c r="C369" s="40">
        <v>19.53</v>
      </c>
      <c r="D369" s="40">
        <v>19.53</v>
      </c>
      <c r="E369" s="40">
        <v>19.53</v>
      </c>
      <c r="G369" s="36">
        <v>45156</v>
      </c>
      <c r="H369" s="40">
        <v>15.34</v>
      </c>
      <c r="I369" s="40">
        <v>43.298999999999999</v>
      </c>
      <c r="J369" s="44"/>
      <c r="K369" s="40"/>
      <c r="L369" s="45">
        <v>15.34</v>
      </c>
      <c r="M369" s="46">
        <v>43.298999999999999</v>
      </c>
      <c r="N369" s="40">
        <f t="shared" si="30"/>
        <v>-6.6207596816628259E-2</v>
      </c>
      <c r="O369" s="40">
        <f t="shared" si="31"/>
        <v>-1.0272096006667232E-3</v>
      </c>
      <c r="P369" s="40">
        <f t="shared" si="32"/>
        <v>-1.0266822014834824E-3</v>
      </c>
      <c r="Q369" s="40"/>
      <c r="R369" s="40"/>
      <c r="S369" t="s">
        <v>2670</v>
      </c>
      <c r="T369">
        <v>5.27</v>
      </c>
      <c r="U369" s="40">
        <f t="shared" si="33"/>
        <v>-1.895735164899312E-3</v>
      </c>
      <c r="V369" s="40">
        <f t="shared" si="34"/>
        <v>5.27</v>
      </c>
      <c r="W369" s="40">
        <f t="shared" si="35"/>
        <v>-1.895735164899312E-3</v>
      </c>
    </row>
    <row r="370" spans="1:23" x14ac:dyDescent="0.2">
      <c r="A370" s="40" t="s">
        <v>973</v>
      </c>
      <c r="B370" s="40">
        <v>17.440000000000001</v>
      </c>
      <c r="C370" s="40">
        <v>17.440000000000001</v>
      </c>
      <c r="D370" s="40">
        <v>17.440000000000001</v>
      </c>
      <c r="E370" s="40">
        <v>17.440000000000001</v>
      </c>
      <c r="G370" s="36">
        <v>45155</v>
      </c>
      <c r="H370" s="40">
        <v>16.39</v>
      </c>
      <c r="I370" s="40">
        <v>43.343499999999999</v>
      </c>
      <c r="J370" s="44"/>
      <c r="K370" s="40"/>
      <c r="L370" s="45">
        <v>16.39</v>
      </c>
      <c r="M370" s="46">
        <v>43.343499999999999</v>
      </c>
      <c r="N370" s="40">
        <f t="shared" si="30"/>
        <v>-2.5897261789063663E-2</v>
      </c>
      <c r="O370" s="40">
        <f t="shared" si="31"/>
        <v>-3.2822975586642334E-3</v>
      </c>
      <c r="P370" s="40">
        <f t="shared" si="32"/>
        <v>-3.2769167088257901E-3</v>
      </c>
      <c r="Q370" s="40"/>
      <c r="R370" s="40"/>
      <c r="S370" t="s">
        <v>2669</v>
      </c>
      <c r="T370">
        <v>5.28</v>
      </c>
      <c r="U370" s="40">
        <f t="shared" si="33"/>
        <v>3.7950709685517555E-3</v>
      </c>
      <c r="V370" s="40">
        <f t="shared" si="34"/>
        <v>5.28</v>
      </c>
      <c r="W370" s="40">
        <f t="shared" si="35"/>
        <v>3.7950709685517555E-3</v>
      </c>
    </row>
    <row r="371" spans="1:23" x14ac:dyDescent="0.2">
      <c r="A371" s="40" t="s">
        <v>974</v>
      </c>
      <c r="B371" s="40">
        <v>20.92</v>
      </c>
      <c r="C371" s="40">
        <v>20.92</v>
      </c>
      <c r="D371" s="40">
        <v>20.92</v>
      </c>
      <c r="E371" s="40">
        <v>20.92</v>
      </c>
      <c r="G371" s="36">
        <v>45154</v>
      </c>
      <c r="H371" s="40">
        <v>16.82</v>
      </c>
      <c r="I371" s="40">
        <v>43.485999999999997</v>
      </c>
      <c r="J371" s="44"/>
      <c r="K371" s="40"/>
      <c r="L371" s="45">
        <v>16.82</v>
      </c>
      <c r="M371" s="46">
        <v>43.485999999999997</v>
      </c>
      <c r="N371" s="40">
        <f t="shared" si="30"/>
        <v>1.6786964949256911E-2</v>
      </c>
      <c r="O371" s="40">
        <f t="shared" si="31"/>
        <v>-1.0386019743597093E-2</v>
      </c>
      <c r="P371" s="40">
        <f t="shared" si="32"/>
        <v>-1.0332271279016855E-2</v>
      </c>
      <c r="Q371" s="40"/>
      <c r="R371" s="40"/>
      <c r="S371" t="s">
        <v>2668</v>
      </c>
      <c r="T371">
        <v>5.26</v>
      </c>
      <c r="U371" s="40">
        <f t="shared" si="33"/>
        <v>-1.8993358036524051E-3</v>
      </c>
      <c r="V371" s="40">
        <f t="shared" si="34"/>
        <v>5.26</v>
      </c>
      <c r="W371" s="40">
        <f t="shared" si="35"/>
        <v>-1.8993358036524051E-3</v>
      </c>
    </row>
    <row r="372" spans="1:23" x14ac:dyDescent="0.2">
      <c r="A372" s="40" t="s">
        <v>975</v>
      </c>
      <c r="B372" s="40">
        <v>17.940000000000001</v>
      </c>
      <c r="C372" s="40">
        <v>17.940000000000001</v>
      </c>
      <c r="D372" s="40">
        <v>17.940000000000001</v>
      </c>
      <c r="E372" s="40">
        <v>17.940000000000001</v>
      </c>
      <c r="G372" s="36">
        <v>45153</v>
      </c>
      <c r="H372" s="40">
        <v>16.54</v>
      </c>
      <c r="I372" s="40">
        <v>43.94</v>
      </c>
      <c r="J372" s="44"/>
      <c r="K372" s="40"/>
      <c r="L372" s="45">
        <v>16.54</v>
      </c>
      <c r="M372" s="46">
        <v>43.94</v>
      </c>
      <c r="N372" s="40">
        <f t="shared" si="30"/>
        <v>-5.4703434550419976E-2</v>
      </c>
      <c r="O372" s="40">
        <f t="shared" si="31"/>
        <v>4.2648850751822263E-3</v>
      </c>
      <c r="P372" s="40">
        <f t="shared" si="32"/>
        <v>4.2739926405045963E-3</v>
      </c>
      <c r="Q372" s="40"/>
      <c r="R372" s="40"/>
      <c r="S372" t="s">
        <v>2667</v>
      </c>
      <c r="T372">
        <v>5.27</v>
      </c>
      <c r="U372" s="40">
        <f t="shared" si="33"/>
        <v>-1.895735164899312E-3</v>
      </c>
      <c r="V372" s="40">
        <f t="shared" si="34"/>
        <v>5.27</v>
      </c>
      <c r="W372" s="40">
        <f t="shared" si="35"/>
        <v>-1.895735164899312E-3</v>
      </c>
    </row>
    <row r="373" spans="1:23" x14ac:dyDescent="0.2">
      <c r="A373" s="40" t="s">
        <v>976</v>
      </c>
      <c r="B373" s="40">
        <v>20.399999999999999</v>
      </c>
      <c r="C373" s="40">
        <v>20.399999999999999</v>
      </c>
      <c r="D373" s="40">
        <v>20.399999999999999</v>
      </c>
      <c r="E373" s="40">
        <v>20.399999999999999</v>
      </c>
      <c r="G373" s="36">
        <v>45152</v>
      </c>
      <c r="H373" s="40">
        <v>17.47</v>
      </c>
      <c r="I373" s="40">
        <v>43.753</v>
      </c>
      <c r="J373" s="44"/>
      <c r="K373" s="40"/>
      <c r="L373" s="45">
        <v>17.47</v>
      </c>
      <c r="M373" s="46">
        <v>43.753</v>
      </c>
      <c r="N373" s="40">
        <f t="shared" si="30"/>
        <v>6.564579297136422E-2</v>
      </c>
      <c r="O373" s="40">
        <f t="shared" si="31"/>
        <v>6.8530969044611312E-2</v>
      </c>
      <c r="P373" s="40">
        <f t="shared" si="32"/>
        <v>7.0933790233753596E-2</v>
      </c>
      <c r="Q373" s="40"/>
      <c r="R373" s="40"/>
      <c r="S373" t="s">
        <v>2666</v>
      </c>
      <c r="T373">
        <v>5.28</v>
      </c>
      <c r="U373" s="40">
        <f t="shared" si="33"/>
        <v>0</v>
      </c>
      <c r="V373" s="40">
        <f t="shared" si="34"/>
        <v>5.28</v>
      </c>
      <c r="W373" s="40">
        <f t="shared" si="35"/>
        <v>0</v>
      </c>
    </row>
    <row r="374" spans="1:23" x14ac:dyDescent="0.2">
      <c r="A374" s="40" t="s">
        <v>977</v>
      </c>
      <c r="B374" s="40">
        <v>18.739999999999998</v>
      </c>
      <c r="C374" s="40">
        <v>18.739999999999998</v>
      </c>
      <c r="D374" s="40">
        <v>18.739999999999998</v>
      </c>
      <c r="E374" s="40">
        <v>18.739999999999998</v>
      </c>
      <c r="G374" s="36">
        <v>45149</v>
      </c>
      <c r="H374" s="40">
        <v>16.36</v>
      </c>
      <c r="I374" s="40">
        <v>40.854999999999997</v>
      </c>
      <c r="J374" s="44"/>
      <c r="K374" s="40"/>
      <c r="L374" s="45">
        <v>16.36</v>
      </c>
      <c r="M374" s="46">
        <v>40.854999999999997</v>
      </c>
      <c r="N374" s="40">
        <f t="shared" si="30"/>
        <v>-1.2150817782512579E-2</v>
      </c>
      <c r="O374" s="40">
        <f t="shared" si="31"/>
        <v>-3.6836090475918792E-2</v>
      </c>
      <c r="P374" s="40">
        <f t="shared" si="32"/>
        <v>-3.616589600830427E-2</v>
      </c>
      <c r="Q374" s="40"/>
      <c r="R374" s="40"/>
      <c r="S374" s="47">
        <v>45238</v>
      </c>
      <c r="T374">
        <v>5.28</v>
      </c>
      <c r="U374" s="40">
        <f t="shared" si="33"/>
        <v>0</v>
      </c>
      <c r="V374" s="40">
        <f t="shared" si="34"/>
        <v>5.28</v>
      </c>
      <c r="W374" s="40">
        <f t="shared" si="35"/>
        <v>0</v>
      </c>
    </row>
    <row r="375" spans="1:23" x14ac:dyDescent="0.2">
      <c r="A375" s="40" t="s">
        <v>978</v>
      </c>
      <c r="B375" s="40">
        <v>17.12</v>
      </c>
      <c r="C375" s="40">
        <v>17.12</v>
      </c>
      <c r="D375" s="40">
        <v>17.12</v>
      </c>
      <c r="E375" s="40">
        <v>17.12</v>
      </c>
      <c r="G375" s="36">
        <v>45148</v>
      </c>
      <c r="H375" s="40">
        <v>16.559999999999999</v>
      </c>
      <c r="I375" s="40">
        <v>42.387999999999998</v>
      </c>
      <c r="J375" s="44"/>
      <c r="K375" s="40"/>
      <c r="L375" s="45">
        <v>16.559999999999999</v>
      </c>
      <c r="M375" s="46">
        <v>42.387999999999998</v>
      </c>
      <c r="N375" s="40">
        <f t="shared" si="30"/>
        <v>0.12802552875000009</v>
      </c>
      <c r="O375" s="40">
        <f t="shared" si="31"/>
        <v>-3.9085543389365679E-3</v>
      </c>
      <c r="P375" s="40">
        <f t="shared" si="32"/>
        <v>-3.9009258824083261E-3</v>
      </c>
      <c r="Q375" s="40"/>
      <c r="R375" s="40"/>
      <c r="S375" s="47">
        <v>45207</v>
      </c>
      <c r="T375">
        <v>5.28</v>
      </c>
      <c r="U375" s="40">
        <f t="shared" si="33"/>
        <v>5.6980211146377959E-3</v>
      </c>
      <c r="V375" s="40">
        <f t="shared" si="34"/>
        <v>5.28</v>
      </c>
      <c r="W375" s="40">
        <f t="shared" si="35"/>
        <v>5.6980211146377959E-3</v>
      </c>
    </row>
    <row r="376" spans="1:23" x14ac:dyDescent="0.2">
      <c r="A376" s="40" t="s">
        <v>979</v>
      </c>
      <c r="B376" s="40">
        <v>18.14</v>
      </c>
      <c r="C376" s="40">
        <v>18.14</v>
      </c>
      <c r="D376" s="40">
        <v>18.14</v>
      </c>
      <c r="E376" s="40">
        <v>18.14</v>
      </c>
      <c r="G376" s="36">
        <v>45147</v>
      </c>
      <c r="H376" s="40">
        <v>14.57</v>
      </c>
      <c r="I376" s="40">
        <v>42.554000000000002</v>
      </c>
      <c r="J376" s="44"/>
      <c r="K376" s="40"/>
      <c r="L376" s="45">
        <v>14.57</v>
      </c>
      <c r="M376" s="46">
        <v>42.554000000000002</v>
      </c>
      <c r="N376" s="40">
        <f t="shared" si="30"/>
        <v>6.6691374498672143E-2</v>
      </c>
      <c r="O376" s="40">
        <f t="shared" si="31"/>
        <v>-4.8393950356533211E-2</v>
      </c>
      <c r="P376" s="40">
        <f t="shared" si="32"/>
        <v>-4.7241626365753166E-2</v>
      </c>
      <c r="Q376" s="40"/>
      <c r="R376" s="40"/>
      <c r="S376" s="47">
        <v>45177</v>
      </c>
      <c r="T376">
        <v>5.25</v>
      </c>
      <c r="U376" s="40">
        <f t="shared" si="33"/>
        <v>-5.6980211146377786E-3</v>
      </c>
      <c r="V376" s="40">
        <f t="shared" si="34"/>
        <v>5.25</v>
      </c>
      <c r="W376" s="40">
        <f t="shared" si="35"/>
        <v>-5.6980211146377786E-3</v>
      </c>
    </row>
    <row r="377" spans="1:23" x14ac:dyDescent="0.2">
      <c r="A377" s="40" t="s">
        <v>980</v>
      </c>
      <c r="B377" s="40">
        <v>15.01</v>
      </c>
      <c r="C377" s="40">
        <v>15.01</v>
      </c>
      <c r="D377" s="40">
        <v>15.01</v>
      </c>
      <c r="E377" s="40">
        <v>15.01</v>
      </c>
      <c r="G377" s="36">
        <v>45146</v>
      </c>
      <c r="H377" s="40">
        <v>13.63</v>
      </c>
      <c r="I377" s="40">
        <v>44.664000000000001</v>
      </c>
      <c r="J377" s="44"/>
      <c r="K377" s="40"/>
      <c r="L377" s="45">
        <v>13.63</v>
      </c>
      <c r="M377" s="46">
        <v>44.664000000000001</v>
      </c>
      <c r="N377" s="40">
        <f t="shared" si="30"/>
        <v>-0.12079471836905668</v>
      </c>
      <c r="O377" s="40">
        <f t="shared" si="31"/>
        <v>-1.6707667135680317E-2</v>
      </c>
      <c r="P377" s="40">
        <f t="shared" si="32"/>
        <v>-1.6568868142635335E-2</v>
      </c>
      <c r="Q377" s="40"/>
      <c r="R377" s="40"/>
      <c r="S377" s="47">
        <v>45146</v>
      </c>
      <c r="T377">
        <v>5.28</v>
      </c>
      <c r="U377" s="40">
        <f t="shared" si="33"/>
        <v>1.8957351648991973E-3</v>
      </c>
      <c r="V377" s="40">
        <f t="shared" si="34"/>
        <v>5.28</v>
      </c>
      <c r="W377" s="40">
        <f t="shared" si="35"/>
        <v>1.8957351648991973E-3</v>
      </c>
    </row>
    <row r="378" spans="1:23" x14ac:dyDescent="0.2">
      <c r="A378" s="41">
        <v>40946</v>
      </c>
      <c r="B378" s="40">
        <v>15.11</v>
      </c>
      <c r="C378" s="40">
        <v>15.11</v>
      </c>
      <c r="D378" s="40">
        <v>15.11</v>
      </c>
      <c r="E378" s="40">
        <v>15.11</v>
      </c>
      <c r="G378" s="36">
        <v>45145</v>
      </c>
      <c r="H378" s="40">
        <v>15.38</v>
      </c>
      <c r="I378" s="40">
        <v>45.416499999999999</v>
      </c>
      <c r="J378" s="44"/>
      <c r="K378" s="40"/>
      <c r="L378" s="45">
        <v>15.38</v>
      </c>
      <c r="M378" s="46">
        <v>45.416499999999999</v>
      </c>
      <c r="N378" s="40">
        <f t="shared" si="30"/>
        <v>3.2562711937752136E-3</v>
      </c>
      <c r="O378" s="40">
        <f t="shared" si="31"/>
        <v>1.6349500942739643E-2</v>
      </c>
      <c r="P378" s="40">
        <f t="shared" si="32"/>
        <v>1.6483885407341081E-2</v>
      </c>
      <c r="Q378" s="40"/>
      <c r="R378" s="40"/>
      <c r="S378" s="47">
        <v>45115</v>
      </c>
      <c r="T378">
        <v>5.27</v>
      </c>
      <c r="U378" s="40">
        <f t="shared" si="33"/>
        <v>0</v>
      </c>
      <c r="V378" s="40">
        <f t="shared" si="34"/>
        <v>5.27</v>
      </c>
      <c r="W378" s="40">
        <f t="shared" si="35"/>
        <v>0</v>
      </c>
    </row>
    <row r="379" spans="1:23" x14ac:dyDescent="0.2">
      <c r="A379" s="41">
        <v>40975</v>
      </c>
      <c r="B379" s="40">
        <v>14.68</v>
      </c>
      <c r="C379" s="40">
        <v>14.68</v>
      </c>
      <c r="D379" s="40">
        <v>14.68</v>
      </c>
      <c r="E379" s="40">
        <v>14.68</v>
      </c>
      <c r="G379" s="36">
        <v>45142</v>
      </c>
      <c r="H379" s="40">
        <v>15.33</v>
      </c>
      <c r="I379" s="40">
        <v>44.68</v>
      </c>
      <c r="J379" s="44"/>
      <c r="K379" s="40"/>
      <c r="L379" s="45">
        <v>15.33</v>
      </c>
      <c r="M379" s="46">
        <v>44.68</v>
      </c>
      <c r="N379" s="40">
        <f t="shared" si="30"/>
        <v>3.4509064604015344E-2</v>
      </c>
      <c r="O379" s="40">
        <f t="shared" si="31"/>
        <v>3.6997631753653663E-3</v>
      </c>
      <c r="P379" s="40">
        <f t="shared" si="32"/>
        <v>3.7066157475008233E-3</v>
      </c>
      <c r="Q379" s="40"/>
      <c r="R379" s="40"/>
      <c r="S379" s="47">
        <v>45024</v>
      </c>
      <c r="T379">
        <v>5.27</v>
      </c>
      <c r="U379" s="40">
        <f t="shared" si="33"/>
        <v>-1.895735164899312E-3</v>
      </c>
      <c r="V379" s="40">
        <f t="shared" si="34"/>
        <v>5.27</v>
      </c>
      <c r="W379" s="40">
        <f t="shared" si="35"/>
        <v>-1.895735164899312E-3</v>
      </c>
    </row>
    <row r="380" spans="1:23" x14ac:dyDescent="0.2">
      <c r="A380" s="41">
        <v>41036</v>
      </c>
      <c r="B380" s="40">
        <v>15.78</v>
      </c>
      <c r="C380" s="40">
        <v>15.78</v>
      </c>
      <c r="D380" s="40">
        <v>15.78</v>
      </c>
      <c r="E380" s="40">
        <v>15.78</v>
      </c>
      <c r="G380" s="36">
        <v>45141</v>
      </c>
      <c r="H380" s="40">
        <v>14.81</v>
      </c>
      <c r="I380" s="40">
        <v>44.515000000000001</v>
      </c>
      <c r="J380" s="44"/>
      <c r="K380" s="40"/>
      <c r="L380" s="45">
        <v>14.81</v>
      </c>
      <c r="M380" s="46">
        <v>44.515000000000001</v>
      </c>
      <c r="N380" s="40">
        <f t="shared" si="30"/>
        <v>8.816605093338049E-3</v>
      </c>
      <c r="O380" s="40">
        <f t="shared" si="31"/>
        <v>5.5415531972049271E-3</v>
      </c>
      <c r="P380" s="40">
        <f t="shared" si="32"/>
        <v>5.5569360048793115E-3</v>
      </c>
      <c r="Q380" s="40"/>
      <c r="R380" s="40"/>
      <c r="S380" s="47">
        <v>44993</v>
      </c>
      <c r="T380">
        <v>5.28</v>
      </c>
      <c r="U380" s="40">
        <f t="shared" si="33"/>
        <v>1.8957351648991973E-3</v>
      </c>
      <c r="V380" s="40">
        <f t="shared" si="34"/>
        <v>5.28</v>
      </c>
      <c r="W380" s="40">
        <f t="shared" si="35"/>
        <v>1.8957351648991973E-3</v>
      </c>
    </row>
    <row r="381" spans="1:23" x14ac:dyDescent="0.2">
      <c r="A381" s="41">
        <v>41067</v>
      </c>
      <c r="B381" s="40">
        <v>15.01</v>
      </c>
      <c r="C381" s="40">
        <v>15.01</v>
      </c>
      <c r="D381" s="40">
        <v>15.01</v>
      </c>
      <c r="E381" s="40">
        <v>15.01</v>
      </c>
      <c r="G381" s="36">
        <v>45140</v>
      </c>
      <c r="H381" s="40">
        <v>14.68</v>
      </c>
      <c r="I381" s="40">
        <v>44.268999999999998</v>
      </c>
      <c r="J381" s="44"/>
      <c r="K381" s="40"/>
      <c r="L381" s="45">
        <v>14.68</v>
      </c>
      <c r="M381" s="46">
        <v>44.268999999999998</v>
      </c>
      <c r="N381" s="40">
        <f t="shared" si="30"/>
        <v>-9.1711937817922362E-2</v>
      </c>
      <c r="O381" s="40">
        <f t="shared" si="31"/>
        <v>-4.9318181069636903E-2</v>
      </c>
      <c r="P381" s="40">
        <f t="shared" si="32"/>
        <v>-4.8121788117917723E-2</v>
      </c>
      <c r="Q381" s="40"/>
      <c r="R381" s="40"/>
      <c r="S381" s="47">
        <v>44965</v>
      </c>
      <c r="T381">
        <v>5.27</v>
      </c>
      <c r="U381" s="40">
        <f t="shared" si="33"/>
        <v>-1.895735164899312E-3</v>
      </c>
      <c r="V381" s="40">
        <f t="shared" si="34"/>
        <v>5.27</v>
      </c>
      <c r="W381" s="40">
        <f t="shared" si="35"/>
        <v>-1.895735164899312E-3</v>
      </c>
    </row>
    <row r="382" spans="1:23" x14ac:dyDescent="0.2">
      <c r="A382" s="41">
        <v>41159</v>
      </c>
      <c r="B382" s="40">
        <v>17.13</v>
      </c>
      <c r="C382" s="40">
        <v>17.13</v>
      </c>
      <c r="D382" s="40">
        <v>17.13</v>
      </c>
      <c r="E382" s="40">
        <v>17.13</v>
      </c>
      <c r="G382" s="36">
        <v>45139</v>
      </c>
      <c r="H382" s="40">
        <v>16.09</v>
      </c>
      <c r="I382" s="40">
        <v>46.506999999999998</v>
      </c>
      <c r="J382" s="44"/>
      <c r="K382" s="40"/>
      <c r="L382" s="45">
        <v>16.09</v>
      </c>
      <c r="M382" s="46">
        <v>46.506999999999998</v>
      </c>
      <c r="N382" s="40">
        <f t="shared" si="30"/>
        <v>6.6155738632544259E-2</v>
      </c>
      <c r="O382" s="40">
        <f t="shared" si="31"/>
        <v>-4.7621180560847454E-3</v>
      </c>
      <c r="P382" s="40">
        <f t="shared" si="32"/>
        <v>-4.7507971495217381E-3</v>
      </c>
      <c r="Q382" s="40"/>
      <c r="R382" s="40"/>
      <c r="S382" s="47">
        <v>44934</v>
      </c>
      <c r="T382">
        <v>5.28</v>
      </c>
      <c r="U382" s="40">
        <f t="shared" si="33"/>
        <v>1.8957351648991973E-3</v>
      </c>
      <c r="V382" s="40">
        <f t="shared" si="34"/>
        <v>5.28</v>
      </c>
      <c r="W382" s="40">
        <f t="shared" si="35"/>
        <v>1.8957351648991973E-3</v>
      </c>
    </row>
    <row r="383" spans="1:23" x14ac:dyDescent="0.2">
      <c r="A383" s="41">
        <v>41189</v>
      </c>
      <c r="B383" s="40">
        <v>18.100000000000001</v>
      </c>
      <c r="C383" s="40">
        <v>18.100000000000001</v>
      </c>
      <c r="D383" s="40">
        <v>18.100000000000001</v>
      </c>
      <c r="E383" s="40">
        <v>18.100000000000001</v>
      </c>
      <c r="G383" s="36">
        <v>45138</v>
      </c>
      <c r="H383" s="40">
        <v>15.06</v>
      </c>
      <c r="I383" s="40">
        <v>46.728999999999999</v>
      </c>
      <c r="J383" s="44"/>
      <c r="K383" s="40"/>
      <c r="L383" s="45">
        <v>15.06</v>
      </c>
      <c r="M383" s="46">
        <v>46.728999999999999</v>
      </c>
      <c r="N383" s="40">
        <f t="shared" si="30"/>
        <v>-2.2325287047835908E-2</v>
      </c>
      <c r="O383" s="40">
        <f t="shared" si="31"/>
        <v>-4.4929878054472097E-4</v>
      </c>
      <c r="P383" s="40">
        <f t="shared" si="32"/>
        <v>-4.4919786096258386E-4</v>
      </c>
      <c r="Q383" s="40"/>
      <c r="R383" s="40"/>
      <c r="S383" t="s">
        <v>2665</v>
      </c>
      <c r="T383">
        <v>5.27</v>
      </c>
      <c r="U383" s="40">
        <f t="shared" si="33"/>
        <v>1.8993358036523157E-3</v>
      </c>
      <c r="V383" s="40">
        <f t="shared" si="34"/>
        <v>5.27</v>
      </c>
      <c r="W383" s="40">
        <f t="shared" si="35"/>
        <v>1.8993358036523157E-3</v>
      </c>
    </row>
    <row r="384" spans="1:23" x14ac:dyDescent="0.2">
      <c r="A384" s="41">
        <v>41220</v>
      </c>
      <c r="B384" s="40">
        <v>17.260000000000002</v>
      </c>
      <c r="C384" s="40">
        <v>17.260000000000002</v>
      </c>
      <c r="D384" s="40">
        <v>17.260000000000002</v>
      </c>
      <c r="E384" s="40">
        <v>17.260000000000002</v>
      </c>
      <c r="G384" s="36">
        <v>45135</v>
      </c>
      <c r="H384" s="40">
        <v>15.4</v>
      </c>
      <c r="I384" s="40">
        <v>46.75</v>
      </c>
      <c r="J384" s="44"/>
      <c r="K384" s="40"/>
      <c r="L384" s="45">
        <v>15.4</v>
      </c>
      <c r="M384" s="46">
        <v>46.75</v>
      </c>
      <c r="N384" s="40">
        <f t="shared" si="30"/>
        <v>0.16864921689516965</v>
      </c>
      <c r="O384" s="40">
        <f t="shared" si="31"/>
        <v>1.8349138668196617E-2</v>
      </c>
      <c r="P384" s="40">
        <f t="shared" si="32"/>
        <v>1.8518518518518549E-2</v>
      </c>
      <c r="Q384" s="40"/>
      <c r="R384" s="40"/>
      <c r="S384" t="s">
        <v>2664</v>
      </c>
      <c r="T384">
        <v>5.26</v>
      </c>
      <c r="U384" s="40">
        <f t="shared" si="33"/>
        <v>-1.8993358036524051E-3</v>
      </c>
      <c r="V384" s="40">
        <f t="shared" si="34"/>
        <v>5.26</v>
      </c>
      <c r="W384" s="40">
        <f t="shared" si="35"/>
        <v>-1.8993358036524051E-3</v>
      </c>
    </row>
    <row r="385" spans="1:23" x14ac:dyDescent="0.2">
      <c r="A385" s="41">
        <v>41250</v>
      </c>
      <c r="B385" s="40">
        <v>18.010000000000002</v>
      </c>
      <c r="C385" s="40">
        <v>18.010000000000002</v>
      </c>
      <c r="D385" s="40">
        <v>18.010000000000002</v>
      </c>
      <c r="E385" s="40">
        <v>18.010000000000002</v>
      </c>
      <c r="G385" s="36">
        <v>45134</v>
      </c>
      <c r="H385" s="40">
        <v>13.01</v>
      </c>
      <c r="I385" s="40">
        <v>45.9</v>
      </c>
      <c r="J385" s="44"/>
      <c r="K385" s="40"/>
      <c r="L385" s="45">
        <v>13.01</v>
      </c>
      <c r="M385" s="46">
        <v>45.9</v>
      </c>
      <c r="N385" s="40">
        <f t="shared" si="30"/>
        <v>3.0435435411346818E-2</v>
      </c>
      <c r="O385" s="40">
        <f t="shared" si="31"/>
        <v>9.8082930107369296E-3</v>
      </c>
      <c r="P385" s="40">
        <f t="shared" si="32"/>
        <v>9.856551966910156E-3</v>
      </c>
      <c r="Q385" s="40"/>
      <c r="R385" s="40"/>
      <c r="S385" t="s">
        <v>2663</v>
      </c>
      <c r="T385">
        <v>5.27</v>
      </c>
      <c r="U385" s="40">
        <f t="shared" si="33"/>
        <v>0</v>
      </c>
      <c r="V385" s="40">
        <f t="shared" si="34"/>
        <v>5.27</v>
      </c>
      <c r="W385" s="40">
        <f t="shared" si="35"/>
        <v>0</v>
      </c>
    </row>
    <row r="386" spans="1:23" x14ac:dyDescent="0.2">
      <c r="A386" s="40" t="s">
        <v>981</v>
      </c>
      <c r="B386" s="40">
        <v>14.7</v>
      </c>
      <c r="C386" s="40">
        <v>14.7</v>
      </c>
      <c r="D386" s="40">
        <v>14.7</v>
      </c>
      <c r="E386" s="40">
        <v>14.7</v>
      </c>
      <c r="G386" s="36">
        <v>45133</v>
      </c>
      <c r="H386" s="40">
        <v>12.62</v>
      </c>
      <c r="I386" s="40">
        <v>45.451999999999998</v>
      </c>
      <c r="J386" s="44"/>
      <c r="K386" s="40"/>
      <c r="L386" s="45">
        <v>12.62</v>
      </c>
      <c r="M386" s="46">
        <v>45.451999999999998</v>
      </c>
      <c r="N386" s="40">
        <f t="shared" si="30"/>
        <v>0.11669408836271518</v>
      </c>
      <c r="O386" s="40">
        <f t="shared" si="31"/>
        <v>-4.9818496338077363E-3</v>
      </c>
      <c r="P386" s="40">
        <f t="shared" si="32"/>
        <v>-4.9694608025570583E-3</v>
      </c>
      <c r="Q386" s="40"/>
      <c r="R386" s="40"/>
      <c r="S386" t="s">
        <v>2662</v>
      </c>
      <c r="T386">
        <v>5.27</v>
      </c>
      <c r="U386" s="40">
        <f t="shared" si="33"/>
        <v>-1.895735164899312E-3</v>
      </c>
      <c r="V386" s="40">
        <f t="shared" si="34"/>
        <v>5.27</v>
      </c>
      <c r="W386" s="40">
        <f t="shared" si="35"/>
        <v>-1.895735164899312E-3</v>
      </c>
    </row>
    <row r="387" spans="1:23" x14ac:dyDescent="0.2">
      <c r="A387" s="40" t="s">
        <v>982</v>
      </c>
      <c r="B387" s="40">
        <v>16.53</v>
      </c>
      <c r="C387" s="40">
        <v>16.53</v>
      </c>
      <c r="D387" s="40">
        <v>16.53</v>
      </c>
      <c r="E387" s="40">
        <v>16.53</v>
      </c>
      <c r="G387" s="36">
        <v>45132</v>
      </c>
      <c r="H387" s="40">
        <v>11.23</v>
      </c>
      <c r="I387" s="40">
        <v>45.679000000000002</v>
      </c>
      <c r="J387" s="44"/>
      <c r="K387" s="40"/>
      <c r="L387" s="45">
        <v>11.23</v>
      </c>
      <c r="M387" s="46">
        <v>45.679000000000002</v>
      </c>
      <c r="N387" s="40">
        <f t="shared" ref="N387:N450" si="36">LN(L387/L388)</f>
        <v>-0.1818762216719208</v>
      </c>
      <c r="O387" s="40">
        <f t="shared" ref="O387:O450" si="37">LN(M387/M388)</f>
        <v>2.3635792557279683E-2</v>
      </c>
      <c r="P387" s="40">
        <f t="shared" ref="P387:P450" si="38">(M387-M388)/M388</f>
        <v>2.3917331659643149E-2</v>
      </c>
      <c r="Q387" s="40"/>
      <c r="R387" s="40"/>
      <c r="S387" t="s">
        <v>2661</v>
      </c>
      <c r="T387">
        <v>5.28</v>
      </c>
      <c r="U387" s="40">
        <f t="shared" ref="U387:U450" si="39">LN(T387/T388)</f>
        <v>3.7950709685517555E-3</v>
      </c>
      <c r="V387" s="40">
        <f t="shared" ref="V387:V450" si="40">IF(T387=0, 0.001,T387)</f>
        <v>5.28</v>
      </c>
      <c r="W387" s="40">
        <f t="shared" ref="W387:W450" si="41">LN(V387/V388)</f>
        <v>3.7950709685517555E-3</v>
      </c>
    </row>
    <row r="388" spans="1:23" x14ac:dyDescent="0.2">
      <c r="A388" s="40" t="s">
        <v>983</v>
      </c>
      <c r="B388" s="40">
        <v>15.63</v>
      </c>
      <c r="C388" s="40">
        <v>15.63</v>
      </c>
      <c r="D388" s="40">
        <v>15.63</v>
      </c>
      <c r="E388" s="40">
        <v>15.63</v>
      </c>
      <c r="G388" s="36">
        <v>45131</v>
      </c>
      <c r="H388" s="40">
        <v>13.47</v>
      </c>
      <c r="I388" s="40">
        <v>44.612000000000002</v>
      </c>
      <c r="J388" s="44"/>
      <c r="K388" s="40"/>
      <c r="L388" s="45">
        <v>13.47</v>
      </c>
      <c r="M388" s="46">
        <v>44.612000000000002</v>
      </c>
      <c r="N388" s="40">
        <f t="shared" si="36"/>
        <v>0.13746317602232228</v>
      </c>
      <c r="O388" s="40">
        <f t="shared" si="37"/>
        <v>6.8150644445735264E-3</v>
      </c>
      <c r="P388" s="40">
        <f t="shared" si="38"/>
        <v>6.8383398406645238E-3</v>
      </c>
      <c r="Q388" s="40"/>
      <c r="R388" s="40"/>
      <c r="S388" t="s">
        <v>2660</v>
      </c>
      <c r="T388">
        <v>5.26</v>
      </c>
      <c r="U388" s="40">
        <f t="shared" si="39"/>
        <v>0</v>
      </c>
      <c r="V388" s="40">
        <f t="shared" si="40"/>
        <v>5.26</v>
      </c>
      <c r="W388" s="40">
        <f t="shared" si="41"/>
        <v>0</v>
      </c>
    </row>
    <row r="389" spans="1:23" x14ac:dyDescent="0.2">
      <c r="A389" s="40" t="s">
        <v>984</v>
      </c>
      <c r="B389" s="40">
        <v>15</v>
      </c>
      <c r="C389" s="40">
        <v>15</v>
      </c>
      <c r="D389" s="40">
        <v>15</v>
      </c>
      <c r="E389" s="40">
        <v>15</v>
      </c>
      <c r="G389" s="36">
        <v>45128</v>
      </c>
      <c r="H389" s="40">
        <v>11.74</v>
      </c>
      <c r="I389" s="40">
        <v>44.308999999999997</v>
      </c>
      <c r="J389" s="44"/>
      <c r="K389" s="40"/>
      <c r="L389" s="45">
        <v>11.74</v>
      </c>
      <c r="M389" s="46">
        <v>44.308999999999997</v>
      </c>
      <c r="N389" s="40">
        <f t="shared" si="36"/>
        <v>-0.13894685581971408</v>
      </c>
      <c r="O389" s="40">
        <f t="shared" si="37"/>
        <v>-2.6963973130358466E-2</v>
      </c>
      <c r="P389" s="40">
        <f t="shared" si="38"/>
        <v>-2.6603690685413128E-2</v>
      </c>
      <c r="Q389" s="40"/>
      <c r="R389" s="40"/>
      <c r="S389" t="s">
        <v>2659</v>
      </c>
      <c r="T389">
        <v>5.26</v>
      </c>
      <c r="U389" s="40">
        <f t="shared" si="39"/>
        <v>-1.8993358036524051E-3</v>
      </c>
      <c r="V389" s="40">
        <f t="shared" si="40"/>
        <v>5.26</v>
      </c>
      <c r="W389" s="40">
        <f t="shared" si="41"/>
        <v>-1.8993358036524051E-3</v>
      </c>
    </row>
    <row r="390" spans="1:23" x14ac:dyDescent="0.2">
      <c r="A390" s="40" t="s">
        <v>985</v>
      </c>
      <c r="B390" s="40">
        <v>14.32</v>
      </c>
      <c r="C390" s="40">
        <v>14.32</v>
      </c>
      <c r="D390" s="40">
        <v>14.32</v>
      </c>
      <c r="E390" s="40">
        <v>14.32</v>
      </c>
      <c r="G390" s="36">
        <v>45127</v>
      </c>
      <c r="H390" s="40">
        <v>13.49</v>
      </c>
      <c r="I390" s="40">
        <v>45.52</v>
      </c>
      <c r="J390" s="44"/>
      <c r="K390" s="40"/>
      <c r="L390" s="45">
        <v>13.49</v>
      </c>
      <c r="M390" s="46">
        <v>45.52</v>
      </c>
      <c r="N390" s="40">
        <f t="shared" si="36"/>
        <v>5.9479729260773738E-3</v>
      </c>
      <c r="O390" s="40">
        <f t="shared" si="37"/>
        <v>-3.3632769218306886E-2</v>
      </c>
      <c r="P390" s="40">
        <f t="shared" si="38"/>
        <v>-3.3073475370138182E-2</v>
      </c>
      <c r="Q390" s="40"/>
      <c r="R390" s="40"/>
      <c r="S390" t="s">
        <v>2658</v>
      </c>
      <c r="T390">
        <v>5.27</v>
      </c>
      <c r="U390" s="40">
        <f t="shared" si="39"/>
        <v>1.9157674032933183E-2</v>
      </c>
      <c r="V390" s="40">
        <f t="shared" si="40"/>
        <v>5.27</v>
      </c>
      <c r="W390" s="40">
        <f t="shared" si="41"/>
        <v>1.9157674032933183E-2</v>
      </c>
    </row>
    <row r="391" spans="1:23" x14ac:dyDescent="0.2">
      <c r="A391" s="40" t="s">
        <v>986</v>
      </c>
      <c r="B391" s="40">
        <v>15.61</v>
      </c>
      <c r="C391" s="40">
        <v>15.61</v>
      </c>
      <c r="D391" s="40">
        <v>15.61</v>
      </c>
      <c r="E391" s="40">
        <v>15.61</v>
      </c>
      <c r="G391" s="36">
        <v>45126</v>
      </c>
      <c r="H391" s="40">
        <v>13.41</v>
      </c>
      <c r="I391" s="40">
        <v>47.076999999999998</v>
      </c>
      <c r="J391" s="44"/>
      <c r="K391" s="40"/>
      <c r="L391" s="45">
        <v>13.41</v>
      </c>
      <c r="M391" s="46">
        <v>47.076999999999998</v>
      </c>
      <c r="N391" s="40">
        <f t="shared" si="36"/>
        <v>7.0272052985331693E-2</v>
      </c>
      <c r="O391" s="40">
        <f t="shared" si="37"/>
        <v>-8.8188282362281992E-3</v>
      </c>
      <c r="P391" s="40">
        <f t="shared" si="38"/>
        <v>-8.7800564281804352E-3</v>
      </c>
      <c r="Q391" s="40"/>
      <c r="R391" s="40"/>
      <c r="S391" t="s">
        <v>2657</v>
      </c>
      <c r="T391">
        <v>5.17</v>
      </c>
      <c r="U391" s="40">
        <f t="shared" si="39"/>
        <v>-1.9323677510539241E-3</v>
      </c>
      <c r="V391" s="40">
        <f t="shared" si="40"/>
        <v>5.17</v>
      </c>
      <c r="W391" s="40">
        <f t="shared" si="41"/>
        <v>-1.9323677510539241E-3</v>
      </c>
    </row>
    <row r="392" spans="1:23" x14ac:dyDescent="0.2">
      <c r="A392" s="40" t="s">
        <v>987</v>
      </c>
      <c r="B392" s="40">
        <v>19.02</v>
      </c>
      <c r="C392" s="40">
        <v>19.02</v>
      </c>
      <c r="D392" s="40">
        <v>19.02</v>
      </c>
      <c r="E392" s="40">
        <v>19.02</v>
      </c>
      <c r="G392" s="36">
        <v>45125</v>
      </c>
      <c r="H392" s="40">
        <v>12.5</v>
      </c>
      <c r="I392" s="40">
        <v>47.494</v>
      </c>
      <c r="J392" s="44"/>
      <c r="K392" s="40"/>
      <c r="L392" s="45">
        <v>12.5</v>
      </c>
      <c r="M392" s="46">
        <v>47.494</v>
      </c>
      <c r="N392" s="40">
        <f t="shared" si="36"/>
        <v>-8.2132829538522328E-2</v>
      </c>
      <c r="O392" s="40">
        <f t="shared" si="37"/>
        <v>2.1990136270463565E-2</v>
      </c>
      <c r="P392" s="40">
        <f t="shared" si="38"/>
        <v>2.2233701383956465E-2</v>
      </c>
      <c r="Q392" s="40"/>
      <c r="R392" s="40"/>
      <c r="S392" t="s">
        <v>2656</v>
      </c>
      <c r="T392">
        <v>5.18</v>
      </c>
      <c r="U392" s="40">
        <f t="shared" si="39"/>
        <v>-1.9286409064057082E-3</v>
      </c>
      <c r="V392" s="40">
        <f t="shared" si="40"/>
        <v>5.18</v>
      </c>
      <c r="W392" s="40">
        <f t="shared" si="41"/>
        <v>-1.9286409064057082E-3</v>
      </c>
    </row>
    <row r="393" spans="1:23" x14ac:dyDescent="0.2">
      <c r="A393" s="40" t="s">
        <v>988</v>
      </c>
      <c r="B393" s="40">
        <v>21.16</v>
      </c>
      <c r="C393" s="40">
        <v>21.16</v>
      </c>
      <c r="D393" s="40">
        <v>21.16</v>
      </c>
      <c r="E393" s="40">
        <v>21.16</v>
      </c>
      <c r="G393" s="36">
        <v>45124</v>
      </c>
      <c r="H393" s="40">
        <v>13.57</v>
      </c>
      <c r="I393" s="40">
        <v>46.460999999999999</v>
      </c>
      <c r="J393" s="44"/>
      <c r="K393" s="40"/>
      <c r="L393" s="45">
        <v>13.57</v>
      </c>
      <c r="M393" s="46">
        <v>46.460999999999999</v>
      </c>
      <c r="N393" s="40">
        <f t="shared" si="36"/>
        <v>1.559630573827816E-2</v>
      </c>
      <c r="O393" s="40">
        <f t="shared" si="37"/>
        <v>2.1582475929609289E-2</v>
      </c>
      <c r="P393" s="40">
        <f t="shared" si="38"/>
        <v>2.1817062174228536E-2</v>
      </c>
      <c r="Q393" s="40"/>
      <c r="R393" s="40"/>
      <c r="S393" t="s">
        <v>2655</v>
      </c>
      <c r="T393">
        <v>5.19</v>
      </c>
      <c r="U393" s="40">
        <f t="shared" si="39"/>
        <v>-1.9249284095843938E-3</v>
      </c>
      <c r="V393" s="40">
        <f t="shared" si="40"/>
        <v>5.19</v>
      </c>
      <c r="W393" s="40">
        <f t="shared" si="41"/>
        <v>-1.9249284095843938E-3</v>
      </c>
    </row>
    <row r="394" spans="1:23" x14ac:dyDescent="0.2">
      <c r="A394" s="40" t="s">
        <v>989</v>
      </c>
      <c r="B394" s="40">
        <v>19.309999999999999</v>
      </c>
      <c r="C394" s="40">
        <v>19.309999999999999</v>
      </c>
      <c r="D394" s="40">
        <v>19.309999999999999</v>
      </c>
      <c r="E394" s="40">
        <v>19.309999999999999</v>
      </c>
      <c r="G394" s="36">
        <v>45121</v>
      </c>
      <c r="H394" s="40">
        <v>13.36</v>
      </c>
      <c r="I394" s="40">
        <v>45.469000000000001</v>
      </c>
      <c r="J394" s="44"/>
      <c r="K394" s="40"/>
      <c r="L394" s="45">
        <v>13.36</v>
      </c>
      <c r="M394" s="46">
        <v>45.469000000000001</v>
      </c>
      <c r="N394" s="40">
        <f t="shared" si="36"/>
        <v>1.584340948472596E-2</v>
      </c>
      <c r="O394" s="40">
        <f t="shared" si="37"/>
        <v>-1.1110496374874851E-2</v>
      </c>
      <c r="P394" s="40">
        <f t="shared" si="38"/>
        <v>-1.1049002762250595E-2</v>
      </c>
      <c r="Q394" s="40"/>
      <c r="R394" s="40"/>
      <c r="S394" t="s">
        <v>2654</v>
      </c>
      <c r="T394">
        <v>5.2</v>
      </c>
      <c r="U394" s="40">
        <f t="shared" si="39"/>
        <v>-1.9212301778938213E-3</v>
      </c>
      <c r="V394" s="40">
        <f t="shared" si="40"/>
        <v>5.2</v>
      </c>
      <c r="W394" s="40">
        <f t="shared" si="41"/>
        <v>-1.9212301778938213E-3</v>
      </c>
    </row>
    <row r="395" spans="1:23" x14ac:dyDescent="0.2">
      <c r="A395" s="40" t="s">
        <v>990</v>
      </c>
      <c r="B395" s="40">
        <v>17.8</v>
      </c>
      <c r="C395" s="40">
        <v>17.8</v>
      </c>
      <c r="D395" s="40">
        <v>17.8</v>
      </c>
      <c r="E395" s="40">
        <v>17.8</v>
      </c>
      <c r="G395" s="36">
        <v>45120</v>
      </c>
      <c r="H395" s="40">
        <v>13.15</v>
      </c>
      <c r="I395" s="40">
        <v>45.976999999999997</v>
      </c>
      <c r="J395" s="44"/>
      <c r="K395" s="40"/>
      <c r="L395" s="45">
        <v>13.15</v>
      </c>
      <c r="M395" s="46">
        <v>45.976999999999997</v>
      </c>
      <c r="N395" s="40">
        <f t="shared" si="36"/>
        <v>4.5731787019651412E-3</v>
      </c>
      <c r="O395" s="40">
        <f t="shared" si="37"/>
        <v>4.6181394317464701E-2</v>
      </c>
      <c r="P395" s="40">
        <f t="shared" si="38"/>
        <v>4.7264361532504115E-2</v>
      </c>
      <c r="Q395" s="40"/>
      <c r="R395" s="40"/>
      <c r="S395" t="s">
        <v>2653</v>
      </c>
      <c r="T395">
        <v>5.21</v>
      </c>
      <c r="U395" s="40">
        <f t="shared" si="39"/>
        <v>9.6432762718042016E-3</v>
      </c>
      <c r="V395" s="40">
        <f t="shared" si="40"/>
        <v>5.21</v>
      </c>
      <c r="W395" s="40">
        <f t="shared" si="41"/>
        <v>9.6432762718042016E-3</v>
      </c>
    </row>
    <row r="396" spans="1:23" x14ac:dyDescent="0.2">
      <c r="A396" s="40" t="s">
        <v>991</v>
      </c>
      <c r="B396" s="40">
        <v>16.3</v>
      </c>
      <c r="C396" s="40">
        <v>16.3</v>
      </c>
      <c r="D396" s="40">
        <v>16.3</v>
      </c>
      <c r="E396" s="40">
        <v>16.3</v>
      </c>
      <c r="G396" s="36">
        <v>45119</v>
      </c>
      <c r="H396" s="40">
        <v>13.09</v>
      </c>
      <c r="I396" s="40">
        <v>43.902000000000001</v>
      </c>
      <c r="J396" s="44"/>
      <c r="K396" s="40"/>
      <c r="L396" s="45">
        <v>13.09</v>
      </c>
      <c r="M396" s="46">
        <v>43.902000000000001</v>
      </c>
      <c r="N396" s="40">
        <f t="shared" si="36"/>
        <v>9.5310179804324741E-2</v>
      </c>
      <c r="O396" s="40">
        <f t="shared" si="37"/>
        <v>3.4693597316284623E-2</v>
      </c>
      <c r="P396" s="40">
        <f t="shared" si="38"/>
        <v>3.5302440749911561E-2</v>
      </c>
      <c r="Q396" s="40"/>
      <c r="R396" s="40"/>
      <c r="S396" s="47">
        <v>45267</v>
      </c>
      <c r="T396">
        <v>5.16</v>
      </c>
      <c r="U396" s="40">
        <f t="shared" si="39"/>
        <v>0</v>
      </c>
      <c r="V396" s="40">
        <f t="shared" si="40"/>
        <v>5.16</v>
      </c>
      <c r="W396" s="40">
        <f t="shared" si="41"/>
        <v>0</v>
      </c>
    </row>
    <row r="397" spans="1:23" x14ac:dyDescent="0.2">
      <c r="A397" s="40" t="s">
        <v>992</v>
      </c>
      <c r="B397" s="40">
        <v>18.86</v>
      </c>
      <c r="C397" s="40">
        <v>18.86</v>
      </c>
      <c r="D397" s="40">
        <v>18.86</v>
      </c>
      <c r="E397" s="40">
        <v>18.86</v>
      </c>
      <c r="G397" s="36">
        <v>45118</v>
      </c>
      <c r="H397" s="40">
        <v>11.9</v>
      </c>
      <c r="I397" s="40">
        <v>42.405000000000001</v>
      </c>
      <c r="J397" s="44"/>
      <c r="K397" s="40"/>
      <c r="L397" s="45">
        <v>11.9</v>
      </c>
      <c r="M397" s="46">
        <v>42.405000000000001</v>
      </c>
      <c r="N397" s="40">
        <f t="shared" si="36"/>
        <v>-1.9143322838475051E-2</v>
      </c>
      <c r="O397" s="40">
        <f t="shared" si="37"/>
        <v>5.3201047630349104E-3</v>
      </c>
      <c r="P397" s="40">
        <f t="shared" si="38"/>
        <v>5.3342816500711572E-3</v>
      </c>
      <c r="Q397" s="40"/>
      <c r="R397" s="40"/>
      <c r="S397" s="47">
        <v>45237</v>
      </c>
      <c r="T397">
        <v>5.16</v>
      </c>
      <c r="U397" s="40">
        <f t="shared" si="39"/>
        <v>0</v>
      </c>
      <c r="V397" s="40">
        <f t="shared" si="40"/>
        <v>5.16</v>
      </c>
      <c r="W397" s="40">
        <f t="shared" si="41"/>
        <v>0</v>
      </c>
    </row>
    <row r="398" spans="1:23" x14ac:dyDescent="0.2">
      <c r="A398" s="40" t="s">
        <v>993</v>
      </c>
      <c r="B398" s="40">
        <v>19.86</v>
      </c>
      <c r="C398" s="40">
        <v>19.86</v>
      </c>
      <c r="D398" s="40">
        <v>19.86</v>
      </c>
      <c r="E398" s="40">
        <v>19.86</v>
      </c>
      <c r="G398" s="36">
        <v>45117</v>
      </c>
      <c r="H398" s="40">
        <v>12.13</v>
      </c>
      <c r="I398" s="40">
        <v>42.18</v>
      </c>
      <c r="J398" s="44"/>
      <c r="K398" s="40"/>
      <c r="L398" s="45">
        <v>12.13</v>
      </c>
      <c r="M398" s="46">
        <v>42.18</v>
      </c>
      <c r="N398" s="40">
        <f t="shared" si="36"/>
        <v>6.382429425777382E-2</v>
      </c>
      <c r="O398" s="40">
        <f t="shared" si="37"/>
        <v>-7.6284866238044615E-3</v>
      </c>
      <c r="P398" s="40">
        <f t="shared" si="38"/>
        <v>-7.5994635672776137E-3</v>
      </c>
      <c r="Q398" s="40"/>
      <c r="R398" s="40"/>
      <c r="S398" s="47">
        <v>45206</v>
      </c>
      <c r="T398">
        <v>5.16</v>
      </c>
      <c r="U398" s="40">
        <f t="shared" si="39"/>
        <v>0</v>
      </c>
      <c r="V398" s="40">
        <f t="shared" si="40"/>
        <v>5.16</v>
      </c>
      <c r="W398" s="40">
        <f t="shared" si="41"/>
        <v>0</v>
      </c>
    </row>
    <row r="399" spans="1:23" x14ac:dyDescent="0.2">
      <c r="A399" s="41">
        <v>40916</v>
      </c>
      <c r="B399" s="40">
        <v>20.79</v>
      </c>
      <c r="C399" s="40">
        <v>20.79</v>
      </c>
      <c r="D399" s="40">
        <v>20.79</v>
      </c>
      <c r="E399" s="40">
        <v>20.79</v>
      </c>
      <c r="G399" s="36">
        <v>45114</v>
      </c>
      <c r="H399" s="40">
        <v>11.38</v>
      </c>
      <c r="I399" s="40">
        <v>42.503</v>
      </c>
      <c r="J399" s="44"/>
      <c r="K399" s="40"/>
      <c r="L399" s="45">
        <v>11.38</v>
      </c>
      <c r="M399" s="46">
        <v>42.503</v>
      </c>
      <c r="N399" s="40">
        <f t="shared" si="36"/>
        <v>-0.18553840413589431</v>
      </c>
      <c r="O399" s="40">
        <f t="shared" si="37"/>
        <v>9.4556646175291276E-3</v>
      </c>
      <c r="P399" s="40">
        <f t="shared" si="38"/>
        <v>9.5005106524475354E-3</v>
      </c>
      <c r="Q399" s="40"/>
      <c r="R399" s="40"/>
      <c r="S399" s="47">
        <v>45114</v>
      </c>
      <c r="T399">
        <v>5.16</v>
      </c>
      <c r="U399" s="40">
        <f t="shared" si="39"/>
        <v>1.9398648178264545E-3</v>
      </c>
      <c r="V399" s="40">
        <f t="shared" si="40"/>
        <v>5.16</v>
      </c>
      <c r="W399" s="40">
        <f t="shared" si="41"/>
        <v>1.9398648178264545E-3</v>
      </c>
    </row>
    <row r="400" spans="1:23" x14ac:dyDescent="0.2">
      <c r="A400" s="41">
        <v>40947</v>
      </c>
      <c r="B400" s="40">
        <v>16.64</v>
      </c>
      <c r="C400" s="40">
        <v>16.64</v>
      </c>
      <c r="D400" s="40">
        <v>16.64</v>
      </c>
      <c r="E400" s="40">
        <v>16.64</v>
      </c>
      <c r="G400" s="36">
        <v>45113</v>
      </c>
      <c r="H400" s="40">
        <v>13.7</v>
      </c>
      <c r="I400" s="40">
        <v>42.103000000000002</v>
      </c>
      <c r="J400" s="44"/>
      <c r="K400" s="40"/>
      <c r="L400" s="45">
        <v>13.7</v>
      </c>
      <c r="M400" s="46">
        <v>42.103000000000002</v>
      </c>
      <c r="N400" s="40">
        <f t="shared" si="36"/>
        <v>1.4706147389695487E-2</v>
      </c>
      <c r="O400" s="40">
        <f t="shared" si="37"/>
        <v>-5.0698995116247357E-3</v>
      </c>
      <c r="P400" s="40">
        <f t="shared" si="38"/>
        <v>-5.0570692629439383E-3</v>
      </c>
      <c r="Q400" s="40"/>
      <c r="R400" s="40"/>
      <c r="S400" s="47">
        <v>45084</v>
      </c>
      <c r="T400">
        <v>5.15</v>
      </c>
      <c r="U400" s="40">
        <f t="shared" si="39"/>
        <v>9.7561749453648743E-3</v>
      </c>
      <c r="V400" s="40">
        <f t="shared" si="40"/>
        <v>5.15</v>
      </c>
      <c r="W400" s="40">
        <f t="shared" si="41"/>
        <v>9.7561749453648743E-3</v>
      </c>
    </row>
    <row r="401" spans="1:23" x14ac:dyDescent="0.2">
      <c r="A401" s="41">
        <v>40976</v>
      </c>
      <c r="B401" s="40">
        <v>14.2</v>
      </c>
      <c r="C401" s="40">
        <v>14.2</v>
      </c>
      <c r="D401" s="40">
        <v>14.2</v>
      </c>
      <c r="E401" s="40">
        <v>14.2</v>
      </c>
      <c r="G401" s="36">
        <v>45112</v>
      </c>
      <c r="H401" s="40">
        <v>13.5</v>
      </c>
      <c r="I401" s="40">
        <v>42.317</v>
      </c>
      <c r="J401" s="44"/>
      <c r="K401" s="40"/>
      <c r="L401" s="45">
        <v>13.5</v>
      </c>
      <c r="M401" s="46">
        <v>42.317</v>
      </c>
      <c r="N401" s="40">
        <f t="shared" si="36"/>
        <v>6.8992871486951421E-2</v>
      </c>
      <c r="O401" s="40">
        <f t="shared" si="37"/>
        <v>-2.2660224496365636E-3</v>
      </c>
      <c r="P401" s="40">
        <f t="shared" si="38"/>
        <v>-2.2634569589511833E-3</v>
      </c>
      <c r="Q401" s="40"/>
      <c r="R401" s="40"/>
      <c r="S401" s="47">
        <v>45053</v>
      </c>
      <c r="T401">
        <v>5.0999999999999996</v>
      </c>
      <c r="U401" s="40">
        <f t="shared" si="39"/>
        <v>0</v>
      </c>
      <c r="V401" s="40">
        <f t="shared" si="40"/>
        <v>5.0999999999999996</v>
      </c>
      <c r="W401" s="40">
        <f t="shared" si="41"/>
        <v>0</v>
      </c>
    </row>
    <row r="402" spans="1:23" x14ac:dyDescent="0.2">
      <c r="A402" s="41">
        <v>41068</v>
      </c>
      <c r="B402" s="40">
        <v>14.85</v>
      </c>
      <c r="C402" s="40">
        <v>14.85</v>
      </c>
      <c r="D402" s="40">
        <v>14.85</v>
      </c>
      <c r="E402" s="40">
        <v>14.85</v>
      </c>
      <c r="G402" s="36">
        <v>45110</v>
      </c>
      <c r="H402" s="40">
        <v>12.6</v>
      </c>
      <c r="I402" s="40">
        <v>42.412999999999997</v>
      </c>
      <c r="J402" s="44"/>
      <c r="K402" s="40"/>
      <c r="L402" s="45">
        <v>12.6</v>
      </c>
      <c r="M402" s="46">
        <v>42.412999999999997</v>
      </c>
      <c r="N402" s="40">
        <f t="shared" si="36"/>
        <v>-0.10249928337679413</v>
      </c>
      <c r="O402" s="40">
        <f t="shared" si="37"/>
        <v>2.6205527597824908E-3</v>
      </c>
      <c r="P402" s="40">
        <f t="shared" si="38"/>
        <v>2.6239894094841165E-3</v>
      </c>
      <c r="Q402" s="40"/>
      <c r="R402" s="40"/>
      <c r="S402" s="47">
        <v>44992</v>
      </c>
      <c r="T402">
        <v>5.0999999999999996</v>
      </c>
      <c r="U402" s="40">
        <f t="shared" si="39"/>
        <v>3.929278139889557E-3</v>
      </c>
      <c r="V402" s="40">
        <f t="shared" si="40"/>
        <v>5.0999999999999996</v>
      </c>
      <c r="W402" s="40">
        <f t="shared" si="41"/>
        <v>3.929278139889557E-3</v>
      </c>
    </row>
    <row r="403" spans="1:23" x14ac:dyDescent="0.2">
      <c r="A403" s="41">
        <v>41098</v>
      </c>
      <c r="B403" s="40">
        <v>14.68</v>
      </c>
      <c r="C403" s="40">
        <v>14.68</v>
      </c>
      <c r="D403" s="40">
        <v>14.68</v>
      </c>
      <c r="E403" s="40">
        <v>14.68</v>
      </c>
      <c r="G403" s="36">
        <v>45107</v>
      </c>
      <c r="H403" s="40">
        <v>13.96</v>
      </c>
      <c r="I403" s="40">
        <v>42.302</v>
      </c>
      <c r="J403" s="44"/>
      <c r="K403" s="40"/>
      <c r="L403" s="45">
        <v>13.96</v>
      </c>
      <c r="M403" s="46">
        <v>42.302</v>
      </c>
      <c r="N403" s="40">
        <f t="shared" si="36"/>
        <v>0.10488307473207033</v>
      </c>
      <c r="O403" s="40">
        <f t="shared" si="37"/>
        <v>3.5613214486531888E-2</v>
      </c>
      <c r="P403" s="40">
        <f t="shared" si="38"/>
        <v>3.6254960560482011E-2</v>
      </c>
      <c r="Q403" s="40"/>
      <c r="R403" s="40"/>
      <c r="S403" t="s">
        <v>2652</v>
      </c>
      <c r="T403">
        <v>5.08</v>
      </c>
      <c r="U403" s="40">
        <f t="shared" si="39"/>
        <v>-1.9665689720408269E-3</v>
      </c>
      <c r="V403" s="40">
        <f t="shared" si="40"/>
        <v>5.08</v>
      </c>
      <c r="W403" s="40">
        <f t="shared" si="41"/>
        <v>-1.9665689720408269E-3</v>
      </c>
    </row>
    <row r="404" spans="1:23" x14ac:dyDescent="0.2">
      <c r="A404" s="41">
        <v>41129</v>
      </c>
      <c r="B404" s="40">
        <v>13.52</v>
      </c>
      <c r="C404" s="40">
        <v>13.52</v>
      </c>
      <c r="D404" s="40">
        <v>13.52</v>
      </c>
      <c r="E404" s="40">
        <v>13.52</v>
      </c>
      <c r="G404" s="36">
        <v>45106</v>
      </c>
      <c r="H404" s="40">
        <v>12.57</v>
      </c>
      <c r="I404" s="40">
        <v>40.822000000000003</v>
      </c>
      <c r="J404" s="44"/>
      <c r="K404" s="40"/>
      <c r="L404" s="45">
        <v>12.57</v>
      </c>
      <c r="M404" s="46">
        <v>40.822000000000003</v>
      </c>
      <c r="N404" s="40">
        <f t="shared" si="36"/>
        <v>4.6406372814155834E-2</v>
      </c>
      <c r="O404" s="40">
        <f t="shared" si="37"/>
        <v>-7.2005095151092399E-3</v>
      </c>
      <c r="P404" s="40">
        <f t="shared" si="38"/>
        <v>-7.1746479558332226E-3</v>
      </c>
      <c r="Q404" s="40"/>
      <c r="R404" s="40"/>
      <c r="S404" t="s">
        <v>2651</v>
      </c>
      <c r="T404">
        <v>5.09</v>
      </c>
      <c r="U404" s="40">
        <f t="shared" si="39"/>
        <v>1.7839918128331016E-2</v>
      </c>
      <c r="V404" s="40">
        <f t="shared" si="40"/>
        <v>5.09</v>
      </c>
      <c r="W404" s="40">
        <f t="shared" si="41"/>
        <v>1.7839918128331016E-2</v>
      </c>
    </row>
    <row r="405" spans="1:23" x14ac:dyDescent="0.2">
      <c r="A405" s="41">
        <v>41160</v>
      </c>
      <c r="B405" s="40">
        <v>13</v>
      </c>
      <c r="C405" s="40">
        <v>13</v>
      </c>
      <c r="D405" s="40">
        <v>13</v>
      </c>
      <c r="E405" s="40">
        <v>13</v>
      </c>
      <c r="G405" s="36">
        <v>45105</v>
      </c>
      <c r="H405" s="40">
        <v>12</v>
      </c>
      <c r="I405" s="40">
        <v>41.116999999999997</v>
      </c>
      <c r="J405" s="44"/>
      <c r="K405" s="40"/>
      <c r="L405" s="45">
        <v>12</v>
      </c>
      <c r="M405" s="46">
        <v>41.116999999999997</v>
      </c>
      <c r="N405" s="40">
        <f t="shared" si="36"/>
        <v>3.9954315507032739E-2</v>
      </c>
      <c r="O405" s="40">
        <f t="shared" si="37"/>
        <v>-1.8291209170148311E-2</v>
      </c>
      <c r="P405" s="40">
        <f t="shared" si="38"/>
        <v>-1.8124940299933143E-2</v>
      </c>
      <c r="Q405" s="40"/>
      <c r="R405" s="40"/>
      <c r="S405" t="s">
        <v>2650</v>
      </c>
      <c r="T405">
        <v>5</v>
      </c>
      <c r="U405" s="40">
        <f t="shared" si="39"/>
        <v>0</v>
      </c>
      <c r="V405" s="40">
        <f t="shared" si="40"/>
        <v>5</v>
      </c>
      <c r="W405" s="40">
        <f t="shared" si="41"/>
        <v>0</v>
      </c>
    </row>
    <row r="406" spans="1:23" x14ac:dyDescent="0.2">
      <c r="A406" s="41">
        <v>41190</v>
      </c>
      <c r="B406" s="40">
        <v>12.45</v>
      </c>
      <c r="C406" s="40">
        <v>12.45</v>
      </c>
      <c r="D406" s="40">
        <v>12.45</v>
      </c>
      <c r="E406" s="40">
        <v>12.45</v>
      </c>
      <c r="G406" s="36">
        <v>45104</v>
      </c>
      <c r="H406" s="40">
        <v>11.53</v>
      </c>
      <c r="I406" s="40">
        <v>41.875999999999998</v>
      </c>
      <c r="J406" s="44"/>
      <c r="K406" s="40"/>
      <c r="L406" s="45">
        <v>11.53</v>
      </c>
      <c r="M406" s="46">
        <v>41.875999999999998</v>
      </c>
      <c r="N406" s="40">
        <f t="shared" si="36"/>
        <v>-1.8900906309200313E-2</v>
      </c>
      <c r="O406" s="40">
        <f t="shared" si="37"/>
        <v>3.0156936958164543E-2</v>
      </c>
      <c r="P406" s="40">
        <f t="shared" si="38"/>
        <v>3.0616263043906276E-2</v>
      </c>
      <c r="Q406" s="40"/>
      <c r="R406" s="40"/>
      <c r="S406" t="s">
        <v>2649</v>
      </c>
      <c r="T406">
        <v>5</v>
      </c>
      <c r="U406" s="40">
        <f t="shared" si="39"/>
        <v>-1.9980026626729977E-3</v>
      </c>
      <c r="V406" s="40">
        <f t="shared" si="40"/>
        <v>5</v>
      </c>
      <c r="W406" s="40">
        <f t="shared" si="41"/>
        <v>-1.9980026626729977E-3</v>
      </c>
    </row>
    <row r="407" spans="1:23" x14ac:dyDescent="0.2">
      <c r="A407" s="40" t="s">
        <v>994</v>
      </c>
      <c r="B407" s="40">
        <v>13.15</v>
      </c>
      <c r="C407" s="40">
        <v>13.15</v>
      </c>
      <c r="D407" s="40">
        <v>13.15</v>
      </c>
      <c r="E407" s="40">
        <v>13.15</v>
      </c>
      <c r="G407" s="36">
        <v>45103</v>
      </c>
      <c r="H407" s="40">
        <v>11.75</v>
      </c>
      <c r="I407" s="40">
        <v>40.631999999999998</v>
      </c>
      <c r="J407" s="44"/>
      <c r="K407" s="40"/>
      <c r="L407" s="45">
        <v>11.75</v>
      </c>
      <c r="M407" s="46">
        <v>40.631999999999998</v>
      </c>
      <c r="N407" s="40">
        <f t="shared" si="36"/>
        <v>8.5142619021752355E-4</v>
      </c>
      <c r="O407" s="40">
        <f t="shared" si="37"/>
        <v>-3.807753494635862E-2</v>
      </c>
      <c r="P407" s="40">
        <f t="shared" si="38"/>
        <v>-3.736170011135078E-2</v>
      </c>
      <c r="Q407" s="40"/>
      <c r="R407" s="40"/>
      <c r="S407" t="s">
        <v>2648</v>
      </c>
      <c r="T407">
        <v>5.01</v>
      </c>
      <c r="U407" s="40">
        <f t="shared" si="39"/>
        <v>0</v>
      </c>
      <c r="V407" s="40">
        <f t="shared" si="40"/>
        <v>5.01</v>
      </c>
      <c r="W407" s="40">
        <f t="shared" si="41"/>
        <v>0</v>
      </c>
    </row>
    <row r="408" spans="1:23" x14ac:dyDescent="0.2">
      <c r="A408" s="40" t="s">
        <v>995</v>
      </c>
      <c r="B408" s="40">
        <v>13.02</v>
      </c>
      <c r="C408" s="40">
        <v>13.02</v>
      </c>
      <c r="D408" s="40">
        <v>13.02</v>
      </c>
      <c r="E408" s="40">
        <v>13.02</v>
      </c>
      <c r="G408" s="36">
        <v>45100</v>
      </c>
      <c r="H408" s="40">
        <v>11.74</v>
      </c>
      <c r="I408" s="40">
        <v>42.209000000000003</v>
      </c>
      <c r="J408" s="44"/>
      <c r="K408" s="40"/>
      <c r="L408" s="45">
        <v>11.74</v>
      </c>
      <c r="M408" s="46">
        <v>42.209000000000003</v>
      </c>
      <c r="N408" s="40">
        <f t="shared" si="36"/>
        <v>-2.6062845536713633E-2</v>
      </c>
      <c r="O408" s="40">
        <f t="shared" si="37"/>
        <v>-1.914787365230065E-2</v>
      </c>
      <c r="P408" s="40">
        <f t="shared" si="38"/>
        <v>-1.8965717606042893E-2</v>
      </c>
      <c r="Q408" s="40"/>
      <c r="R408" s="40"/>
      <c r="S408" t="s">
        <v>2647</v>
      </c>
      <c r="T408">
        <v>5.01</v>
      </c>
      <c r="U408" s="40">
        <f t="shared" si="39"/>
        <v>-1.9940186068643953E-3</v>
      </c>
      <c r="V408" s="40">
        <f t="shared" si="40"/>
        <v>5.01</v>
      </c>
      <c r="W408" s="40">
        <f t="shared" si="41"/>
        <v>-1.9940186068643953E-3</v>
      </c>
    </row>
    <row r="409" spans="1:23" x14ac:dyDescent="0.2">
      <c r="A409" s="40" t="s">
        <v>996</v>
      </c>
      <c r="B409" s="40">
        <v>12.37</v>
      </c>
      <c r="C409" s="40">
        <v>12.37</v>
      </c>
      <c r="D409" s="40">
        <v>12.37</v>
      </c>
      <c r="E409" s="40">
        <v>12.37</v>
      </c>
      <c r="G409" s="36">
        <v>45099</v>
      </c>
      <c r="H409" s="40">
        <v>12.05</v>
      </c>
      <c r="I409" s="40">
        <v>43.024999999999999</v>
      </c>
      <c r="J409" s="44"/>
      <c r="K409" s="40"/>
      <c r="L409" s="45">
        <v>12.05</v>
      </c>
      <c r="M409" s="46">
        <v>43.024999999999999</v>
      </c>
      <c r="N409" s="40">
        <f t="shared" si="36"/>
        <v>-5.0961289072415775E-2</v>
      </c>
      <c r="O409" s="40">
        <f t="shared" si="37"/>
        <v>-4.6473801231494054E-4</v>
      </c>
      <c r="P409" s="40">
        <f t="shared" si="38"/>
        <v>-4.6463003833205075E-4</v>
      </c>
      <c r="Q409" s="40"/>
      <c r="R409" s="40"/>
      <c r="S409" t="s">
        <v>2646</v>
      </c>
      <c r="T409">
        <v>5.0199999999999996</v>
      </c>
      <c r="U409" s="40">
        <f t="shared" si="39"/>
        <v>3.9920212695374567E-3</v>
      </c>
      <c r="V409" s="40">
        <f t="shared" si="40"/>
        <v>5.0199999999999996</v>
      </c>
      <c r="W409" s="40">
        <f t="shared" si="41"/>
        <v>3.9920212695374567E-3</v>
      </c>
    </row>
    <row r="410" spans="1:23" x14ac:dyDescent="0.2">
      <c r="A410" s="40" t="s">
        <v>997</v>
      </c>
      <c r="B410" s="40">
        <v>12.35</v>
      </c>
      <c r="C410" s="40">
        <v>12.35</v>
      </c>
      <c r="D410" s="40">
        <v>12.35</v>
      </c>
      <c r="E410" s="40">
        <v>12.35</v>
      </c>
      <c r="G410" s="36">
        <v>45098</v>
      </c>
      <c r="H410" s="40">
        <v>12.68</v>
      </c>
      <c r="I410" s="40">
        <v>43.045000000000002</v>
      </c>
      <c r="J410" s="44"/>
      <c r="K410" s="40"/>
      <c r="L410" s="45">
        <v>12.68</v>
      </c>
      <c r="M410" s="46">
        <v>43.045000000000002</v>
      </c>
      <c r="N410" s="40">
        <f t="shared" si="36"/>
        <v>8.815915329927973E-2</v>
      </c>
      <c r="O410" s="40">
        <f t="shared" si="37"/>
        <v>-1.7570368996120429E-2</v>
      </c>
      <c r="P410" s="40">
        <f t="shared" si="38"/>
        <v>-1.7416910153396598E-2</v>
      </c>
      <c r="Q410" s="40"/>
      <c r="R410" s="40"/>
      <c r="S410" t="s">
        <v>2645</v>
      </c>
      <c r="T410">
        <v>5</v>
      </c>
      <c r="U410" s="40">
        <f t="shared" si="39"/>
        <v>-1.9980026626729977E-3</v>
      </c>
      <c r="V410" s="40">
        <f t="shared" si="40"/>
        <v>5</v>
      </c>
      <c r="W410" s="40">
        <f t="shared" si="41"/>
        <v>-1.9980026626729977E-3</v>
      </c>
    </row>
    <row r="411" spans="1:23" x14ac:dyDescent="0.2">
      <c r="A411" s="40" t="s">
        <v>998</v>
      </c>
      <c r="B411" s="40">
        <v>11.5</v>
      </c>
      <c r="C411" s="40">
        <v>11.5</v>
      </c>
      <c r="D411" s="40">
        <v>11.5</v>
      </c>
      <c r="E411" s="40">
        <v>11.5</v>
      </c>
      <c r="G411" s="36">
        <v>45097</v>
      </c>
      <c r="H411" s="40">
        <v>11.61</v>
      </c>
      <c r="I411" s="40">
        <v>43.808</v>
      </c>
      <c r="J411" s="44"/>
      <c r="K411" s="40"/>
      <c r="L411" s="45">
        <v>11.61</v>
      </c>
      <c r="M411" s="46">
        <v>43.808</v>
      </c>
      <c r="N411" s="40">
        <f t="shared" si="36"/>
        <v>4.0427297803672352E-2</v>
      </c>
      <c r="O411" s="40">
        <f t="shared" si="37"/>
        <v>2.5804900054319943E-2</v>
      </c>
      <c r="P411" s="40">
        <f t="shared" si="38"/>
        <v>2.6140728942190567E-2</v>
      </c>
      <c r="Q411" s="40"/>
      <c r="R411" s="40"/>
      <c r="S411" t="s">
        <v>2644</v>
      </c>
      <c r="T411">
        <v>5.01</v>
      </c>
      <c r="U411" s="40">
        <f t="shared" si="39"/>
        <v>-1.9940186068643953E-3</v>
      </c>
      <c r="V411" s="40">
        <f t="shared" si="40"/>
        <v>5.01</v>
      </c>
      <c r="W411" s="40">
        <f t="shared" si="41"/>
        <v>-1.9940186068643953E-3</v>
      </c>
    </row>
    <row r="412" spans="1:23" x14ac:dyDescent="0.2">
      <c r="A412" s="40" t="s">
        <v>999</v>
      </c>
      <c r="B412" s="40">
        <v>12.24</v>
      </c>
      <c r="C412" s="40">
        <v>12.24</v>
      </c>
      <c r="D412" s="40">
        <v>12.24</v>
      </c>
      <c r="E412" s="40">
        <v>12.24</v>
      </c>
      <c r="G412" s="36">
        <v>45093</v>
      </c>
      <c r="H412" s="40">
        <v>11.15</v>
      </c>
      <c r="I412" s="40">
        <v>42.692</v>
      </c>
      <c r="J412" s="44"/>
      <c r="K412" s="40"/>
      <c r="L412" s="45">
        <v>11.15</v>
      </c>
      <c r="M412" s="46">
        <v>42.692</v>
      </c>
      <c r="N412" s="40">
        <f t="shared" si="36"/>
        <v>-7.5964032080459695E-2</v>
      </c>
      <c r="O412" s="40">
        <f t="shared" si="37"/>
        <v>9.1393761121722459E-4</v>
      </c>
      <c r="P412" s="40">
        <f t="shared" si="38"/>
        <v>9.1435537945751711E-4</v>
      </c>
      <c r="Q412" s="40"/>
      <c r="R412" s="40"/>
      <c r="S412" t="s">
        <v>2643</v>
      </c>
      <c r="T412">
        <v>5.0199999999999996</v>
      </c>
      <c r="U412" s="40">
        <f t="shared" si="39"/>
        <v>0</v>
      </c>
      <c r="V412" s="40">
        <f t="shared" si="40"/>
        <v>5.0199999999999996</v>
      </c>
      <c r="W412" s="40">
        <f t="shared" si="41"/>
        <v>0</v>
      </c>
    </row>
    <row r="413" spans="1:23" x14ac:dyDescent="0.2">
      <c r="A413" s="40" t="s">
        <v>1000</v>
      </c>
      <c r="B413" s="40">
        <v>13.21</v>
      </c>
      <c r="C413" s="40">
        <v>13.21</v>
      </c>
      <c r="D413" s="40">
        <v>13.21</v>
      </c>
      <c r="E413" s="40">
        <v>13.21</v>
      </c>
      <c r="G413" s="36">
        <v>45092</v>
      </c>
      <c r="H413" s="40">
        <v>12.03</v>
      </c>
      <c r="I413" s="40">
        <v>42.652999999999999</v>
      </c>
      <c r="J413" s="44"/>
      <c r="K413" s="40"/>
      <c r="L413" s="45">
        <v>12.03</v>
      </c>
      <c r="M413" s="46">
        <v>42.652999999999999</v>
      </c>
      <c r="N413" s="40">
        <f t="shared" si="36"/>
        <v>-7.13729683678683E-2</v>
      </c>
      <c r="O413" s="40">
        <f t="shared" si="37"/>
        <v>-8.0327343773394563E-3</v>
      </c>
      <c r="P413" s="40">
        <f t="shared" si="38"/>
        <v>-8.0005581784775952E-3</v>
      </c>
      <c r="Q413" s="40"/>
      <c r="R413" s="40"/>
      <c r="S413" t="s">
        <v>2642</v>
      </c>
      <c r="T413">
        <v>5.0199999999999996</v>
      </c>
      <c r="U413" s="40">
        <f t="shared" si="39"/>
        <v>1.9940186068644495E-3</v>
      </c>
      <c r="V413" s="40">
        <f t="shared" si="40"/>
        <v>5.0199999999999996</v>
      </c>
      <c r="W413" s="40">
        <f t="shared" si="41"/>
        <v>1.9940186068644495E-3</v>
      </c>
    </row>
    <row r="414" spans="1:23" x14ac:dyDescent="0.2">
      <c r="A414" s="40" t="s">
        <v>1001</v>
      </c>
      <c r="B414" s="40">
        <v>13.15</v>
      </c>
      <c r="C414" s="40">
        <v>13.15</v>
      </c>
      <c r="D414" s="40">
        <v>13.15</v>
      </c>
      <c r="E414" s="40">
        <v>13.15</v>
      </c>
      <c r="G414" s="36">
        <v>45091</v>
      </c>
      <c r="H414" s="40">
        <v>12.92</v>
      </c>
      <c r="I414" s="40">
        <v>42.997</v>
      </c>
      <c r="J414" s="44"/>
      <c r="K414" s="40"/>
      <c r="L414" s="45">
        <v>12.92</v>
      </c>
      <c r="M414" s="46">
        <v>42.997</v>
      </c>
      <c r="N414" s="40">
        <f t="shared" si="36"/>
        <v>0.13132242331454083</v>
      </c>
      <c r="O414" s="40">
        <f t="shared" si="37"/>
        <v>4.7021837658128847E-2</v>
      </c>
      <c r="P414" s="40">
        <f t="shared" si="38"/>
        <v>4.8144897859685086E-2</v>
      </c>
      <c r="Q414" s="40"/>
      <c r="R414" s="40"/>
      <c r="S414" t="s">
        <v>2641</v>
      </c>
      <c r="T414">
        <v>5.01</v>
      </c>
      <c r="U414" s="40">
        <f t="shared" si="39"/>
        <v>-3.9840690148744591E-3</v>
      </c>
      <c r="V414" s="40">
        <f t="shared" si="40"/>
        <v>5.01</v>
      </c>
      <c r="W414" s="40">
        <f t="shared" si="41"/>
        <v>-3.9840690148744591E-3</v>
      </c>
    </row>
    <row r="415" spans="1:23" x14ac:dyDescent="0.2">
      <c r="A415" s="40" t="s">
        <v>1002</v>
      </c>
      <c r="B415" s="40">
        <v>13.67</v>
      </c>
      <c r="C415" s="40">
        <v>13.67</v>
      </c>
      <c r="D415" s="40">
        <v>13.67</v>
      </c>
      <c r="E415" s="40">
        <v>13.67</v>
      </c>
      <c r="G415" s="36">
        <v>45090</v>
      </c>
      <c r="H415" s="40">
        <v>11.33</v>
      </c>
      <c r="I415" s="40">
        <v>41.021999999999998</v>
      </c>
      <c r="J415" s="44"/>
      <c r="K415" s="40"/>
      <c r="L415" s="45">
        <v>11.33</v>
      </c>
      <c r="M415" s="46">
        <v>41.021999999999998</v>
      </c>
      <c r="N415" s="40">
        <f t="shared" si="36"/>
        <v>-0.18114404709063509</v>
      </c>
      <c r="O415" s="40">
        <f t="shared" si="37"/>
        <v>3.8263636316235687E-2</v>
      </c>
      <c r="P415" s="40">
        <f t="shared" si="38"/>
        <v>3.9005116255508822E-2</v>
      </c>
      <c r="Q415" s="40"/>
      <c r="R415" s="40"/>
      <c r="S415" t="s">
        <v>2640</v>
      </c>
      <c r="T415">
        <v>5.03</v>
      </c>
      <c r="U415" s="40">
        <f t="shared" si="39"/>
        <v>-9.8912774787426674E-3</v>
      </c>
      <c r="V415" s="40">
        <f t="shared" si="40"/>
        <v>5.03</v>
      </c>
      <c r="W415" s="40">
        <f t="shared" si="41"/>
        <v>-9.8912774787426674E-3</v>
      </c>
    </row>
    <row r="416" spans="1:23" x14ac:dyDescent="0.2">
      <c r="A416" s="40" t="s">
        <v>1003</v>
      </c>
      <c r="B416" s="40">
        <v>13.1</v>
      </c>
      <c r="C416" s="40">
        <v>13.1</v>
      </c>
      <c r="D416" s="40">
        <v>13.1</v>
      </c>
      <c r="E416" s="40">
        <v>13.1</v>
      </c>
      <c r="G416" s="36">
        <v>45089</v>
      </c>
      <c r="H416" s="40">
        <v>13.58</v>
      </c>
      <c r="I416" s="40">
        <v>39.481999999999999</v>
      </c>
      <c r="J416" s="44"/>
      <c r="K416" s="40"/>
      <c r="L416" s="45">
        <v>13.58</v>
      </c>
      <c r="M416" s="46">
        <v>39.481999999999999</v>
      </c>
      <c r="N416" s="40">
        <f t="shared" si="36"/>
        <v>6.6209036929187309E-2</v>
      </c>
      <c r="O416" s="40">
        <f t="shared" si="37"/>
        <v>1.8198120160638293E-2</v>
      </c>
      <c r="P416" s="40">
        <f t="shared" si="38"/>
        <v>1.8364714985813674E-2</v>
      </c>
      <c r="Q416" s="40"/>
      <c r="R416" s="40"/>
      <c r="S416" s="47">
        <v>45266</v>
      </c>
      <c r="T416">
        <v>5.08</v>
      </c>
      <c r="U416" s="40">
        <f t="shared" si="39"/>
        <v>-1.9665689720408269E-3</v>
      </c>
      <c r="V416" s="40">
        <f t="shared" si="40"/>
        <v>5.08</v>
      </c>
      <c r="W416" s="40">
        <f t="shared" si="41"/>
        <v>-1.9665689720408269E-3</v>
      </c>
    </row>
    <row r="417" spans="1:23" x14ac:dyDescent="0.2">
      <c r="A417" s="40" t="s">
        <v>1004</v>
      </c>
      <c r="B417" s="40">
        <v>14.89</v>
      </c>
      <c r="C417" s="40">
        <v>14.89</v>
      </c>
      <c r="D417" s="40">
        <v>14.89</v>
      </c>
      <c r="E417" s="40">
        <v>14.89</v>
      </c>
      <c r="G417" s="36">
        <v>45086</v>
      </c>
      <c r="H417" s="40">
        <v>12.71</v>
      </c>
      <c r="I417" s="40">
        <v>38.770000000000003</v>
      </c>
      <c r="J417" s="44"/>
      <c r="K417" s="40"/>
      <c r="L417" s="45">
        <v>12.71</v>
      </c>
      <c r="M417" s="46">
        <v>38.770000000000003</v>
      </c>
      <c r="N417" s="40">
        <f t="shared" si="36"/>
        <v>-0.12483912138059217</v>
      </c>
      <c r="O417" s="40">
        <f t="shared" si="37"/>
        <v>6.7288038560202766E-3</v>
      </c>
      <c r="P417" s="40">
        <f t="shared" si="38"/>
        <v>6.751493118670608E-3</v>
      </c>
      <c r="Q417" s="40"/>
      <c r="R417" s="40"/>
      <c r="S417" s="47">
        <v>45175</v>
      </c>
      <c r="T417">
        <v>5.09</v>
      </c>
      <c r="U417" s="40">
        <f t="shared" si="39"/>
        <v>0</v>
      </c>
      <c r="V417" s="40">
        <f t="shared" si="40"/>
        <v>5.09</v>
      </c>
      <c r="W417" s="40">
        <f t="shared" si="41"/>
        <v>0</v>
      </c>
    </row>
    <row r="418" spans="1:23" x14ac:dyDescent="0.2">
      <c r="A418" s="40" t="s">
        <v>1005</v>
      </c>
      <c r="B418" s="40">
        <v>15.21</v>
      </c>
      <c r="C418" s="40">
        <v>15.21</v>
      </c>
      <c r="D418" s="40">
        <v>15.21</v>
      </c>
      <c r="E418" s="40">
        <v>15.21</v>
      </c>
      <c r="G418" s="36">
        <v>45085</v>
      </c>
      <c r="H418" s="40">
        <v>14.4</v>
      </c>
      <c r="I418" s="40">
        <v>38.51</v>
      </c>
      <c r="J418" s="44"/>
      <c r="K418" s="40"/>
      <c r="L418" s="45">
        <v>14.4</v>
      </c>
      <c r="M418" s="46">
        <v>38.51</v>
      </c>
      <c r="N418" s="40">
        <f t="shared" si="36"/>
        <v>-6.3887267451251131E-2</v>
      </c>
      <c r="O418" s="40">
        <f t="shared" si="37"/>
        <v>2.7243903838155961E-2</v>
      </c>
      <c r="P418" s="40">
        <f t="shared" si="38"/>
        <v>2.7618412274849808E-2</v>
      </c>
      <c r="Q418" s="40"/>
      <c r="R418" s="40"/>
      <c r="S418" s="47">
        <v>45144</v>
      </c>
      <c r="T418">
        <v>5.09</v>
      </c>
      <c r="U418" s="40">
        <f t="shared" si="39"/>
        <v>3.6003888756002085E-2</v>
      </c>
      <c r="V418" s="40">
        <f t="shared" si="40"/>
        <v>5.09</v>
      </c>
      <c r="W418" s="40">
        <f t="shared" si="41"/>
        <v>3.6003888756002085E-2</v>
      </c>
    </row>
    <row r="419" spans="1:23" x14ac:dyDescent="0.2">
      <c r="A419" s="40" t="s">
        <v>1006</v>
      </c>
      <c r="B419" s="40">
        <v>15.29</v>
      </c>
      <c r="C419" s="40">
        <v>15.29</v>
      </c>
      <c r="D419" s="40">
        <v>15.29</v>
      </c>
      <c r="E419" s="40">
        <v>15.29</v>
      </c>
      <c r="G419" s="36">
        <v>45084</v>
      </c>
      <c r="H419" s="40">
        <v>15.35</v>
      </c>
      <c r="I419" s="40">
        <v>37.475000000000001</v>
      </c>
      <c r="J419" s="44"/>
      <c r="K419" s="40"/>
      <c r="L419" s="45">
        <v>15.35</v>
      </c>
      <c r="M419" s="46">
        <v>37.475000000000001</v>
      </c>
      <c r="N419" s="40">
        <f t="shared" si="36"/>
        <v>0.1441036013080523</v>
      </c>
      <c r="O419" s="40">
        <f t="shared" si="37"/>
        <v>-3.0976218574614595E-2</v>
      </c>
      <c r="P419" s="40">
        <f t="shared" si="38"/>
        <v>-3.0501371138821388E-2</v>
      </c>
      <c r="Q419" s="40"/>
      <c r="R419" s="40"/>
      <c r="S419" s="47">
        <v>45113</v>
      </c>
      <c r="T419">
        <v>4.91</v>
      </c>
      <c r="U419" s="40">
        <f t="shared" si="39"/>
        <v>-1.6161967956998102E-2</v>
      </c>
      <c r="V419" s="40">
        <f t="shared" si="40"/>
        <v>4.91</v>
      </c>
      <c r="W419" s="40">
        <f t="shared" si="41"/>
        <v>-1.6161967956998102E-2</v>
      </c>
    </row>
    <row r="420" spans="1:23" x14ac:dyDescent="0.2">
      <c r="A420" s="40" t="s">
        <v>1007</v>
      </c>
      <c r="B420" s="40">
        <v>16.87</v>
      </c>
      <c r="C420" s="40">
        <v>16.87</v>
      </c>
      <c r="D420" s="40">
        <v>16.87</v>
      </c>
      <c r="E420" s="40">
        <v>16.87</v>
      </c>
      <c r="G420" s="36">
        <v>45083</v>
      </c>
      <c r="H420" s="40">
        <v>13.29</v>
      </c>
      <c r="I420" s="40">
        <v>38.654000000000003</v>
      </c>
      <c r="J420" s="44"/>
      <c r="K420" s="40"/>
      <c r="L420" s="45">
        <v>13.29</v>
      </c>
      <c r="M420" s="46">
        <v>38.654000000000003</v>
      </c>
      <c r="N420" s="40">
        <f t="shared" si="36"/>
        <v>-2.2322355437898383E-2</v>
      </c>
      <c r="O420" s="40">
        <f t="shared" si="37"/>
        <v>-1.3286414530735157E-2</v>
      </c>
      <c r="P420" s="40">
        <f t="shared" si="38"/>
        <v>-1.3198539736029101E-2</v>
      </c>
      <c r="Q420" s="40"/>
      <c r="R420" s="40"/>
      <c r="S420" s="47">
        <v>45083</v>
      </c>
      <c r="T420">
        <v>4.99</v>
      </c>
      <c r="U420" s="40">
        <f t="shared" si="39"/>
        <v>-1.984192079900406E-2</v>
      </c>
      <c r="V420" s="40">
        <f t="shared" si="40"/>
        <v>4.99</v>
      </c>
      <c r="W420" s="40">
        <f t="shared" si="41"/>
        <v>-1.984192079900406E-2</v>
      </c>
    </row>
    <row r="421" spans="1:23" x14ac:dyDescent="0.2">
      <c r="A421" s="40" t="s">
        <v>1008</v>
      </c>
      <c r="B421" s="40">
        <v>15.73</v>
      </c>
      <c r="C421" s="40">
        <v>15.73</v>
      </c>
      <c r="D421" s="40">
        <v>15.73</v>
      </c>
      <c r="E421" s="40">
        <v>15.73</v>
      </c>
      <c r="G421" s="36">
        <v>45082</v>
      </c>
      <c r="H421" s="40">
        <v>13.59</v>
      </c>
      <c r="I421" s="40">
        <v>39.170999999999999</v>
      </c>
      <c r="J421" s="44"/>
      <c r="K421" s="40"/>
      <c r="L421" s="45">
        <v>13.59</v>
      </c>
      <c r="M421" s="46">
        <v>39.170999999999999</v>
      </c>
      <c r="N421" s="40">
        <f t="shared" si="36"/>
        <v>-1.9672765598704779E-2</v>
      </c>
      <c r="O421" s="40">
        <f t="shared" si="37"/>
        <v>-3.9746287897705962E-3</v>
      </c>
      <c r="P421" s="40">
        <f t="shared" si="38"/>
        <v>-3.9667404073536966E-3</v>
      </c>
      <c r="Q421" s="40"/>
      <c r="R421" s="40"/>
      <c r="S421" s="47">
        <v>45052</v>
      </c>
      <c r="T421">
        <v>5.09</v>
      </c>
      <c r="U421" s="40">
        <f t="shared" si="39"/>
        <v>-5.8766084889850419E-3</v>
      </c>
      <c r="V421" s="40">
        <f t="shared" si="40"/>
        <v>5.09</v>
      </c>
      <c r="W421" s="40">
        <f t="shared" si="41"/>
        <v>-5.8766084889850419E-3</v>
      </c>
    </row>
    <row r="422" spans="1:23" x14ac:dyDescent="0.2">
      <c r="A422" s="41">
        <v>41008</v>
      </c>
      <c r="B422" s="40">
        <v>17.43</v>
      </c>
      <c r="C422" s="40">
        <v>17.43</v>
      </c>
      <c r="D422" s="40">
        <v>17.43</v>
      </c>
      <c r="E422" s="40">
        <v>17.43</v>
      </c>
      <c r="G422" s="36">
        <v>45079</v>
      </c>
      <c r="H422" s="40">
        <v>13.86</v>
      </c>
      <c r="I422" s="40">
        <v>39.326999999999998</v>
      </c>
      <c r="J422" s="44"/>
      <c r="K422" s="40"/>
      <c r="L422" s="45">
        <v>13.86</v>
      </c>
      <c r="M422" s="46">
        <v>39.326999999999998</v>
      </c>
      <c r="N422" s="40">
        <f t="shared" si="36"/>
        <v>2.1668480850902932E-3</v>
      </c>
      <c r="O422" s="40">
        <f t="shared" si="37"/>
        <v>-1.1201553335817509E-2</v>
      </c>
      <c r="P422" s="40">
        <f t="shared" si="38"/>
        <v>-1.1139049534825368E-2</v>
      </c>
      <c r="Q422" s="40"/>
      <c r="R422" s="40"/>
      <c r="S422" s="47">
        <v>44963</v>
      </c>
      <c r="T422">
        <v>5.12</v>
      </c>
      <c r="U422" s="40">
        <f t="shared" si="39"/>
        <v>-3.8986404156571976E-3</v>
      </c>
      <c r="V422" s="40">
        <f t="shared" si="40"/>
        <v>5.12</v>
      </c>
      <c r="W422" s="40">
        <f t="shared" si="41"/>
        <v>-3.8986404156571976E-3</v>
      </c>
    </row>
    <row r="423" spans="1:23" x14ac:dyDescent="0.2">
      <c r="A423" s="41">
        <v>41038</v>
      </c>
      <c r="B423" s="40">
        <v>17.899999999999999</v>
      </c>
      <c r="C423" s="40">
        <v>17.899999999999999</v>
      </c>
      <c r="D423" s="40">
        <v>17.899999999999999</v>
      </c>
      <c r="E423" s="40">
        <v>17.899999999999999</v>
      </c>
      <c r="G423" s="36">
        <v>45078</v>
      </c>
      <c r="H423" s="40">
        <v>13.83</v>
      </c>
      <c r="I423" s="40">
        <v>39.770000000000003</v>
      </c>
      <c r="J423" s="44"/>
      <c r="K423" s="40"/>
      <c r="L423" s="45">
        <v>13.83</v>
      </c>
      <c r="M423" s="46">
        <v>39.770000000000003</v>
      </c>
      <c r="N423" s="40">
        <f t="shared" si="36"/>
        <v>-2.2167514791759893E-2</v>
      </c>
      <c r="O423" s="40">
        <f t="shared" si="37"/>
        <v>4.990468997612775E-2</v>
      </c>
      <c r="P423" s="40">
        <f t="shared" si="38"/>
        <v>5.1170904477454135E-2</v>
      </c>
      <c r="Q423" s="40"/>
      <c r="R423" s="40"/>
      <c r="S423" s="47">
        <v>44932</v>
      </c>
      <c r="T423">
        <v>5.14</v>
      </c>
      <c r="U423" s="40">
        <f t="shared" si="39"/>
        <v>1.1741817876683195E-2</v>
      </c>
      <c r="V423" s="40">
        <f t="shared" si="40"/>
        <v>5.14</v>
      </c>
      <c r="W423" s="40">
        <f t="shared" si="41"/>
        <v>1.1741817876683195E-2</v>
      </c>
    </row>
    <row r="424" spans="1:23" x14ac:dyDescent="0.2">
      <c r="A424" s="41">
        <v>41069</v>
      </c>
      <c r="B424" s="40">
        <v>14.98</v>
      </c>
      <c r="C424" s="40">
        <v>14.98</v>
      </c>
      <c r="D424" s="40">
        <v>14.98</v>
      </c>
      <c r="E424" s="40">
        <v>14.98</v>
      </c>
      <c r="G424" s="36">
        <v>45077</v>
      </c>
      <c r="H424" s="40">
        <v>14.14</v>
      </c>
      <c r="I424" s="40">
        <v>37.834000000000003</v>
      </c>
      <c r="J424" s="44"/>
      <c r="K424" s="40"/>
      <c r="L424" s="45">
        <v>14.14</v>
      </c>
      <c r="M424" s="46">
        <v>37.834000000000003</v>
      </c>
      <c r="N424" s="40">
        <f t="shared" si="36"/>
        <v>0.10426101032440946</v>
      </c>
      <c r="O424" s="40">
        <f t="shared" si="37"/>
        <v>-5.8442441666250657E-2</v>
      </c>
      <c r="P424" s="40">
        <f t="shared" si="38"/>
        <v>-5.6767470270000599E-2</v>
      </c>
      <c r="Q424" s="40"/>
      <c r="R424" s="40"/>
      <c r="S424" t="s">
        <v>2639</v>
      </c>
      <c r="T424">
        <v>5.08</v>
      </c>
      <c r="U424" s="40">
        <f t="shared" si="39"/>
        <v>-7.8431774610258926E-3</v>
      </c>
      <c r="V424" s="40">
        <f t="shared" si="40"/>
        <v>5.08</v>
      </c>
      <c r="W424" s="40">
        <f t="shared" si="41"/>
        <v>-7.8431774610258926E-3</v>
      </c>
    </row>
    <row r="425" spans="1:23" x14ac:dyDescent="0.2">
      <c r="A425" s="41">
        <v>41099</v>
      </c>
      <c r="B425" s="40">
        <v>13.25</v>
      </c>
      <c r="C425" s="40">
        <v>13.25</v>
      </c>
      <c r="D425" s="40">
        <v>13.25</v>
      </c>
      <c r="E425" s="40">
        <v>13.25</v>
      </c>
      <c r="G425" s="36">
        <v>45076</v>
      </c>
      <c r="H425" s="40">
        <v>12.74</v>
      </c>
      <c r="I425" s="40">
        <v>40.110999999999997</v>
      </c>
      <c r="J425" s="44"/>
      <c r="K425" s="40"/>
      <c r="L425" s="45">
        <v>12.74</v>
      </c>
      <c r="M425" s="46">
        <v>40.110999999999997</v>
      </c>
      <c r="N425" s="40">
        <f t="shared" si="36"/>
        <v>-9.2881086661646892E-2</v>
      </c>
      <c r="O425" s="40">
        <f t="shared" si="37"/>
        <v>2.9474539630335785E-2</v>
      </c>
      <c r="P425" s="40">
        <f t="shared" si="38"/>
        <v>2.9913213166949087E-2</v>
      </c>
      <c r="Q425" s="40"/>
      <c r="R425" s="40"/>
      <c r="S425" t="s">
        <v>2638</v>
      </c>
      <c r="T425">
        <v>5.12</v>
      </c>
      <c r="U425" s="40">
        <f t="shared" si="39"/>
        <v>-0.12124924363286965</v>
      </c>
      <c r="V425" s="40">
        <f t="shared" si="40"/>
        <v>5.12</v>
      </c>
      <c r="W425" s="40">
        <f t="shared" si="41"/>
        <v>-0.12124924363286965</v>
      </c>
    </row>
    <row r="426" spans="1:23" x14ac:dyDescent="0.2">
      <c r="A426" s="41">
        <v>41191</v>
      </c>
      <c r="B426" s="40">
        <v>16.940000000000001</v>
      </c>
      <c r="C426" s="40">
        <v>16.940000000000001</v>
      </c>
      <c r="D426" s="40">
        <v>16.940000000000001</v>
      </c>
      <c r="E426" s="40">
        <v>16.940000000000001</v>
      </c>
      <c r="G426" s="36">
        <v>45072</v>
      </c>
      <c r="H426" s="40">
        <v>13.98</v>
      </c>
      <c r="I426" s="40">
        <v>38.945999999999998</v>
      </c>
      <c r="J426" s="44"/>
      <c r="K426" s="40"/>
      <c r="L426" s="45">
        <v>13.98</v>
      </c>
      <c r="M426" s="46">
        <v>38.945999999999998</v>
      </c>
      <c r="N426" s="40">
        <f t="shared" si="36"/>
        <v>-0.18672291999270657</v>
      </c>
      <c r="O426" s="40">
        <f t="shared" si="37"/>
        <v>2.511636589524676E-2</v>
      </c>
      <c r="P426" s="40">
        <f t="shared" si="38"/>
        <v>2.5434439178515039E-2</v>
      </c>
      <c r="Q426" s="40"/>
      <c r="R426" s="40"/>
      <c r="S426" t="s">
        <v>2637</v>
      </c>
      <c r="T426">
        <v>5.78</v>
      </c>
      <c r="U426" s="40">
        <f t="shared" si="39"/>
        <v>1.2184659016367219E-2</v>
      </c>
      <c r="V426" s="40">
        <f t="shared" si="40"/>
        <v>5.78</v>
      </c>
      <c r="W426" s="40">
        <f t="shared" si="41"/>
        <v>1.2184659016367219E-2</v>
      </c>
    </row>
    <row r="427" spans="1:23" x14ac:dyDescent="0.2">
      <c r="A427" s="41">
        <v>41222</v>
      </c>
      <c r="B427" s="40">
        <v>16.940000000000001</v>
      </c>
      <c r="C427" s="40">
        <v>16.940000000000001</v>
      </c>
      <c r="D427" s="40">
        <v>16.940000000000001</v>
      </c>
      <c r="E427" s="40">
        <v>16.940000000000001</v>
      </c>
      <c r="G427" s="36">
        <v>45071</v>
      </c>
      <c r="H427" s="40">
        <v>16.850000000000001</v>
      </c>
      <c r="I427" s="40">
        <v>37.979999999999997</v>
      </c>
      <c r="J427" s="44"/>
      <c r="K427" s="40"/>
      <c r="L427" s="45">
        <v>16.850000000000001</v>
      </c>
      <c r="M427" s="46">
        <v>37.979999999999997</v>
      </c>
      <c r="N427" s="40">
        <f t="shared" si="36"/>
        <v>2.0384398866334121E-2</v>
      </c>
      <c r="O427" s="40">
        <f t="shared" si="37"/>
        <v>0.21808789562281974</v>
      </c>
      <c r="P427" s="40">
        <f t="shared" si="38"/>
        <v>0.24369637828279508</v>
      </c>
      <c r="Q427" s="40"/>
      <c r="R427" s="40"/>
      <c r="S427" t="s">
        <v>2636</v>
      </c>
      <c r="T427">
        <v>5.71</v>
      </c>
      <c r="U427" s="40">
        <f t="shared" si="39"/>
        <v>1.5887359762319146E-2</v>
      </c>
      <c r="V427" s="40">
        <f t="shared" si="40"/>
        <v>5.71</v>
      </c>
      <c r="W427" s="40">
        <f t="shared" si="41"/>
        <v>1.5887359762319146E-2</v>
      </c>
    </row>
    <row r="428" spans="1:23" x14ac:dyDescent="0.2">
      <c r="A428" s="41">
        <v>41252</v>
      </c>
      <c r="B428" s="40">
        <v>15.95</v>
      </c>
      <c r="C428" s="40">
        <v>15.95</v>
      </c>
      <c r="D428" s="40">
        <v>15.95</v>
      </c>
      <c r="E428" s="40">
        <v>15.95</v>
      </c>
      <c r="G428" s="36">
        <v>45070</v>
      </c>
      <c r="H428" s="40">
        <v>16.510000000000002</v>
      </c>
      <c r="I428" s="40">
        <v>30.538</v>
      </c>
      <c r="J428" s="44"/>
      <c r="K428" s="40"/>
      <c r="L428" s="45">
        <v>16.510000000000002</v>
      </c>
      <c r="M428" s="46">
        <v>30.538</v>
      </c>
      <c r="N428" s="40">
        <f t="shared" si="36"/>
        <v>-4.326600730351024E-2</v>
      </c>
      <c r="O428" s="40">
        <f t="shared" si="37"/>
        <v>-4.8998889397077411E-3</v>
      </c>
      <c r="P428" s="40">
        <f t="shared" si="38"/>
        <v>-4.8879040667361377E-3</v>
      </c>
      <c r="Q428" s="40"/>
      <c r="R428" s="40"/>
      <c r="S428" t="s">
        <v>2635</v>
      </c>
      <c r="T428">
        <v>5.62</v>
      </c>
      <c r="U428" s="40">
        <f t="shared" si="39"/>
        <v>1.9767040740776582E-2</v>
      </c>
      <c r="V428" s="40">
        <f t="shared" si="40"/>
        <v>5.62</v>
      </c>
      <c r="W428" s="40">
        <f t="shared" si="41"/>
        <v>1.9767040740776582E-2</v>
      </c>
    </row>
    <row r="429" spans="1:23" x14ac:dyDescent="0.2">
      <c r="A429" s="40" t="s">
        <v>1009</v>
      </c>
      <c r="B429" s="40">
        <v>14.46</v>
      </c>
      <c r="C429" s="40">
        <v>14.46</v>
      </c>
      <c r="D429" s="40">
        <v>14.46</v>
      </c>
      <c r="E429" s="40">
        <v>14.46</v>
      </c>
      <c r="G429" s="36">
        <v>45069</v>
      </c>
      <c r="H429" s="40">
        <v>17.239999999999998</v>
      </c>
      <c r="I429" s="40">
        <v>30.687999999999999</v>
      </c>
      <c r="J429" s="44"/>
      <c r="K429" s="40"/>
      <c r="L429" s="45">
        <v>17.239999999999998</v>
      </c>
      <c r="M429" s="46">
        <v>30.687999999999999</v>
      </c>
      <c r="N429" s="40">
        <f t="shared" si="36"/>
        <v>-6.8373963839159169E-2</v>
      </c>
      <c r="O429" s="40">
        <f t="shared" si="37"/>
        <v>-1.5776869335380379E-2</v>
      </c>
      <c r="P429" s="40">
        <f t="shared" si="38"/>
        <v>-1.5653066461380535E-2</v>
      </c>
      <c r="Q429" s="40"/>
      <c r="R429" s="40"/>
      <c r="S429" t="s">
        <v>2634</v>
      </c>
      <c r="T429">
        <v>5.51</v>
      </c>
      <c r="U429" s="40">
        <f t="shared" si="39"/>
        <v>1.8165309263977853E-3</v>
      </c>
      <c r="V429" s="40">
        <f t="shared" si="40"/>
        <v>5.51</v>
      </c>
      <c r="W429" s="40">
        <f t="shared" si="41"/>
        <v>1.8165309263977853E-3</v>
      </c>
    </row>
    <row r="430" spans="1:23" x14ac:dyDescent="0.2">
      <c r="A430" s="40" t="s">
        <v>1010</v>
      </c>
      <c r="B430" s="40">
        <v>14.12</v>
      </c>
      <c r="C430" s="40">
        <v>14.12</v>
      </c>
      <c r="D430" s="40">
        <v>14.12</v>
      </c>
      <c r="E430" s="40">
        <v>14.12</v>
      </c>
      <c r="G430" s="36">
        <v>45068</v>
      </c>
      <c r="H430" s="40">
        <v>18.46</v>
      </c>
      <c r="I430" s="40">
        <v>31.175999999999998</v>
      </c>
      <c r="J430" s="44"/>
      <c r="K430" s="40"/>
      <c r="L430" s="45">
        <v>18.46</v>
      </c>
      <c r="M430" s="46">
        <v>31.175999999999998</v>
      </c>
      <c r="N430" s="40">
        <f t="shared" si="36"/>
        <v>-6.8559408107819325E-2</v>
      </c>
      <c r="O430" s="40">
        <f t="shared" si="37"/>
        <v>-2.8187078239641653E-3</v>
      </c>
      <c r="P430" s="40">
        <f t="shared" si="38"/>
        <v>-2.8147389969294064E-3</v>
      </c>
      <c r="Q430" s="40"/>
      <c r="R430" s="40"/>
      <c r="S430" t="s">
        <v>2633</v>
      </c>
      <c r="T430">
        <v>5.5</v>
      </c>
      <c r="U430" s="40">
        <f t="shared" si="39"/>
        <v>1.649899938003507E-2</v>
      </c>
      <c r="V430" s="40">
        <f t="shared" si="40"/>
        <v>5.5</v>
      </c>
      <c r="W430" s="40">
        <f t="shared" si="41"/>
        <v>1.649899938003507E-2</v>
      </c>
    </row>
    <row r="431" spans="1:23" x14ac:dyDescent="0.2">
      <c r="A431" s="40" t="s">
        <v>1011</v>
      </c>
      <c r="B431" s="40">
        <v>14.1</v>
      </c>
      <c r="C431" s="40">
        <v>14.1</v>
      </c>
      <c r="D431" s="40">
        <v>14.1</v>
      </c>
      <c r="E431" s="40">
        <v>14.1</v>
      </c>
      <c r="G431" s="36">
        <v>45065</v>
      </c>
      <c r="H431" s="40">
        <v>19.77</v>
      </c>
      <c r="I431" s="40">
        <v>31.263999999999999</v>
      </c>
      <c r="J431" s="44"/>
      <c r="K431" s="40"/>
      <c r="L431" s="45">
        <v>19.77</v>
      </c>
      <c r="M431" s="46">
        <v>31.263999999999999</v>
      </c>
      <c r="N431" s="40">
        <f t="shared" si="36"/>
        <v>0.12942105692951195</v>
      </c>
      <c r="O431" s="40">
        <f t="shared" si="37"/>
        <v>-1.3155157779856362E-2</v>
      </c>
      <c r="P431" s="40">
        <f t="shared" si="38"/>
        <v>-1.3069006881747631E-2</v>
      </c>
      <c r="Q431" s="40"/>
      <c r="R431" s="40"/>
      <c r="S431" t="s">
        <v>2632</v>
      </c>
      <c r="T431">
        <v>5.41</v>
      </c>
      <c r="U431" s="40">
        <f t="shared" si="39"/>
        <v>5.5607186846971792E-3</v>
      </c>
      <c r="V431" s="40">
        <f t="shared" si="40"/>
        <v>5.41</v>
      </c>
      <c r="W431" s="40">
        <f t="shared" si="41"/>
        <v>5.5607186846971792E-3</v>
      </c>
    </row>
    <row r="432" spans="1:23" x14ac:dyDescent="0.2">
      <c r="A432" s="40" t="s">
        <v>1012</v>
      </c>
      <c r="B432" s="40">
        <v>13.44</v>
      </c>
      <c r="C432" s="40">
        <v>13.44</v>
      </c>
      <c r="D432" s="40">
        <v>13.44</v>
      </c>
      <c r="E432" s="40">
        <v>13.44</v>
      </c>
      <c r="G432" s="36">
        <v>45064</v>
      </c>
      <c r="H432" s="40">
        <v>17.37</v>
      </c>
      <c r="I432" s="40">
        <v>31.678000000000001</v>
      </c>
      <c r="J432" s="44"/>
      <c r="K432" s="40"/>
      <c r="L432" s="45">
        <v>17.37</v>
      </c>
      <c r="M432" s="46">
        <v>31.678000000000001</v>
      </c>
      <c r="N432" s="40">
        <f t="shared" si="36"/>
        <v>0.1126150654979409</v>
      </c>
      <c r="O432" s="40">
        <f t="shared" si="37"/>
        <v>4.8509251548768895E-2</v>
      </c>
      <c r="P432" s="40">
        <f t="shared" si="38"/>
        <v>4.9705083173172508E-2</v>
      </c>
      <c r="Q432" s="40"/>
      <c r="R432" s="40"/>
      <c r="S432" t="s">
        <v>2631</v>
      </c>
      <c r="T432">
        <v>5.38</v>
      </c>
      <c r="U432" s="40">
        <f t="shared" si="39"/>
        <v>-1.8570107472126599E-3</v>
      </c>
      <c r="V432" s="40">
        <f t="shared" si="40"/>
        <v>5.38</v>
      </c>
      <c r="W432" s="40">
        <f t="shared" si="41"/>
        <v>-1.8570107472126599E-3</v>
      </c>
    </row>
    <row r="433" spans="1:23" x14ac:dyDescent="0.2">
      <c r="A433" s="40" t="s">
        <v>1013</v>
      </c>
      <c r="B433" s="40">
        <v>13.07</v>
      </c>
      <c r="C433" s="40">
        <v>13.07</v>
      </c>
      <c r="D433" s="40">
        <v>13.07</v>
      </c>
      <c r="E433" s="40">
        <v>13.07</v>
      </c>
      <c r="G433" s="36">
        <v>45063</v>
      </c>
      <c r="H433" s="40">
        <v>15.52</v>
      </c>
      <c r="I433" s="40">
        <v>30.178000000000001</v>
      </c>
      <c r="J433" s="44"/>
      <c r="K433" s="40"/>
      <c r="L433" s="45">
        <v>15.52</v>
      </c>
      <c r="M433" s="46">
        <v>30.178000000000001</v>
      </c>
      <c r="N433" s="40">
        <f t="shared" si="36"/>
        <v>8.5372608040413134E-2</v>
      </c>
      <c r="O433" s="40">
        <f t="shared" si="37"/>
        <v>3.2499366412326314E-2</v>
      </c>
      <c r="P433" s="40">
        <f t="shared" si="38"/>
        <v>3.3033238626638817E-2</v>
      </c>
      <c r="Q433" s="40"/>
      <c r="R433" s="40"/>
      <c r="S433" t="s">
        <v>2630</v>
      </c>
      <c r="T433">
        <v>5.39</v>
      </c>
      <c r="U433" s="40">
        <f t="shared" si="39"/>
        <v>-1.1070223754247033E-2</v>
      </c>
      <c r="V433" s="40">
        <f t="shared" si="40"/>
        <v>5.39</v>
      </c>
      <c r="W433" s="40">
        <f t="shared" si="41"/>
        <v>-1.1070223754247033E-2</v>
      </c>
    </row>
    <row r="434" spans="1:23" x14ac:dyDescent="0.2">
      <c r="A434" s="40" t="s">
        <v>1014</v>
      </c>
      <c r="B434" s="40">
        <v>12.89</v>
      </c>
      <c r="C434" s="40">
        <v>12.89</v>
      </c>
      <c r="D434" s="40">
        <v>12.89</v>
      </c>
      <c r="E434" s="40">
        <v>12.89</v>
      </c>
      <c r="G434" s="36">
        <v>45062</v>
      </c>
      <c r="H434" s="40">
        <v>14.25</v>
      </c>
      <c r="I434" s="40">
        <v>29.213000000000001</v>
      </c>
      <c r="J434" s="44"/>
      <c r="K434" s="40"/>
      <c r="L434" s="45">
        <v>14.25</v>
      </c>
      <c r="M434" s="46">
        <v>29.213000000000001</v>
      </c>
      <c r="N434" s="40">
        <f t="shared" si="36"/>
        <v>1.342302033214055E-2</v>
      </c>
      <c r="O434" s="40">
        <f t="shared" si="37"/>
        <v>8.939990086024566E-3</v>
      </c>
      <c r="P434" s="40">
        <f t="shared" si="38"/>
        <v>8.9800711497945492E-3</v>
      </c>
      <c r="Q434" s="40"/>
      <c r="R434" s="40"/>
      <c r="S434" t="s">
        <v>2629</v>
      </c>
      <c r="T434">
        <v>5.45</v>
      </c>
      <c r="U434" s="40">
        <f t="shared" si="39"/>
        <v>-7.3126468462866023E-3</v>
      </c>
      <c r="V434" s="40">
        <f t="shared" si="40"/>
        <v>5.45</v>
      </c>
      <c r="W434" s="40">
        <f t="shared" si="41"/>
        <v>-7.3126468462866023E-3</v>
      </c>
    </row>
    <row r="435" spans="1:23" x14ac:dyDescent="0.2">
      <c r="A435" s="40" t="s">
        <v>1015</v>
      </c>
      <c r="B435" s="40">
        <v>13.22</v>
      </c>
      <c r="C435" s="40">
        <v>13.22</v>
      </c>
      <c r="D435" s="40">
        <v>13.22</v>
      </c>
      <c r="E435" s="40">
        <v>13.22</v>
      </c>
      <c r="G435" s="36">
        <v>45061</v>
      </c>
      <c r="H435" s="40">
        <v>14.06</v>
      </c>
      <c r="I435" s="40">
        <v>28.952999999999999</v>
      </c>
      <c r="J435" s="44"/>
      <c r="K435" s="40"/>
      <c r="L435" s="45">
        <v>14.06</v>
      </c>
      <c r="M435" s="46">
        <v>28.952999999999999</v>
      </c>
      <c r="N435" s="40">
        <f t="shared" si="36"/>
        <v>-4.2470705772371435E-2</v>
      </c>
      <c r="O435" s="40">
        <f t="shared" si="37"/>
        <v>2.1399591330574178E-2</v>
      </c>
      <c r="P435" s="40">
        <f t="shared" si="38"/>
        <v>2.1630204657727577E-2</v>
      </c>
      <c r="Q435" s="40"/>
      <c r="R435" s="40"/>
      <c r="S435" t="s">
        <v>2628</v>
      </c>
      <c r="T435">
        <v>5.49</v>
      </c>
      <c r="U435" s="40">
        <f t="shared" si="39"/>
        <v>-1.4466798417753376E-2</v>
      </c>
      <c r="V435" s="40">
        <f t="shared" si="40"/>
        <v>5.49</v>
      </c>
      <c r="W435" s="40">
        <f t="shared" si="41"/>
        <v>-1.4466798417753376E-2</v>
      </c>
    </row>
    <row r="436" spans="1:23" x14ac:dyDescent="0.2">
      <c r="A436" s="40" t="s">
        <v>1016</v>
      </c>
      <c r="B436" s="40">
        <v>13.23</v>
      </c>
      <c r="C436" s="40">
        <v>13.23</v>
      </c>
      <c r="D436" s="40">
        <v>13.23</v>
      </c>
      <c r="E436" s="40">
        <v>13.23</v>
      </c>
      <c r="G436" s="36">
        <v>45058</v>
      </c>
      <c r="H436" s="40">
        <v>14.67</v>
      </c>
      <c r="I436" s="40">
        <v>28.34</v>
      </c>
      <c r="J436" s="44"/>
      <c r="K436" s="40"/>
      <c r="L436" s="45">
        <v>14.67</v>
      </c>
      <c r="M436" s="46">
        <v>28.34</v>
      </c>
      <c r="N436" s="40">
        <f t="shared" si="36"/>
        <v>-8.6158934690972508E-2</v>
      </c>
      <c r="O436" s="40">
        <f t="shared" si="37"/>
        <v>-8.3629567842439592E-3</v>
      </c>
      <c r="P436" s="40">
        <f t="shared" si="38"/>
        <v>-8.328084540555657E-3</v>
      </c>
      <c r="Q436" s="40"/>
      <c r="R436" s="40"/>
      <c r="S436" s="47">
        <v>45265</v>
      </c>
      <c r="T436">
        <v>5.57</v>
      </c>
      <c r="U436" s="40">
        <f t="shared" si="39"/>
        <v>-3.5842332278150498E-3</v>
      </c>
      <c r="V436" s="40">
        <f t="shared" si="40"/>
        <v>5.57</v>
      </c>
      <c r="W436" s="40">
        <f t="shared" si="41"/>
        <v>-3.5842332278150498E-3</v>
      </c>
    </row>
    <row r="437" spans="1:23" x14ac:dyDescent="0.2">
      <c r="A437" s="40" t="s">
        <v>1017</v>
      </c>
      <c r="B437" s="40">
        <v>14.8</v>
      </c>
      <c r="C437" s="40">
        <v>14.8</v>
      </c>
      <c r="D437" s="40">
        <v>14.8</v>
      </c>
      <c r="E437" s="40">
        <v>14.8</v>
      </c>
      <c r="G437" s="36">
        <v>45057</v>
      </c>
      <c r="H437" s="40">
        <v>15.99</v>
      </c>
      <c r="I437" s="40">
        <v>28.577999999999999</v>
      </c>
      <c r="J437" s="44"/>
      <c r="K437" s="40"/>
      <c r="L437" s="45">
        <v>15.99</v>
      </c>
      <c r="M437" s="46">
        <v>28.577999999999999</v>
      </c>
      <c r="N437" s="40">
        <f t="shared" si="36"/>
        <v>8.8206018312697324E-2</v>
      </c>
      <c r="O437" s="40">
        <f t="shared" si="37"/>
        <v>-1.068523818645056E-2</v>
      </c>
      <c r="P437" s="40">
        <f t="shared" si="38"/>
        <v>-1.0628353816860036E-2</v>
      </c>
      <c r="Q437" s="40"/>
      <c r="R437" s="40"/>
      <c r="S437" s="47">
        <v>45235</v>
      </c>
      <c r="T437">
        <v>5.59</v>
      </c>
      <c r="U437" s="40">
        <f t="shared" si="39"/>
        <v>3.6433902246101983E-2</v>
      </c>
      <c r="V437" s="40">
        <f t="shared" si="40"/>
        <v>5.59</v>
      </c>
      <c r="W437" s="40">
        <f t="shared" si="41"/>
        <v>3.6433902246101983E-2</v>
      </c>
    </row>
    <row r="438" spans="1:23" x14ac:dyDescent="0.2">
      <c r="A438" s="40" t="s">
        <v>1018</v>
      </c>
      <c r="B438" s="40">
        <v>16.440000000000001</v>
      </c>
      <c r="C438" s="40">
        <v>16.440000000000001</v>
      </c>
      <c r="D438" s="40">
        <v>16.440000000000001</v>
      </c>
      <c r="E438" s="40">
        <v>16.440000000000001</v>
      </c>
      <c r="G438" s="36">
        <v>45056</v>
      </c>
      <c r="H438" s="40">
        <v>14.64</v>
      </c>
      <c r="I438" s="40">
        <v>28.885000000000002</v>
      </c>
      <c r="J438" s="44"/>
      <c r="K438" s="40"/>
      <c r="L438" s="45">
        <v>14.64</v>
      </c>
      <c r="M438" s="46">
        <v>28.885000000000002</v>
      </c>
      <c r="N438" s="40">
        <f t="shared" si="36"/>
        <v>3.8292182622576602E-2</v>
      </c>
      <c r="O438" s="40">
        <f t="shared" si="37"/>
        <v>1.0930211853006661E-2</v>
      </c>
      <c r="P438" s="40">
        <f t="shared" si="38"/>
        <v>1.0990164852472789E-2</v>
      </c>
      <c r="Q438" s="40"/>
      <c r="R438" s="40"/>
      <c r="S438" s="47">
        <v>45204</v>
      </c>
      <c r="T438">
        <v>5.39</v>
      </c>
      <c r="U438" s="40">
        <f t="shared" si="39"/>
        <v>-1.8535686493230551E-3</v>
      </c>
      <c r="V438" s="40">
        <f t="shared" si="40"/>
        <v>5.39</v>
      </c>
      <c r="W438" s="40">
        <f t="shared" si="41"/>
        <v>-1.8535686493230551E-3</v>
      </c>
    </row>
    <row r="439" spans="1:23" x14ac:dyDescent="0.2">
      <c r="A439" s="40" t="s">
        <v>1019</v>
      </c>
      <c r="B439" s="40">
        <v>14.05</v>
      </c>
      <c r="C439" s="40">
        <v>14.05</v>
      </c>
      <c r="D439" s="40">
        <v>14.05</v>
      </c>
      <c r="E439" s="40">
        <v>14.05</v>
      </c>
      <c r="G439" s="36">
        <v>45055</v>
      </c>
      <c r="H439" s="40">
        <v>14.09</v>
      </c>
      <c r="I439" s="40">
        <v>28.571000000000002</v>
      </c>
      <c r="J439" s="44"/>
      <c r="K439" s="40"/>
      <c r="L439" s="45">
        <v>14.09</v>
      </c>
      <c r="M439" s="46">
        <v>28.571000000000002</v>
      </c>
      <c r="N439" s="40">
        <f t="shared" si="36"/>
        <v>-2.799343042200219E-2</v>
      </c>
      <c r="O439" s="40">
        <f t="shared" si="37"/>
        <v>-2.0097000145189375E-2</v>
      </c>
      <c r="P439" s="40">
        <f t="shared" si="38"/>
        <v>-1.9896401495660469E-2</v>
      </c>
      <c r="Q439" s="40"/>
      <c r="R439" s="40"/>
      <c r="S439" s="47">
        <v>45174</v>
      </c>
      <c r="T439">
        <v>5.4</v>
      </c>
      <c r="U439" s="40">
        <f t="shared" si="39"/>
        <v>1.3047715392475675E-2</v>
      </c>
      <c r="V439" s="40">
        <f t="shared" si="40"/>
        <v>5.4</v>
      </c>
      <c r="W439" s="40">
        <f t="shared" si="41"/>
        <v>1.3047715392475675E-2</v>
      </c>
    </row>
    <row r="440" spans="1:23" x14ac:dyDescent="0.2">
      <c r="A440" s="40" t="s">
        <v>1020</v>
      </c>
      <c r="B440" s="40">
        <v>15.24</v>
      </c>
      <c r="C440" s="40">
        <v>15.24</v>
      </c>
      <c r="D440" s="40">
        <v>15.24</v>
      </c>
      <c r="E440" s="40">
        <v>15.24</v>
      </c>
      <c r="G440" s="36">
        <v>45054</v>
      </c>
      <c r="H440" s="40">
        <v>14.49</v>
      </c>
      <c r="I440" s="40">
        <v>29.151</v>
      </c>
      <c r="J440" s="44"/>
      <c r="K440" s="40"/>
      <c r="L440" s="45">
        <v>14.49</v>
      </c>
      <c r="M440" s="46">
        <v>29.151</v>
      </c>
      <c r="N440" s="40">
        <f t="shared" si="36"/>
        <v>-6.8776062021032756E-3</v>
      </c>
      <c r="O440" s="40">
        <f t="shared" si="37"/>
        <v>1.6289201793991934E-2</v>
      </c>
      <c r="P440" s="40">
        <f t="shared" si="38"/>
        <v>1.6422594142259418E-2</v>
      </c>
      <c r="Q440" s="40"/>
      <c r="R440" s="40"/>
      <c r="S440" s="47">
        <v>45143</v>
      </c>
      <c r="T440">
        <v>5.33</v>
      </c>
      <c r="U440" s="40">
        <f t="shared" si="39"/>
        <v>-9.3371359959398496E-3</v>
      </c>
      <c r="V440" s="40">
        <f t="shared" si="40"/>
        <v>5.33</v>
      </c>
      <c r="W440" s="40">
        <f t="shared" si="41"/>
        <v>-9.3371359959398496E-3</v>
      </c>
    </row>
    <row r="441" spans="1:23" x14ac:dyDescent="0.2">
      <c r="A441" s="41">
        <v>40918</v>
      </c>
      <c r="B441" s="40">
        <v>15.63</v>
      </c>
      <c r="C441" s="40">
        <v>15.63</v>
      </c>
      <c r="D441" s="40">
        <v>15.63</v>
      </c>
      <c r="E441" s="40">
        <v>15.63</v>
      </c>
      <c r="G441" s="36">
        <v>45051</v>
      </c>
      <c r="H441" s="40">
        <v>14.59</v>
      </c>
      <c r="I441" s="40">
        <v>28.68</v>
      </c>
      <c r="J441" s="44"/>
      <c r="K441" s="40"/>
      <c r="L441" s="45">
        <v>14.59</v>
      </c>
      <c r="M441" s="46">
        <v>28.68</v>
      </c>
      <c r="N441" s="40">
        <f t="shared" si="36"/>
        <v>-0.11694497229545844</v>
      </c>
      <c r="O441" s="40">
        <f t="shared" si="37"/>
        <v>3.9762003278466365E-2</v>
      </c>
      <c r="P441" s="40">
        <f t="shared" si="38"/>
        <v>4.0563094115085935E-2</v>
      </c>
      <c r="Q441" s="40"/>
      <c r="R441" s="40"/>
      <c r="S441" s="47">
        <v>45051</v>
      </c>
      <c r="T441">
        <v>5.38</v>
      </c>
      <c r="U441" s="40">
        <f t="shared" si="39"/>
        <v>-2.9306126585499474E-2</v>
      </c>
      <c r="V441" s="40">
        <f t="shared" si="40"/>
        <v>5.38</v>
      </c>
      <c r="W441" s="40">
        <f t="shared" si="41"/>
        <v>-2.9306126585499474E-2</v>
      </c>
    </row>
    <row r="442" spans="1:23" x14ac:dyDescent="0.2">
      <c r="A442" s="41">
        <v>40949</v>
      </c>
      <c r="B442" s="40">
        <v>14.56</v>
      </c>
      <c r="C442" s="40">
        <v>14.56</v>
      </c>
      <c r="D442" s="40">
        <v>14.56</v>
      </c>
      <c r="E442" s="40">
        <v>14.56</v>
      </c>
      <c r="G442" s="36">
        <v>45050</v>
      </c>
      <c r="H442" s="40">
        <v>16.399999999999999</v>
      </c>
      <c r="I442" s="40">
        <v>27.562000000000001</v>
      </c>
      <c r="J442" s="44"/>
      <c r="K442" s="40"/>
      <c r="L442" s="45">
        <v>16.399999999999999</v>
      </c>
      <c r="M442" s="46">
        <v>27.562000000000001</v>
      </c>
      <c r="N442" s="40">
        <f t="shared" si="36"/>
        <v>7.3357784571652332E-2</v>
      </c>
      <c r="O442" s="40">
        <f t="shared" si="37"/>
        <v>-8.6699481019477231E-3</v>
      </c>
      <c r="P442" s="40">
        <f t="shared" si="38"/>
        <v>-8.6324724839939009E-3</v>
      </c>
      <c r="Q442" s="40"/>
      <c r="R442" s="40"/>
      <c r="S442" s="47">
        <v>45021</v>
      </c>
      <c r="T442">
        <v>5.54</v>
      </c>
      <c r="U442" s="40">
        <f t="shared" si="39"/>
        <v>0.22134012431505898</v>
      </c>
      <c r="V442" s="40">
        <f t="shared" si="40"/>
        <v>5.54</v>
      </c>
      <c r="W442" s="40">
        <f t="shared" si="41"/>
        <v>0.22134012431505898</v>
      </c>
    </row>
    <row r="443" spans="1:23" x14ac:dyDescent="0.2">
      <c r="A443" s="41">
        <v>40978</v>
      </c>
      <c r="B443" s="40">
        <v>14.11</v>
      </c>
      <c r="C443" s="40">
        <v>14.11</v>
      </c>
      <c r="D443" s="40">
        <v>14.11</v>
      </c>
      <c r="E443" s="40">
        <v>14.11</v>
      </c>
      <c r="G443" s="36">
        <v>45049</v>
      </c>
      <c r="H443" s="40">
        <v>15.24</v>
      </c>
      <c r="I443" s="40">
        <v>27.802</v>
      </c>
      <c r="J443" s="44"/>
      <c r="K443" s="40"/>
      <c r="L443" s="45">
        <v>15.24</v>
      </c>
      <c r="M443" s="46">
        <v>27.802</v>
      </c>
      <c r="N443" s="40">
        <f t="shared" si="36"/>
        <v>-6.5402456806098784E-3</v>
      </c>
      <c r="O443" s="40">
        <f t="shared" si="37"/>
        <v>-1.456856445900407E-2</v>
      </c>
      <c r="P443" s="40">
        <f t="shared" si="38"/>
        <v>-1.4462956398440313E-2</v>
      </c>
      <c r="Q443" s="40"/>
      <c r="R443" s="40"/>
      <c r="S443" s="47">
        <v>44990</v>
      </c>
      <c r="T443">
        <v>4.4400000000000004</v>
      </c>
      <c r="U443" s="40">
        <f t="shared" si="39"/>
        <v>2.5086834429734882E-2</v>
      </c>
      <c r="V443" s="40">
        <f t="shared" si="40"/>
        <v>4.4400000000000004</v>
      </c>
      <c r="W443" s="40">
        <f t="shared" si="41"/>
        <v>2.5086834429734882E-2</v>
      </c>
    </row>
    <row r="444" spans="1:23" x14ac:dyDescent="0.2">
      <c r="A444" s="41">
        <v>41009</v>
      </c>
      <c r="B444" s="40">
        <v>13.43</v>
      </c>
      <c r="C444" s="40">
        <v>13.43</v>
      </c>
      <c r="D444" s="40">
        <v>13.43</v>
      </c>
      <c r="E444" s="40">
        <v>13.43</v>
      </c>
      <c r="G444" s="36">
        <v>45048</v>
      </c>
      <c r="H444" s="40">
        <v>15.34</v>
      </c>
      <c r="I444" s="40">
        <v>28.21</v>
      </c>
      <c r="J444" s="44"/>
      <c r="K444" s="40"/>
      <c r="L444" s="45">
        <v>15.34</v>
      </c>
      <c r="M444" s="46">
        <v>28.21</v>
      </c>
      <c r="N444" s="40">
        <f t="shared" si="36"/>
        <v>-0.25925040528931786</v>
      </c>
      <c r="O444" s="40">
        <f t="shared" si="37"/>
        <v>-2.4511031014349805E-2</v>
      </c>
      <c r="P444" s="40">
        <f t="shared" si="38"/>
        <v>-2.4213075060532663E-2</v>
      </c>
      <c r="Q444" s="40"/>
      <c r="R444" s="40"/>
      <c r="S444" s="47">
        <v>44962</v>
      </c>
      <c r="T444">
        <v>4.33</v>
      </c>
      <c r="U444" s="40">
        <f t="shared" si="39"/>
        <v>2.3121397583793788E-3</v>
      </c>
      <c r="V444" s="40">
        <f t="shared" si="40"/>
        <v>4.33</v>
      </c>
      <c r="W444" s="40">
        <f t="shared" si="41"/>
        <v>2.3121397583793788E-3</v>
      </c>
    </row>
    <row r="445" spans="1:23" x14ac:dyDescent="0.2">
      <c r="A445" s="41">
        <v>41039</v>
      </c>
      <c r="B445" s="40">
        <v>12.23</v>
      </c>
      <c r="C445" s="40">
        <v>12.23</v>
      </c>
      <c r="D445" s="40">
        <v>12.23</v>
      </c>
      <c r="E445" s="40">
        <v>12.23</v>
      </c>
      <c r="G445" s="36">
        <v>45047</v>
      </c>
      <c r="H445" s="40">
        <v>19.88</v>
      </c>
      <c r="I445" s="40">
        <v>28.91</v>
      </c>
      <c r="J445" s="44"/>
      <c r="K445" s="40"/>
      <c r="L445" s="45">
        <v>19.88</v>
      </c>
      <c r="M445" s="46">
        <v>28.91</v>
      </c>
      <c r="N445" s="40">
        <f t="shared" si="36"/>
        <v>7.2484155829394603E-2</v>
      </c>
      <c r="O445" s="40">
        <f t="shared" si="37"/>
        <v>4.0987752521160825E-2</v>
      </c>
      <c r="P445" s="40">
        <f t="shared" si="38"/>
        <v>4.1839345562002285E-2</v>
      </c>
      <c r="Q445" s="40"/>
      <c r="R445" s="40"/>
      <c r="S445" s="47">
        <v>44931</v>
      </c>
      <c r="T445">
        <v>4.32</v>
      </c>
      <c r="U445" s="40">
        <f t="shared" si="39"/>
        <v>2.1053409197832263E-2</v>
      </c>
      <c r="V445" s="40">
        <f t="shared" si="40"/>
        <v>4.32</v>
      </c>
      <c r="W445" s="40">
        <f t="shared" si="41"/>
        <v>2.1053409197832263E-2</v>
      </c>
    </row>
    <row r="446" spans="1:23" x14ac:dyDescent="0.2">
      <c r="A446" s="41">
        <v>41131</v>
      </c>
      <c r="B446" s="40">
        <v>14.17</v>
      </c>
      <c r="C446" s="40">
        <v>14.17</v>
      </c>
      <c r="D446" s="40">
        <v>14.17</v>
      </c>
      <c r="E446" s="40">
        <v>14.17</v>
      </c>
      <c r="G446" s="36">
        <v>45044</v>
      </c>
      <c r="H446" s="40">
        <v>18.489999999999998</v>
      </c>
      <c r="I446" s="40">
        <v>27.748999999999999</v>
      </c>
      <c r="J446" s="44"/>
      <c r="K446" s="40"/>
      <c r="L446" s="45">
        <v>18.489999999999998</v>
      </c>
      <c r="M446" s="46">
        <v>27.748999999999999</v>
      </c>
      <c r="N446" s="40">
        <f t="shared" si="36"/>
        <v>-6.4690252551259471E-3</v>
      </c>
      <c r="O446" s="40">
        <f t="shared" si="37"/>
        <v>1.9027404416812683E-2</v>
      </c>
      <c r="P446" s="40">
        <f t="shared" si="38"/>
        <v>1.9209579078821704E-2</v>
      </c>
      <c r="Q446" s="40"/>
      <c r="R446" s="40"/>
      <c r="S446" t="s">
        <v>2627</v>
      </c>
      <c r="T446">
        <v>4.2300000000000004</v>
      </c>
      <c r="U446" s="40">
        <f t="shared" si="39"/>
        <v>1.6686918785014736E-2</v>
      </c>
      <c r="V446" s="40">
        <f t="shared" si="40"/>
        <v>4.2300000000000004</v>
      </c>
      <c r="W446" s="40">
        <f t="shared" si="41"/>
        <v>1.6686918785014736E-2</v>
      </c>
    </row>
    <row r="447" spans="1:23" x14ac:dyDescent="0.2">
      <c r="A447" s="41">
        <v>41162</v>
      </c>
      <c r="B447" s="40">
        <v>15.98</v>
      </c>
      <c r="C447" s="40">
        <v>15.98</v>
      </c>
      <c r="D447" s="40">
        <v>15.98</v>
      </c>
      <c r="E447" s="40">
        <v>15.98</v>
      </c>
      <c r="G447" s="36">
        <v>45043</v>
      </c>
      <c r="H447" s="40">
        <v>18.61</v>
      </c>
      <c r="I447" s="40">
        <v>27.225999999999999</v>
      </c>
      <c r="J447" s="44"/>
      <c r="K447" s="40"/>
      <c r="L447" s="45">
        <v>18.61</v>
      </c>
      <c r="M447" s="46">
        <v>27.225999999999999</v>
      </c>
      <c r="N447" s="40">
        <f t="shared" si="36"/>
        <v>0.14674489090473813</v>
      </c>
      <c r="O447" s="40">
        <f t="shared" si="37"/>
        <v>9.9664920063107683E-3</v>
      </c>
      <c r="P447" s="40">
        <f t="shared" si="38"/>
        <v>1.0016322896572175E-2</v>
      </c>
      <c r="Q447" s="40"/>
      <c r="R447" s="40"/>
      <c r="S447" t="s">
        <v>2626</v>
      </c>
      <c r="T447">
        <v>4.16</v>
      </c>
      <c r="U447" s="40">
        <f t="shared" si="39"/>
        <v>0.13628242599641252</v>
      </c>
      <c r="V447" s="40">
        <f t="shared" si="40"/>
        <v>4.16</v>
      </c>
      <c r="W447" s="40">
        <f t="shared" si="41"/>
        <v>0.13628242599641252</v>
      </c>
    </row>
    <row r="448" spans="1:23" x14ac:dyDescent="0.2">
      <c r="A448" s="41">
        <v>41192</v>
      </c>
      <c r="B448" s="40">
        <v>15.93</v>
      </c>
      <c r="C448" s="40">
        <v>15.93</v>
      </c>
      <c r="D448" s="40">
        <v>15.93</v>
      </c>
      <c r="E448" s="40">
        <v>15.93</v>
      </c>
      <c r="G448" s="36">
        <v>45042</v>
      </c>
      <c r="H448" s="40">
        <v>16.07</v>
      </c>
      <c r="I448" s="40">
        <v>26.956</v>
      </c>
      <c r="J448" s="44"/>
      <c r="K448" s="40"/>
      <c r="L448" s="45">
        <v>16.07</v>
      </c>
      <c r="M448" s="46">
        <v>26.956</v>
      </c>
      <c r="N448" s="40">
        <f t="shared" si="36"/>
        <v>3.418054258882567E-2</v>
      </c>
      <c r="O448" s="40">
        <f t="shared" si="37"/>
        <v>2.6882833978142943E-2</v>
      </c>
      <c r="P448" s="40">
        <f t="shared" si="38"/>
        <v>2.7247437216569484E-2</v>
      </c>
      <c r="Q448" s="40"/>
      <c r="R448" s="40"/>
      <c r="S448" t="s">
        <v>2625</v>
      </c>
      <c r="T448">
        <v>3.63</v>
      </c>
      <c r="U448" s="40">
        <f t="shared" si="39"/>
        <v>-7.6859005525611812E-2</v>
      </c>
      <c r="V448" s="40">
        <f t="shared" si="40"/>
        <v>3.63</v>
      </c>
      <c r="W448" s="40">
        <f t="shared" si="41"/>
        <v>-7.6859005525611812E-2</v>
      </c>
    </row>
    <row r="449" spans="1:23" x14ac:dyDescent="0.2">
      <c r="A449" s="41">
        <v>41223</v>
      </c>
      <c r="B449" s="40">
        <v>14.47</v>
      </c>
      <c r="C449" s="40">
        <v>14.47</v>
      </c>
      <c r="D449" s="40">
        <v>14.47</v>
      </c>
      <c r="E449" s="40">
        <v>14.47</v>
      </c>
      <c r="G449" s="36">
        <v>45041</v>
      </c>
      <c r="H449" s="40">
        <v>15.53</v>
      </c>
      <c r="I449" s="40">
        <v>26.241</v>
      </c>
      <c r="J449" s="44"/>
      <c r="K449" s="40"/>
      <c r="L449" s="45">
        <v>15.53</v>
      </c>
      <c r="M449" s="46">
        <v>26.241</v>
      </c>
      <c r="N449" s="40">
        <f t="shared" si="36"/>
        <v>-0.10329786183898901</v>
      </c>
      <c r="O449" s="40">
        <f t="shared" si="37"/>
        <v>-3.0068139830738708E-2</v>
      </c>
      <c r="P449" s="40">
        <f t="shared" si="38"/>
        <v>-2.962059019303313E-2</v>
      </c>
      <c r="Q449" s="40"/>
      <c r="R449" s="40"/>
      <c r="S449" t="s">
        <v>2624</v>
      </c>
      <c r="T449">
        <v>3.92</v>
      </c>
      <c r="U449" s="40">
        <f t="shared" si="39"/>
        <v>0.14231622218025539</v>
      </c>
      <c r="V449" s="40">
        <f t="shared" si="40"/>
        <v>3.92</v>
      </c>
      <c r="W449" s="40">
        <f t="shared" si="41"/>
        <v>0.14231622218025539</v>
      </c>
    </row>
    <row r="450" spans="1:23" x14ac:dyDescent="0.2">
      <c r="A450" s="41">
        <v>41253</v>
      </c>
      <c r="B450" s="40">
        <v>15.49</v>
      </c>
      <c r="C450" s="40">
        <v>15.49</v>
      </c>
      <c r="D450" s="40">
        <v>15.49</v>
      </c>
      <c r="E450" s="40">
        <v>15.49</v>
      </c>
      <c r="G450" s="36">
        <v>45040</v>
      </c>
      <c r="H450" s="40">
        <v>17.22</v>
      </c>
      <c r="I450" s="40">
        <v>27.042000000000002</v>
      </c>
      <c r="J450" s="44"/>
      <c r="K450" s="40"/>
      <c r="L450" s="45">
        <v>17.22</v>
      </c>
      <c r="M450" s="46">
        <v>27.042000000000002</v>
      </c>
      <c r="N450" s="40">
        <f t="shared" si="36"/>
        <v>-0.11299679018281489</v>
      </c>
      <c r="O450" s="40">
        <f t="shared" si="37"/>
        <v>-2.8433762994547872E-3</v>
      </c>
      <c r="P450" s="40">
        <f t="shared" si="38"/>
        <v>-2.8393377336921781E-3</v>
      </c>
      <c r="Q450" s="40"/>
      <c r="R450" s="40"/>
      <c r="S450" t="s">
        <v>2623</v>
      </c>
      <c r="T450">
        <v>3.4</v>
      </c>
      <c r="U450" s="40">
        <f t="shared" si="39"/>
        <v>3.288786684483521E-2</v>
      </c>
      <c r="V450" s="40">
        <f t="shared" si="40"/>
        <v>3.4</v>
      </c>
      <c r="W450" s="40">
        <f t="shared" si="41"/>
        <v>3.288786684483521E-2</v>
      </c>
    </row>
    <row r="451" spans="1:23" x14ac:dyDescent="0.2">
      <c r="A451" s="40" t="s">
        <v>1021</v>
      </c>
      <c r="B451" s="40">
        <v>14.32</v>
      </c>
      <c r="C451" s="40">
        <v>14.32</v>
      </c>
      <c r="D451" s="40">
        <v>14.32</v>
      </c>
      <c r="E451" s="40">
        <v>14.32</v>
      </c>
      <c r="G451" s="36">
        <v>45037</v>
      </c>
      <c r="H451" s="40">
        <v>19.28</v>
      </c>
      <c r="I451" s="40">
        <v>27.119</v>
      </c>
      <c r="J451" s="44"/>
      <c r="K451" s="40"/>
      <c r="L451" s="45">
        <v>19.28</v>
      </c>
      <c r="M451" s="46">
        <v>27.119</v>
      </c>
      <c r="N451" s="40">
        <f t="shared" ref="N451:N514" si="42">LN(L451/L452)</f>
        <v>1.042762316225916E-2</v>
      </c>
      <c r="O451" s="40">
        <f t="shared" ref="O451:O514" si="43">LN(M451/M452)</f>
        <v>5.532707663772785E-4</v>
      </c>
      <c r="P451" s="40">
        <f t="shared" ref="P451:P514" si="44">(M451-M452)/M452</f>
        <v>5.534238488784153E-4</v>
      </c>
      <c r="Q451" s="40"/>
      <c r="R451" s="40"/>
      <c r="S451" t="s">
        <v>2622</v>
      </c>
      <c r="T451">
        <v>3.29</v>
      </c>
      <c r="U451" s="40">
        <f t="shared" ref="U451:U514" si="45">LN(T451/T452)</f>
        <v>-9.0772181511165392E-3</v>
      </c>
      <c r="V451" s="40">
        <f t="shared" ref="V451:V514" si="46">IF(T451=0, 0.001,T451)</f>
        <v>3.29</v>
      </c>
      <c r="W451" s="40">
        <f t="shared" ref="W451:W514" si="47">LN(V451/V452)</f>
        <v>-9.0772181511165392E-3</v>
      </c>
    </row>
    <row r="452" spans="1:23" x14ac:dyDescent="0.2">
      <c r="A452" s="40" t="s">
        <v>1022</v>
      </c>
      <c r="B452" s="40">
        <v>13.57</v>
      </c>
      <c r="C452" s="40">
        <v>13.57</v>
      </c>
      <c r="D452" s="40">
        <v>13.57</v>
      </c>
      <c r="E452" s="40">
        <v>13.57</v>
      </c>
      <c r="G452" s="36">
        <v>45036</v>
      </c>
      <c r="H452" s="40">
        <v>19.079999999999998</v>
      </c>
      <c r="I452" s="40">
        <v>27.103999999999999</v>
      </c>
      <c r="J452" s="44"/>
      <c r="K452" s="40"/>
      <c r="L452" s="45">
        <v>19.079999999999998</v>
      </c>
      <c r="M452" s="46">
        <v>27.103999999999999</v>
      </c>
      <c r="N452" s="40">
        <f t="shared" si="42"/>
        <v>0.13623044959368769</v>
      </c>
      <c r="O452" s="40">
        <f t="shared" si="43"/>
        <v>-3.0055864641703237E-2</v>
      </c>
      <c r="P452" s="40">
        <f t="shared" si="44"/>
        <v>-2.9608678529232813E-2</v>
      </c>
      <c r="Q452" s="40"/>
      <c r="R452" s="40"/>
      <c r="S452" t="s">
        <v>2621</v>
      </c>
      <c r="T452">
        <v>3.32</v>
      </c>
      <c r="U452" s="40">
        <f t="shared" si="45"/>
        <v>-0.1029479692524425</v>
      </c>
      <c r="V452" s="40">
        <f t="shared" si="46"/>
        <v>3.32</v>
      </c>
      <c r="W452" s="40">
        <f t="shared" si="47"/>
        <v>-0.1029479692524425</v>
      </c>
    </row>
    <row r="453" spans="1:23" x14ac:dyDescent="0.2">
      <c r="A453" s="40" t="s">
        <v>1023</v>
      </c>
      <c r="B453" s="40">
        <v>13.22</v>
      </c>
      <c r="C453" s="40">
        <v>13.22</v>
      </c>
      <c r="D453" s="40">
        <v>13.22</v>
      </c>
      <c r="E453" s="40">
        <v>13.22</v>
      </c>
      <c r="G453" s="36">
        <v>45035</v>
      </c>
      <c r="H453" s="40">
        <v>16.649999999999999</v>
      </c>
      <c r="I453" s="40">
        <v>27.931000000000001</v>
      </c>
      <c r="J453" s="44"/>
      <c r="K453" s="40"/>
      <c r="L453" s="45">
        <v>16.649999999999999</v>
      </c>
      <c r="M453" s="46">
        <v>27.931000000000001</v>
      </c>
      <c r="N453" s="40">
        <f t="shared" si="42"/>
        <v>0.11239218702150698</v>
      </c>
      <c r="O453" s="40">
        <f t="shared" si="43"/>
        <v>9.4968158626666504E-3</v>
      </c>
      <c r="P453" s="40">
        <f t="shared" si="44"/>
        <v>9.5420537101962386E-3</v>
      </c>
      <c r="Q453" s="40"/>
      <c r="R453" s="40"/>
      <c r="S453" t="s">
        <v>2620</v>
      </c>
      <c r="T453">
        <v>3.68</v>
      </c>
      <c r="U453" s="40">
        <f t="shared" si="45"/>
        <v>-2.7137058715961618E-3</v>
      </c>
      <c r="V453" s="40">
        <f t="shared" si="46"/>
        <v>3.68</v>
      </c>
      <c r="W453" s="40">
        <f t="shared" si="47"/>
        <v>-2.7137058715961618E-3</v>
      </c>
    </row>
    <row r="454" spans="1:23" x14ac:dyDescent="0.2">
      <c r="A454" s="40" t="s">
        <v>1024</v>
      </c>
      <c r="B454" s="40">
        <v>13.65</v>
      </c>
      <c r="C454" s="40">
        <v>13.65</v>
      </c>
      <c r="D454" s="40">
        <v>13.65</v>
      </c>
      <c r="E454" s="40">
        <v>13.65</v>
      </c>
      <c r="G454" s="36">
        <v>45034</v>
      </c>
      <c r="H454" s="40">
        <v>14.88</v>
      </c>
      <c r="I454" s="40">
        <v>27.667000000000002</v>
      </c>
      <c r="J454" s="44"/>
      <c r="K454" s="40"/>
      <c r="L454" s="45">
        <v>14.88</v>
      </c>
      <c r="M454" s="46">
        <v>27.667000000000002</v>
      </c>
      <c r="N454" s="40">
        <f t="shared" si="42"/>
        <v>-1.6661498395318743E-2</v>
      </c>
      <c r="O454" s="40">
        <f t="shared" si="43"/>
        <v>2.4329429913626223E-2</v>
      </c>
      <c r="P454" s="40">
        <f t="shared" si="44"/>
        <v>2.4627805347752118E-2</v>
      </c>
      <c r="Q454" s="40"/>
      <c r="R454" s="40"/>
      <c r="S454" t="s">
        <v>2619</v>
      </c>
      <c r="T454">
        <v>3.69</v>
      </c>
      <c r="U454" s="40">
        <f t="shared" si="45"/>
        <v>-6.8089120860594696E-2</v>
      </c>
      <c r="V454" s="40">
        <f t="shared" si="46"/>
        <v>3.69</v>
      </c>
      <c r="W454" s="40">
        <f t="shared" si="47"/>
        <v>-6.8089120860594696E-2</v>
      </c>
    </row>
    <row r="455" spans="1:23" x14ac:dyDescent="0.2">
      <c r="A455" s="40" t="s">
        <v>1025</v>
      </c>
      <c r="B455" s="40">
        <v>17.64</v>
      </c>
      <c r="C455" s="40">
        <v>17.64</v>
      </c>
      <c r="D455" s="40">
        <v>17.64</v>
      </c>
      <c r="E455" s="40">
        <v>17.64</v>
      </c>
      <c r="G455" s="36">
        <v>45033</v>
      </c>
      <c r="H455" s="40">
        <v>15.13</v>
      </c>
      <c r="I455" s="40">
        <v>27.001999999999999</v>
      </c>
      <c r="J455" s="44"/>
      <c r="K455" s="40"/>
      <c r="L455" s="45">
        <v>15.13</v>
      </c>
      <c r="M455" s="46">
        <v>27.001999999999999</v>
      </c>
      <c r="N455" s="40">
        <f t="shared" si="42"/>
        <v>5.6419990534402914E-2</v>
      </c>
      <c r="O455" s="40">
        <f t="shared" si="43"/>
        <v>9.0774432836268869E-3</v>
      </c>
      <c r="P455" s="40">
        <f t="shared" si="44"/>
        <v>9.1187682188504284E-3</v>
      </c>
      <c r="Q455" s="40"/>
      <c r="R455" s="40"/>
      <c r="S455" t="s">
        <v>2618</v>
      </c>
      <c r="T455">
        <v>3.95</v>
      </c>
      <c r="U455" s="40">
        <f t="shared" si="45"/>
        <v>-5.6595667623634334E-2</v>
      </c>
      <c r="V455" s="40">
        <f t="shared" si="46"/>
        <v>3.95</v>
      </c>
      <c r="W455" s="40">
        <f t="shared" si="47"/>
        <v>-5.6595667623634334E-2</v>
      </c>
    </row>
    <row r="456" spans="1:23" x14ac:dyDescent="0.2">
      <c r="A456" s="40" t="s">
        <v>1026</v>
      </c>
      <c r="B456" s="40">
        <v>16.78</v>
      </c>
      <c r="C456" s="40">
        <v>16.78</v>
      </c>
      <c r="D456" s="40">
        <v>16.78</v>
      </c>
      <c r="E456" s="40">
        <v>16.78</v>
      </c>
      <c r="G456" s="36">
        <v>45030</v>
      </c>
      <c r="H456" s="40">
        <v>14.3</v>
      </c>
      <c r="I456" s="40">
        <v>26.757999999999999</v>
      </c>
      <c r="J456" s="44"/>
      <c r="K456" s="40"/>
      <c r="L456" s="45">
        <v>14.3</v>
      </c>
      <c r="M456" s="46">
        <v>26.757999999999999</v>
      </c>
      <c r="N456" s="40">
        <f t="shared" si="42"/>
        <v>-2.8267997347484593E-2</v>
      </c>
      <c r="O456" s="40">
        <f t="shared" si="43"/>
        <v>1.1085963106687854E-2</v>
      </c>
      <c r="P456" s="40">
        <f t="shared" si="44"/>
        <v>1.1147640101273407E-2</v>
      </c>
      <c r="Q456" s="40"/>
      <c r="R456" s="40"/>
      <c r="S456" t="s">
        <v>2617</v>
      </c>
      <c r="T456">
        <v>4.18</v>
      </c>
      <c r="U456" s="40">
        <f t="shared" si="45"/>
        <v>4.9029427240318606E-2</v>
      </c>
      <c r="V456" s="40">
        <f t="shared" si="46"/>
        <v>4.18</v>
      </c>
      <c r="W456" s="40">
        <f t="shared" si="47"/>
        <v>4.9029427240318606E-2</v>
      </c>
    </row>
    <row r="457" spans="1:23" x14ac:dyDescent="0.2">
      <c r="A457" s="40" t="s">
        <v>1027</v>
      </c>
      <c r="B457" s="40">
        <v>20.61</v>
      </c>
      <c r="C457" s="40">
        <v>20.61</v>
      </c>
      <c r="D457" s="40">
        <v>20.61</v>
      </c>
      <c r="E457" s="40">
        <v>20.61</v>
      </c>
      <c r="G457" s="36">
        <v>45029</v>
      </c>
      <c r="H457" s="40">
        <v>14.71</v>
      </c>
      <c r="I457" s="40">
        <v>26.463000000000001</v>
      </c>
      <c r="J457" s="44"/>
      <c r="K457" s="40"/>
      <c r="L457" s="45">
        <v>14.71</v>
      </c>
      <c r="M457" s="46">
        <v>26.463000000000001</v>
      </c>
      <c r="N457" s="40">
        <f t="shared" si="42"/>
        <v>1.3689467717249642E-2</v>
      </c>
      <c r="O457" s="40">
        <f t="shared" si="43"/>
        <v>-1.2085049999858662E-3</v>
      </c>
      <c r="P457" s="40">
        <f t="shared" si="44"/>
        <v>-1.2077750518965852E-3</v>
      </c>
      <c r="Q457" s="40"/>
      <c r="R457" s="40"/>
      <c r="S457" t="s">
        <v>2616</v>
      </c>
      <c r="T457">
        <v>3.98</v>
      </c>
      <c r="U457" s="40">
        <f t="shared" si="45"/>
        <v>-1.4962872676712377E-2</v>
      </c>
      <c r="V457" s="40">
        <f t="shared" si="46"/>
        <v>3.98</v>
      </c>
      <c r="W457" s="40">
        <f t="shared" si="47"/>
        <v>-1.4962872676712377E-2</v>
      </c>
    </row>
    <row r="458" spans="1:23" x14ac:dyDescent="0.2">
      <c r="A458" s="40" t="s">
        <v>1028</v>
      </c>
      <c r="B458" s="40">
        <v>18.940000000000001</v>
      </c>
      <c r="C458" s="40">
        <v>18.940000000000001</v>
      </c>
      <c r="D458" s="40">
        <v>18.940000000000001</v>
      </c>
      <c r="E458" s="40">
        <v>18.940000000000001</v>
      </c>
      <c r="G458" s="36">
        <v>45028</v>
      </c>
      <c r="H458" s="40">
        <v>14.51</v>
      </c>
      <c r="I458" s="40">
        <v>26.495000000000001</v>
      </c>
      <c r="J458" s="44"/>
      <c r="K458" s="40"/>
      <c r="L458" s="45">
        <v>14.51</v>
      </c>
      <c r="M458" s="46">
        <v>26.495000000000001</v>
      </c>
      <c r="N458" s="40">
        <f t="shared" si="42"/>
        <v>8.3321682049837892E-2</v>
      </c>
      <c r="O458" s="40">
        <f t="shared" si="43"/>
        <v>-2.5120581516236116E-2</v>
      </c>
      <c r="P458" s="40">
        <f t="shared" si="44"/>
        <v>-2.4807685229489472E-2</v>
      </c>
      <c r="Q458" s="40"/>
      <c r="R458" s="40"/>
      <c r="S458" s="47">
        <v>45264</v>
      </c>
      <c r="T458">
        <v>4.04</v>
      </c>
      <c r="U458" s="40">
        <f t="shared" si="45"/>
        <v>-1.2300278081651676E-2</v>
      </c>
      <c r="V458" s="40">
        <f t="shared" si="46"/>
        <v>4.04</v>
      </c>
      <c r="W458" s="40">
        <f t="shared" si="47"/>
        <v>-1.2300278081651676E-2</v>
      </c>
    </row>
    <row r="459" spans="1:23" x14ac:dyDescent="0.2">
      <c r="A459" s="40" t="s">
        <v>1029</v>
      </c>
      <c r="B459" s="40">
        <v>18.27</v>
      </c>
      <c r="C459" s="40">
        <v>18.27</v>
      </c>
      <c r="D459" s="40">
        <v>18.27</v>
      </c>
      <c r="E459" s="40">
        <v>18.27</v>
      </c>
      <c r="G459" s="36">
        <v>45027</v>
      </c>
      <c r="H459" s="40">
        <v>13.35</v>
      </c>
      <c r="I459" s="40">
        <v>27.169</v>
      </c>
      <c r="J459" s="44"/>
      <c r="K459" s="40"/>
      <c r="L459" s="45">
        <v>13.35</v>
      </c>
      <c r="M459" s="46">
        <v>27.169</v>
      </c>
      <c r="N459" s="40">
        <f t="shared" si="42"/>
        <v>-9.292395061681788E-2</v>
      </c>
      <c r="O459" s="40">
        <f t="shared" si="43"/>
        <v>-1.497799608876579E-2</v>
      </c>
      <c r="P459" s="40">
        <f t="shared" si="44"/>
        <v>-1.486638384277893E-2</v>
      </c>
      <c r="Q459" s="40"/>
      <c r="R459" s="40"/>
      <c r="S459" s="47">
        <v>45234</v>
      </c>
      <c r="T459">
        <v>4.09</v>
      </c>
      <c r="U459" s="40">
        <f t="shared" si="45"/>
        <v>-7.0784257032369527E-2</v>
      </c>
      <c r="V459" s="40">
        <f t="shared" si="46"/>
        <v>4.09</v>
      </c>
      <c r="W459" s="40">
        <f t="shared" si="47"/>
        <v>-7.0784257032369527E-2</v>
      </c>
    </row>
    <row r="460" spans="1:23" x14ac:dyDescent="0.2">
      <c r="A460" s="40" t="s">
        <v>1030</v>
      </c>
      <c r="B460" s="40">
        <v>16.8</v>
      </c>
      <c r="C460" s="40">
        <v>16.8</v>
      </c>
      <c r="D460" s="40">
        <v>16.8</v>
      </c>
      <c r="E460" s="40">
        <v>16.8</v>
      </c>
      <c r="G460" s="36">
        <v>45026</v>
      </c>
      <c r="H460" s="40">
        <v>14.65</v>
      </c>
      <c r="I460" s="40">
        <v>27.579000000000001</v>
      </c>
      <c r="J460" s="44"/>
      <c r="K460" s="40"/>
      <c r="L460" s="45">
        <v>14.65</v>
      </c>
      <c r="M460" s="46">
        <v>27.579000000000001</v>
      </c>
      <c r="N460" s="40">
        <f t="shared" si="42"/>
        <v>-8.1878773763109508E-2</v>
      </c>
      <c r="O460" s="40">
        <f t="shared" si="43"/>
        <v>1.9848315275571536E-2</v>
      </c>
      <c r="P460" s="40">
        <f t="shared" si="44"/>
        <v>2.0046602803565544E-2</v>
      </c>
      <c r="Q460" s="40"/>
      <c r="R460" s="40"/>
      <c r="S460" s="47">
        <v>45203</v>
      </c>
      <c r="T460">
        <v>4.3899999999999997</v>
      </c>
      <c r="U460" s="40">
        <f t="shared" si="45"/>
        <v>-9.0703569699642651E-3</v>
      </c>
      <c r="V460" s="40">
        <f t="shared" si="46"/>
        <v>4.3899999999999997</v>
      </c>
      <c r="W460" s="40">
        <f t="shared" si="47"/>
        <v>-9.0703569699642651E-3</v>
      </c>
    </row>
    <row r="461" spans="1:23" x14ac:dyDescent="0.2">
      <c r="A461" s="40" t="s">
        <v>1031</v>
      </c>
      <c r="B461" s="40">
        <v>19.149999999999999</v>
      </c>
      <c r="C461" s="40">
        <v>19.149999999999999</v>
      </c>
      <c r="D461" s="40">
        <v>19.149999999999999</v>
      </c>
      <c r="E461" s="40">
        <v>19.149999999999999</v>
      </c>
      <c r="G461" s="36">
        <v>45022</v>
      </c>
      <c r="H461" s="40">
        <v>15.9</v>
      </c>
      <c r="I461" s="40">
        <v>27.036999999999999</v>
      </c>
      <c r="J461" s="44"/>
      <c r="K461" s="40"/>
      <c r="L461" s="45">
        <v>15.9</v>
      </c>
      <c r="M461" s="46">
        <v>27.036999999999999</v>
      </c>
      <c r="N461" s="40">
        <f t="shared" si="42"/>
        <v>-5.8624843347523478E-2</v>
      </c>
      <c r="O461" s="40">
        <f t="shared" si="43"/>
        <v>5.7865809302459787E-3</v>
      </c>
      <c r="P461" s="40">
        <f t="shared" si="44"/>
        <v>5.8033555299281574E-3</v>
      </c>
      <c r="Q461" s="40"/>
      <c r="R461" s="40"/>
      <c r="S461" s="47">
        <v>45111</v>
      </c>
      <c r="T461">
        <v>4.43</v>
      </c>
      <c r="U461" s="40">
        <f t="shared" si="45"/>
        <v>-2.2547923870893162E-3</v>
      </c>
      <c r="V461" s="40">
        <f t="shared" si="46"/>
        <v>4.43</v>
      </c>
      <c r="W461" s="40">
        <f t="shared" si="47"/>
        <v>-2.2547923870893162E-3</v>
      </c>
    </row>
    <row r="462" spans="1:23" x14ac:dyDescent="0.2">
      <c r="A462" s="41">
        <v>40919</v>
      </c>
      <c r="B462" s="40">
        <v>17.350000000000001</v>
      </c>
      <c r="C462" s="40">
        <v>17.350000000000001</v>
      </c>
      <c r="D462" s="40">
        <v>17.350000000000001</v>
      </c>
      <c r="E462" s="40">
        <v>17.350000000000001</v>
      </c>
      <c r="G462" s="36">
        <v>45021</v>
      </c>
      <c r="H462" s="40">
        <v>16.86</v>
      </c>
      <c r="I462" s="40">
        <v>26.881</v>
      </c>
      <c r="J462" s="44"/>
      <c r="K462" s="40"/>
      <c r="L462" s="45">
        <v>16.86</v>
      </c>
      <c r="M462" s="46">
        <v>26.881</v>
      </c>
      <c r="N462" s="40">
        <f t="shared" si="42"/>
        <v>3.5650661644961446E-3</v>
      </c>
      <c r="O462" s="40">
        <f t="shared" si="43"/>
        <v>-2.105573425744103E-2</v>
      </c>
      <c r="P462" s="40">
        <f t="shared" si="44"/>
        <v>-2.0835609951553535E-2</v>
      </c>
      <c r="Q462" s="40"/>
      <c r="R462" s="40"/>
      <c r="S462" s="47">
        <v>45081</v>
      </c>
      <c r="T462">
        <v>4.4400000000000004</v>
      </c>
      <c r="U462" s="40">
        <f t="shared" si="45"/>
        <v>-8.9686699827603751E-3</v>
      </c>
      <c r="V462" s="40">
        <f t="shared" si="46"/>
        <v>4.4400000000000004</v>
      </c>
      <c r="W462" s="40">
        <f t="shared" si="47"/>
        <v>-8.9686699827603751E-3</v>
      </c>
    </row>
    <row r="463" spans="1:23" x14ac:dyDescent="0.2">
      <c r="A463" s="41">
        <v>40950</v>
      </c>
      <c r="B463" s="40">
        <v>18.510000000000002</v>
      </c>
      <c r="C463" s="40">
        <v>18.510000000000002</v>
      </c>
      <c r="D463" s="40">
        <v>18.510000000000002</v>
      </c>
      <c r="E463" s="40">
        <v>18.510000000000002</v>
      </c>
      <c r="G463" s="36">
        <v>45020</v>
      </c>
      <c r="H463" s="40">
        <v>16.8</v>
      </c>
      <c r="I463" s="40">
        <v>27.452999999999999</v>
      </c>
      <c r="J463" s="44"/>
      <c r="K463" s="40"/>
      <c r="L463" s="45">
        <v>16.8</v>
      </c>
      <c r="M463" s="46">
        <v>27.452999999999999</v>
      </c>
      <c r="N463" s="40">
        <f t="shared" si="42"/>
        <v>6.8992871486951421E-2</v>
      </c>
      <c r="O463" s="40">
        <f t="shared" si="43"/>
        <v>-1.8478276672200446E-2</v>
      </c>
      <c r="P463" s="40">
        <f t="shared" si="44"/>
        <v>-1.8308600035759001E-2</v>
      </c>
      <c r="Q463" s="40"/>
      <c r="R463" s="40"/>
      <c r="S463" s="47">
        <v>45050</v>
      </c>
      <c r="T463">
        <v>4.4800000000000004</v>
      </c>
      <c r="U463" s="40">
        <f t="shared" si="45"/>
        <v>-8.8889474172458155E-3</v>
      </c>
      <c r="V463" s="40">
        <f t="shared" si="46"/>
        <v>4.4800000000000004</v>
      </c>
      <c r="W463" s="40">
        <f t="shared" si="47"/>
        <v>-8.8889474172458155E-3</v>
      </c>
    </row>
    <row r="464" spans="1:23" x14ac:dyDescent="0.2">
      <c r="A464" s="41">
        <v>41040</v>
      </c>
      <c r="B464" s="40">
        <v>20.45</v>
      </c>
      <c r="C464" s="40">
        <v>20.45</v>
      </c>
      <c r="D464" s="40">
        <v>20.45</v>
      </c>
      <c r="E464" s="40">
        <v>20.45</v>
      </c>
      <c r="G464" s="36">
        <v>45019</v>
      </c>
      <c r="H464" s="40">
        <v>15.68</v>
      </c>
      <c r="I464" s="40">
        <v>27.965</v>
      </c>
      <c r="J464" s="44"/>
      <c r="K464" s="40"/>
      <c r="L464" s="45">
        <v>15.68</v>
      </c>
      <c r="M464" s="46">
        <v>27.965</v>
      </c>
      <c r="N464" s="40">
        <f t="shared" si="42"/>
        <v>-8.0238920761578736E-2</v>
      </c>
      <c r="O464" s="40">
        <f t="shared" si="43"/>
        <v>6.7453881395314347E-3</v>
      </c>
      <c r="P464" s="40">
        <f t="shared" si="44"/>
        <v>6.7681895093062187E-3</v>
      </c>
      <c r="Q464" s="40"/>
      <c r="R464" s="40"/>
      <c r="S464" s="47">
        <v>45020</v>
      </c>
      <c r="T464">
        <v>4.5199999999999996</v>
      </c>
      <c r="U464" s="40">
        <f t="shared" si="45"/>
        <v>-8.8106296821549197E-3</v>
      </c>
      <c r="V464" s="40">
        <f t="shared" si="46"/>
        <v>4.5199999999999996</v>
      </c>
      <c r="W464" s="40">
        <f t="shared" si="47"/>
        <v>-8.8106296821549197E-3</v>
      </c>
    </row>
    <row r="465" spans="1:23" x14ac:dyDescent="0.2">
      <c r="A465" s="41">
        <v>41071</v>
      </c>
      <c r="B465" s="40">
        <v>19.3</v>
      </c>
      <c r="C465" s="40">
        <v>19.3</v>
      </c>
      <c r="D465" s="40">
        <v>19.3</v>
      </c>
      <c r="E465" s="40">
        <v>19.3</v>
      </c>
      <c r="G465" s="36">
        <v>45016</v>
      </c>
      <c r="H465" s="40">
        <v>16.989999999999998</v>
      </c>
      <c r="I465" s="40">
        <v>27.777000000000001</v>
      </c>
      <c r="J465" s="44"/>
      <c r="K465" s="40"/>
      <c r="L465" s="45">
        <v>16.989999999999998</v>
      </c>
      <c r="M465" s="46">
        <v>27.777000000000001</v>
      </c>
      <c r="N465" s="40">
        <f t="shared" si="42"/>
        <v>-2.4994035740516216E-2</v>
      </c>
      <c r="O465" s="40">
        <f t="shared" si="43"/>
        <v>1.4285957247476652E-2</v>
      </c>
      <c r="P465" s="40">
        <f t="shared" si="44"/>
        <v>1.4388489208633164E-2</v>
      </c>
      <c r="Q465" s="40"/>
      <c r="R465" s="40"/>
      <c r="S465" s="47">
        <v>44989</v>
      </c>
      <c r="T465">
        <v>4.5599999999999996</v>
      </c>
      <c r="U465" s="40">
        <f t="shared" si="45"/>
        <v>-8.7336799687546662E-3</v>
      </c>
      <c r="V465" s="40">
        <f t="shared" si="46"/>
        <v>4.5599999999999996</v>
      </c>
      <c r="W465" s="40">
        <f t="shared" si="47"/>
        <v>-8.7336799687546662E-3</v>
      </c>
    </row>
    <row r="466" spans="1:23" x14ac:dyDescent="0.2">
      <c r="A466" s="41">
        <v>41101</v>
      </c>
      <c r="B466" s="40">
        <v>19.87</v>
      </c>
      <c r="C466" s="40">
        <v>19.87</v>
      </c>
      <c r="D466" s="40">
        <v>19.87</v>
      </c>
      <c r="E466" s="40">
        <v>19.87</v>
      </c>
      <c r="G466" s="36">
        <v>45015</v>
      </c>
      <c r="H466" s="40">
        <v>17.420000000000002</v>
      </c>
      <c r="I466" s="40">
        <v>27.382999999999999</v>
      </c>
      <c r="J466" s="44"/>
      <c r="K466" s="40"/>
      <c r="L466" s="45">
        <v>17.420000000000002</v>
      </c>
      <c r="M466" s="46">
        <v>27.382999999999999</v>
      </c>
      <c r="N466" s="40">
        <f t="shared" si="42"/>
        <v>2.2642476749759752E-2</v>
      </c>
      <c r="O466" s="40">
        <f t="shared" si="43"/>
        <v>1.4678285127193921E-2</v>
      </c>
      <c r="P466" s="40">
        <f t="shared" si="44"/>
        <v>1.4786540171953652E-2</v>
      </c>
      <c r="Q466" s="40"/>
      <c r="R466" s="40"/>
      <c r="S466" t="s">
        <v>2615</v>
      </c>
      <c r="T466">
        <v>4.5999999999999996</v>
      </c>
      <c r="U466" s="40">
        <f t="shared" si="45"/>
        <v>0</v>
      </c>
      <c r="V466" s="40">
        <f t="shared" si="46"/>
        <v>4.5999999999999996</v>
      </c>
      <c r="W466" s="40">
        <f t="shared" si="47"/>
        <v>0</v>
      </c>
    </row>
    <row r="467" spans="1:23" x14ac:dyDescent="0.2">
      <c r="A467" s="41">
        <v>41132</v>
      </c>
      <c r="B467" s="40">
        <v>18.18</v>
      </c>
      <c r="C467" s="40">
        <v>18.18</v>
      </c>
      <c r="D467" s="40">
        <v>18.18</v>
      </c>
      <c r="E467" s="40">
        <v>18.18</v>
      </c>
      <c r="G467" s="36">
        <v>45014</v>
      </c>
      <c r="H467" s="40">
        <v>17.03</v>
      </c>
      <c r="I467" s="40">
        <v>26.984000000000002</v>
      </c>
      <c r="J467" s="44"/>
      <c r="K467" s="40"/>
      <c r="L467" s="45">
        <v>17.03</v>
      </c>
      <c r="M467" s="46">
        <v>26.984000000000002</v>
      </c>
      <c r="N467" s="40">
        <f t="shared" si="42"/>
        <v>3.1010236742560218E-2</v>
      </c>
      <c r="O467" s="40">
        <f t="shared" si="43"/>
        <v>2.1501371450308303E-2</v>
      </c>
      <c r="P467" s="40">
        <f t="shared" si="44"/>
        <v>2.1734191594093209E-2</v>
      </c>
      <c r="Q467" s="40"/>
      <c r="R467" s="40"/>
      <c r="S467" t="s">
        <v>2614</v>
      </c>
      <c r="T467">
        <v>4.5999999999999996</v>
      </c>
      <c r="U467" s="40">
        <f t="shared" si="45"/>
        <v>9.0971778205726592E-2</v>
      </c>
      <c r="V467" s="40">
        <f t="shared" si="46"/>
        <v>4.5999999999999996</v>
      </c>
      <c r="W467" s="40">
        <f t="shared" si="47"/>
        <v>9.0971778205726592E-2</v>
      </c>
    </row>
    <row r="468" spans="1:23" x14ac:dyDescent="0.2">
      <c r="A468" s="41">
        <v>41163</v>
      </c>
      <c r="B468" s="40">
        <v>18.5</v>
      </c>
      <c r="C468" s="40">
        <v>18.5</v>
      </c>
      <c r="D468" s="40">
        <v>18.5</v>
      </c>
      <c r="E468" s="40">
        <v>18.5</v>
      </c>
      <c r="G468" s="36">
        <v>45013</v>
      </c>
      <c r="H468" s="40">
        <v>16.510000000000002</v>
      </c>
      <c r="I468" s="40">
        <v>26.41</v>
      </c>
      <c r="J468" s="44"/>
      <c r="K468" s="40"/>
      <c r="L468" s="45">
        <v>16.510000000000002</v>
      </c>
      <c r="M468" s="46">
        <v>26.41</v>
      </c>
      <c r="N468" s="40">
        <f t="shared" si="42"/>
        <v>-4.6740243571696566E-2</v>
      </c>
      <c r="O468" s="40">
        <f t="shared" si="43"/>
        <v>-4.5711343077722765E-3</v>
      </c>
      <c r="P468" s="40">
        <f t="shared" si="44"/>
        <v>-4.5607025743469405E-3</v>
      </c>
      <c r="Q468" s="40"/>
      <c r="R468" s="40"/>
      <c r="S468" t="s">
        <v>2613</v>
      </c>
      <c r="T468">
        <v>4.2</v>
      </c>
      <c r="U468" s="40">
        <f t="shared" si="45"/>
        <v>2.4097551579060524E-2</v>
      </c>
      <c r="V468" s="40">
        <f t="shared" si="46"/>
        <v>4.2</v>
      </c>
      <c r="W468" s="40">
        <f t="shared" si="47"/>
        <v>2.4097551579060524E-2</v>
      </c>
    </row>
    <row r="469" spans="1:23" x14ac:dyDescent="0.2">
      <c r="A469" s="41">
        <v>41254</v>
      </c>
      <c r="B469" s="40">
        <v>16.27</v>
      </c>
      <c r="C469" s="40">
        <v>16.27</v>
      </c>
      <c r="D469" s="40">
        <v>16.27</v>
      </c>
      <c r="E469" s="40">
        <v>16.27</v>
      </c>
      <c r="G469" s="36">
        <v>45012</v>
      </c>
      <c r="H469" s="40">
        <v>17.3</v>
      </c>
      <c r="I469" s="40">
        <v>26.530999999999999</v>
      </c>
      <c r="J469" s="44"/>
      <c r="K469" s="40"/>
      <c r="L469" s="45">
        <v>17.3</v>
      </c>
      <c r="M469" s="46">
        <v>26.530999999999999</v>
      </c>
      <c r="N469" s="40">
        <f t="shared" si="42"/>
        <v>7.542826594348951E-3</v>
      </c>
      <c r="O469" s="40">
        <f t="shared" si="43"/>
        <v>-9.3041376495324388E-3</v>
      </c>
      <c r="P469" s="40">
        <f t="shared" si="44"/>
        <v>-9.2609880876806869E-3</v>
      </c>
      <c r="Q469" s="40"/>
      <c r="R469" s="40"/>
      <c r="S469" t="s">
        <v>2612</v>
      </c>
      <c r="T469">
        <v>4.0999999999999996</v>
      </c>
      <c r="U469" s="40">
        <f t="shared" si="45"/>
        <v>7.3439742557582849E-3</v>
      </c>
      <c r="V469" s="40">
        <f t="shared" si="46"/>
        <v>4.0999999999999996</v>
      </c>
      <c r="W469" s="40">
        <f t="shared" si="47"/>
        <v>7.3439742557582849E-3</v>
      </c>
    </row>
    <row r="470" spans="1:23" x14ac:dyDescent="0.2">
      <c r="A470" s="40" t="s">
        <v>1032</v>
      </c>
      <c r="B470" s="40">
        <v>16.25</v>
      </c>
      <c r="C470" s="40">
        <v>16.25</v>
      </c>
      <c r="D470" s="40">
        <v>16.25</v>
      </c>
      <c r="E470" s="40">
        <v>16.25</v>
      </c>
      <c r="G470" s="36">
        <v>45009</v>
      </c>
      <c r="H470" s="40">
        <v>17.170000000000002</v>
      </c>
      <c r="I470" s="40">
        <v>26.779</v>
      </c>
      <c r="J470" s="44"/>
      <c r="K470" s="40"/>
      <c r="L470" s="45">
        <v>17.170000000000002</v>
      </c>
      <c r="M470" s="46">
        <v>26.779</v>
      </c>
      <c r="N470" s="40">
        <f t="shared" si="42"/>
        <v>-6.5375386942229316E-2</v>
      </c>
      <c r="O470" s="40">
        <f t="shared" si="43"/>
        <v>-1.5268037929020838E-2</v>
      </c>
      <c r="P470" s="40">
        <f t="shared" si="44"/>
        <v>-1.5152072376889376E-2</v>
      </c>
      <c r="Q470" s="40"/>
      <c r="R470" s="40"/>
      <c r="S470" t="s">
        <v>2611</v>
      </c>
      <c r="T470">
        <v>4.07</v>
      </c>
      <c r="U470" s="40">
        <f t="shared" si="45"/>
        <v>-1.9465334788103351E-2</v>
      </c>
      <c r="V470" s="40">
        <f t="shared" si="46"/>
        <v>4.07</v>
      </c>
      <c r="W470" s="40">
        <f t="shared" si="47"/>
        <v>-1.9465334788103351E-2</v>
      </c>
    </row>
    <row r="471" spans="1:23" x14ac:dyDescent="0.2">
      <c r="A471" s="40" t="s">
        <v>1033</v>
      </c>
      <c r="B471" s="40">
        <v>18.670000000000002</v>
      </c>
      <c r="C471" s="40">
        <v>18.670000000000002</v>
      </c>
      <c r="D471" s="40">
        <v>18.670000000000002</v>
      </c>
      <c r="E471" s="40">
        <v>18.670000000000002</v>
      </c>
      <c r="G471" s="36">
        <v>45008</v>
      </c>
      <c r="H471" s="40">
        <v>18.329999999999998</v>
      </c>
      <c r="I471" s="40">
        <v>27.190999999999999</v>
      </c>
      <c r="J471" s="44"/>
      <c r="K471" s="40"/>
      <c r="L471" s="45">
        <v>18.329999999999998</v>
      </c>
      <c r="M471" s="46">
        <v>27.190999999999999</v>
      </c>
      <c r="N471" s="40">
        <f t="shared" si="42"/>
        <v>-5.2084034588809502E-2</v>
      </c>
      <c r="O471" s="40">
        <f t="shared" si="43"/>
        <v>2.694958004555327E-2</v>
      </c>
      <c r="P471" s="40">
        <f t="shared" si="44"/>
        <v>2.7316004231524822E-2</v>
      </c>
      <c r="Q471" s="40"/>
      <c r="R471" s="40"/>
      <c r="S471" t="s">
        <v>2610</v>
      </c>
      <c r="T471">
        <v>4.1500000000000004</v>
      </c>
      <c r="U471" s="40">
        <f t="shared" si="45"/>
        <v>4.8309272696655924E-3</v>
      </c>
      <c r="V471" s="40">
        <f t="shared" si="46"/>
        <v>4.1500000000000004</v>
      </c>
      <c r="W471" s="40">
        <f t="shared" si="47"/>
        <v>4.8309272696655924E-3</v>
      </c>
    </row>
    <row r="472" spans="1:23" x14ac:dyDescent="0.2">
      <c r="A472" s="40" t="s">
        <v>1034</v>
      </c>
      <c r="B472" s="40">
        <v>18.93</v>
      </c>
      <c r="C472" s="40">
        <v>18.93</v>
      </c>
      <c r="D472" s="40">
        <v>18.93</v>
      </c>
      <c r="E472" s="40">
        <v>18.93</v>
      </c>
      <c r="G472" s="36">
        <v>45007</v>
      </c>
      <c r="H472" s="40">
        <v>19.309999999999999</v>
      </c>
      <c r="I472" s="40">
        <v>26.468</v>
      </c>
      <c r="J472" s="44"/>
      <c r="K472" s="40"/>
      <c r="L472" s="45">
        <v>19.309999999999999</v>
      </c>
      <c r="M472" s="46">
        <v>26.468</v>
      </c>
      <c r="N472" s="40">
        <f t="shared" si="42"/>
        <v>-6.563838214839092E-2</v>
      </c>
      <c r="O472" s="40">
        <f t="shared" si="43"/>
        <v>1.0215214050107497E-2</v>
      </c>
      <c r="P472" s="40">
        <f t="shared" si="44"/>
        <v>1.0267567464406975E-2</v>
      </c>
      <c r="Q472" s="40"/>
      <c r="R472" s="40"/>
      <c r="S472" t="s">
        <v>2609</v>
      </c>
      <c r="T472">
        <v>4.13</v>
      </c>
      <c r="U472" s="40">
        <f t="shared" si="45"/>
        <v>3.6995587676595047E-2</v>
      </c>
      <c r="V472" s="40">
        <f t="shared" si="46"/>
        <v>4.13</v>
      </c>
      <c r="W472" s="40">
        <f t="shared" si="47"/>
        <v>3.6995587676595047E-2</v>
      </c>
    </row>
    <row r="473" spans="1:23" x14ac:dyDescent="0.2">
      <c r="A473" s="40" t="s">
        <v>1035</v>
      </c>
      <c r="B473" s="40">
        <v>17.059999999999999</v>
      </c>
      <c r="C473" s="40">
        <v>17.059999999999999</v>
      </c>
      <c r="D473" s="40">
        <v>17.059999999999999</v>
      </c>
      <c r="E473" s="40">
        <v>17.059999999999999</v>
      </c>
      <c r="G473" s="36">
        <v>45006</v>
      </c>
      <c r="H473" s="40">
        <v>20.62</v>
      </c>
      <c r="I473" s="40">
        <v>26.199000000000002</v>
      </c>
      <c r="J473" s="44"/>
      <c r="K473" s="40"/>
      <c r="L473" s="45">
        <v>20.62</v>
      </c>
      <c r="M473" s="46">
        <v>26.199000000000002</v>
      </c>
      <c r="N473" s="40">
        <f t="shared" si="42"/>
        <v>-0.11400394569747538</v>
      </c>
      <c r="O473" s="40">
        <f t="shared" si="43"/>
        <v>1.1478273394213671E-2</v>
      </c>
      <c r="P473" s="40">
        <f t="shared" si="44"/>
        <v>1.1544401544401662E-2</v>
      </c>
      <c r="Q473" s="40"/>
      <c r="R473" s="40"/>
      <c r="S473" t="s">
        <v>2608</v>
      </c>
      <c r="T473">
        <v>3.98</v>
      </c>
      <c r="U473" s="40">
        <f t="shared" si="45"/>
        <v>1.7744445299071911E-2</v>
      </c>
      <c r="V473" s="40">
        <f t="shared" si="46"/>
        <v>3.98</v>
      </c>
      <c r="W473" s="40">
        <f t="shared" si="47"/>
        <v>1.7744445299071911E-2</v>
      </c>
    </row>
    <row r="474" spans="1:23" x14ac:dyDescent="0.2">
      <c r="A474" s="40" t="s">
        <v>1036</v>
      </c>
      <c r="B474" s="40">
        <v>15.57</v>
      </c>
      <c r="C474" s="40">
        <v>15.57</v>
      </c>
      <c r="D474" s="40">
        <v>15.57</v>
      </c>
      <c r="E474" s="40">
        <v>15.57</v>
      </c>
      <c r="G474" s="36">
        <v>45005</v>
      </c>
      <c r="H474" s="40">
        <v>23.11</v>
      </c>
      <c r="I474" s="40">
        <v>25.9</v>
      </c>
      <c r="J474" s="44"/>
      <c r="K474" s="40"/>
      <c r="L474" s="45">
        <v>23.11</v>
      </c>
      <c r="M474" s="46">
        <v>25.9</v>
      </c>
      <c r="N474" s="40">
        <f t="shared" si="42"/>
        <v>-2.7317106194360834E-2</v>
      </c>
      <c r="O474" s="40">
        <f t="shared" si="43"/>
        <v>6.7796869853785488E-3</v>
      </c>
      <c r="P474" s="40">
        <f t="shared" si="44"/>
        <v>6.8027210884352629E-3</v>
      </c>
      <c r="Q474" s="40"/>
      <c r="R474" s="40"/>
      <c r="S474" t="s">
        <v>2607</v>
      </c>
      <c r="T474">
        <v>3.91</v>
      </c>
      <c r="U474" s="40">
        <f t="shared" si="45"/>
        <v>-6.9163359936772015E-2</v>
      </c>
      <c r="V474" s="40">
        <f t="shared" si="46"/>
        <v>3.91</v>
      </c>
      <c r="W474" s="40">
        <f t="shared" si="47"/>
        <v>-6.9163359936772015E-2</v>
      </c>
    </row>
    <row r="475" spans="1:23" x14ac:dyDescent="0.2">
      <c r="A475" s="40" t="s">
        <v>1037</v>
      </c>
      <c r="B475" s="40">
        <v>15.24</v>
      </c>
      <c r="C475" s="40">
        <v>15.24</v>
      </c>
      <c r="D475" s="40">
        <v>15.24</v>
      </c>
      <c r="E475" s="40">
        <v>15.24</v>
      </c>
      <c r="G475" s="36">
        <v>45002</v>
      </c>
      <c r="H475" s="40">
        <v>23.75</v>
      </c>
      <c r="I475" s="40">
        <v>25.725000000000001</v>
      </c>
      <c r="J475" s="44"/>
      <c r="K475" s="40"/>
      <c r="L475" s="45">
        <v>23.75</v>
      </c>
      <c r="M475" s="46">
        <v>25.725000000000001</v>
      </c>
      <c r="N475" s="40">
        <f t="shared" si="42"/>
        <v>3.9069145692840798E-2</v>
      </c>
      <c r="O475" s="40">
        <f t="shared" si="43"/>
        <v>7.1782776144132584E-3</v>
      </c>
      <c r="P475" s="40">
        <f t="shared" si="44"/>
        <v>7.2041032066090223E-3</v>
      </c>
      <c r="Q475" s="40"/>
      <c r="R475" s="40"/>
      <c r="S475" t="s">
        <v>2606</v>
      </c>
      <c r="T475">
        <v>4.1900000000000004</v>
      </c>
      <c r="U475" s="40">
        <f t="shared" si="45"/>
        <v>2.3894873973814854E-3</v>
      </c>
      <c r="V475" s="40">
        <f t="shared" si="46"/>
        <v>4.1900000000000004</v>
      </c>
      <c r="W475" s="40">
        <f t="shared" si="47"/>
        <v>2.3894873973814854E-3</v>
      </c>
    </row>
    <row r="476" spans="1:23" x14ac:dyDescent="0.2">
      <c r="A476" s="40" t="s">
        <v>1038</v>
      </c>
      <c r="B476" s="40">
        <v>15.33</v>
      </c>
      <c r="C476" s="40">
        <v>15.33</v>
      </c>
      <c r="D476" s="40">
        <v>15.33</v>
      </c>
      <c r="E476" s="40">
        <v>15.33</v>
      </c>
      <c r="G476" s="36">
        <v>45001</v>
      </c>
      <c r="H476" s="40">
        <v>22.84</v>
      </c>
      <c r="I476" s="40">
        <v>25.541</v>
      </c>
      <c r="J476" s="44"/>
      <c r="K476" s="40"/>
      <c r="L476" s="45">
        <v>22.84</v>
      </c>
      <c r="M476" s="46">
        <v>25.541</v>
      </c>
      <c r="N476" s="40">
        <f t="shared" si="42"/>
        <v>-0.12572958391768252</v>
      </c>
      <c r="O476" s="40">
        <f t="shared" si="43"/>
        <v>5.277601498699936E-2</v>
      </c>
      <c r="P476" s="40">
        <f t="shared" si="44"/>
        <v>5.419349512960206E-2</v>
      </c>
      <c r="Q476" s="40"/>
      <c r="R476" s="40"/>
      <c r="S476" t="s">
        <v>2605</v>
      </c>
      <c r="T476">
        <v>4.18</v>
      </c>
      <c r="U476" s="40">
        <f t="shared" si="45"/>
        <v>6.1671820655494931E-2</v>
      </c>
      <c r="V476" s="40">
        <f t="shared" si="46"/>
        <v>4.18</v>
      </c>
      <c r="W476" s="40">
        <f t="shared" si="47"/>
        <v>6.1671820655494931E-2</v>
      </c>
    </row>
    <row r="477" spans="1:23" x14ac:dyDescent="0.2">
      <c r="A477" s="40" t="s">
        <v>1039</v>
      </c>
      <c r="B477" s="40">
        <v>15.25</v>
      </c>
      <c r="C477" s="40">
        <v>15.25</v>
      </c>
      <c r="D477" s="40">
        <v>15.25</v>
      </c>
      <c r="E477" s="40">
        <v>15.25</v>
      </c>
      <c r="G477" s="36">
        <v>45000</v>
      </c>
      <c r="H477" s="40">
        <v>25.9</v>
      </c>
      <c r="I477" s="40">
        <v>24.228000000000002</v>
      </c>
      <c r="J477" s="44"/>
      <c r="K477" s="40"/>
      <c r="L477" s="45">
        <v>25.9</v>
      </c>
      <c r="M477" s="46">
        <v>24.228000000000002</v>
      </c>
      <c r="N477" s="40">
        <f t="shared" si="42"/>
        <v>-4.1964199099032193E-2</v>
      </c>
      <c r="O477" s="40">
        <f t="shared" si="43"/>
        <v>6.8335980658036253E-3</v>
      </c>
      <c r="P477" s="40">
        <f t="shared" si="44"/>
        <v>6.8570003740183148E-3</v>
      </c>
      <c r="Q477" s="40"/>
      <c r="R477" s="40"/>
      <c r="S477" t="s">
        <v>2604</v>
      </c>
      <c r="T477">
        <v>3.93</v>
      </c>
      <c r="U477" s="40">
        <f t="shared" si="45"/>
        <v>-3.2543547732471312E-2</v>
      </c>
      <c r="V477" s="40">
        <f t="shared" si="46"/>
        <v>3.93</v>
      </c>
      <c r="W477" s="40">
        <f t="shared" si="47"/>
        <v>-3.2543547732471312E-2</v>
      </c>
    </row>
    <row r="478" spans="1:23" x14ac:dyDescent="0.2">
      <c r="A478" s="40" t="s">
        <v>1040</v>
      </c>
      <c r="B478" s="40">
        <v>16.010000000000002</v>
      </c>
      <c r="C478" s="40">
        <v>16.010000000000002</v>
      </c>
      <c r="D478" s="40">
        <v>16.010000000000002</v>
      </c>
      <c r="E478" s="40">
        <v>16.010000000000002</v>
      </c>
      <c r="G478" s="36">
        <v>44999</v>
      </c>
      <c r="H478" s="40">
        <v>27.01</v>
      </c>
      <c r="I478" s="40">
        <v>24.062999999999999</v>
      </c>
      <c r="J478" s="44"/>
      <c r="K478" s="40"/>
      <c r="L478" s="45">
        <v>27.01</v>
      </c>
      <c r="M478" s="46">
        <v>24.062999999999999</v>
      </c>
      <c r="N478" s="40">
        <f t="shared" si="42"/>
        <v>9.3054303401559832E-2</v>
      </c>
      <c r="O478" s="40">
        <f t="shared" si="43"/>
        <v>4.6660529698899486E-2</v>
      </c>
      <c r="P478" s="40">
        <f t="shared" si="44"/>
        <v>4.7766263171644938E-2</v>
      </c>
      <c r="Q478" s="40"/>
      <c r="R478" s="40"/>
      <c r="S478" t="s">
        <v>2603</v>
      </c>
      <c r="T478">
        <v>4.0599999999999996</v>
      </c>
      <c r="U478" s="40">
        <f t="shared" si="45"/>
        <v>-5.0430853626891856E-2</v>
      </c>
      <c r="V478" s="40">
        <f t="shared" si="46"/>
        <v>4.0599999999999996</v>
      </c>
      <c r="W478" s="40">
        <f t="shared" si="47"/>
        <v>-5.0430853626891856E-2</v>
      </c>
    </row>
    <row r="479" spans="1:23" x14ac:dyDescent="0.2">
      <c r="A479" s="40" t="s">
        <v>1041</v>
      </c>
      <c r="B479" s="40">
        <v>16.12</v>
      </c>
      <c r="C479" s="40">
        <v>16.12</v>
      </c>
      <c r="D479" s="40">
        <v>16.12</v>
      </c>
      <c r="E479" s="40">
        <v>16.12</v>
      </c>
      <c r="G479" s="36">
        <v>44998</v>
      </c>
      <c r="H479" s="40">
        <v>24.61</v>
      </c>
      <c r="I479" s="40">
        <v>22.966000000000001</v>
      </c>
      <c r="J479" s="44"/>
      <c r="K479" s="40"/>
      <c r="L479" s="45">
        <v>24.61</v>
      </c>
      <c r="M479" s="46">
        <v>22.966000000000001</v>
      </c>
      <c r="N479" s="40">
        <f t="shared" si="42"/>
        <v>-0.17477589031983656</v>
      </c>
      <c r="O479" s="40">
        <f t="shared" si="43"/>
        <v>4.3543576240852831E-5</v>
      </c>
      <c r="P479" s="40">
        <f t="shared" si="44"/>
        <v>4.3544524276125499E-5</v>
      </c>
      <c r="Q479" s="40"/>
      <c r="R479" s="40"/>
      <c r="S479" t="s">
        <v>2602</v>
      </c>
      <c r="T479">
        <v>4.2699999999999996</v>
      </c>
      <c r="U479" s="40">
        <f t="shared" si="45"/>
        <v>-4.1290268937615809E-2</v>
      </c>
      <c r="V479" s="40">
        <f t="shared" si="46"/>
        <v>4.2699999999999996</v>
      </c>
      <c r="W479" s="40">
        <f t="shared" si="47"/>
        <v>-4.1290268937615809E-2</v>
      </c>
    </row>
    <row r="480" spans="1:23" x14ac:dyDescent="0.2">
      <c r="A480" s="40" t="s">
        <v>1042</v>
      </c>
      <c r="B480" s="40">
        <v>15.72</v>
      </c>
      <c r="C480" s="40">
        <v>15.72</v>
      </c>
      <c r="D480" s="40">
        <v>15.72</v>
      </c>
      <c r="E480" s="40">
        <v>15.72</v>
      </c>
      <c r="G480" s="36">
        <v>44995</v>
      </c>
      <c r="H480" s="40">
        <v>29.31</v>
      </c>
      <c r="I480" s="40">
        <v>22.965</v>
      </c>
      <c r="J480" s="44"/>
      <c r="K480" s="40"/>
      <c r="L480" s="45">
        <v>29.31</v>
      </c>
      <c r="M480" s="46">
        <v>22.965</v>
      </c>
      <c r="N480" s="40">
        <f t="shared" si="42"/>
        <v>0.120986729048144</v>
      </c>
      <c r="O480" s="40">
        <f t="shared" si="43"/>
        <v>-2.0301983904785395E-2</v>
      </c>
      <c r="P480" s="40">
        <f t="shared" si="44"/>
        <v>-2.0097286226318487E-2</v>
      </c>
      <c r="Q480" s="40"/>
      <c r="R480" s="40"/>
      <c r="S480" t="s">
        <v>2601</v>
      </c>
      <c r="T480">
        <v>4.45</v>
      </c>
      <c r="U480" s="40">
        <f t="shared" si="45"/>
        <v>-4.181027006001492E-2</v>
      </c>
      <c r="V480" s="40">
        <f t="shared" si="46"/>
        <v>4.45</v>
      </c>
      <c r="W480" s="40">
        <f t="shared" si="47"/>
        <v>-4.181027006001492E-2</v>
      </c>
    </row>
    <row r="481" spans="1:23" x14ac:dyDescent="0.2">
      <c r="A481" s="40" t="s">
        <v>1043</v>
      </c>
      <c r="B481" s="40">
        <v>15.2</v>
      </c>
      <c r="C481" s="40">
        <v>15.2</v>
      </c>
      <c r="D481" s="40">
        <v>15.2</v>
      </c>
      <c r="E481" s="40">
        <v>15.2</v>
      </c>
      <c r="G481" s="36">
        <v>44994</v>
      </c>
      <c r="H481" s="40">
        <v>25.97</v>
      </c>
      <c r="I481" s="40">
        <v>23.436</v>
      </c>
      <c r="J481" s="44"/>
      <c r="K481" s="40"/>
      <c r="L481" s="45">
        <v>25.97</v>
      </c>
      <c r="M481" s="46">
        <v>23.436</v>
      </c>
      <c r="N481" s="40">
        <f t="shared" si="42"/>
        <v>-0.17478456102232118</v>
      </c>
      <c r="O481" s="40">
        <f t="shared" si="43"/>
        <v>-3.1293899141917665E-2</v>
      </c>
      <c r="P481" s="40">
        <f t="shared" si="44"/>
        <v>-3.0809313097059716E-2</v>
      </c>
      <c r="Q481" s="40"/>
      <c r="R481" s="40"/>
      <c r="S481" s="47">
        <v>45202</v>
      </c>
      <c r="T481">
        <v>4.6399999999999997</v>
      </c>
      <c r="U481" s="40">
        <f t="shared" si="45"/>
        <v>-4.3010818993906973E-3</v>
      </c>
      <c r="V481" s="40">
        <f t="shared" si="46"/>
        <v>4.6399999999999997</v>
      </c>
      <c r="W481" s="40">
        <f t="shared" si="47"/>
        <v>-4.3010818993906973E-3</v>
      </c>
    </row>
    <row r="482" spans="1:23" x14ac:dyDescent="0.2">
      <c r="A482" s="40" t="s">
        <v>1044</v>
      </c>
      <c r="B482" s="40">
        <v>15.81</v>
      </c>
      <c r="C482" s="40">
        <v>15.81</v>
      </c>
      <c r="D482" s="40">
        <v>15.81</v>
      </c>
      <c r="E482" s="40">
        <v>15.81</v>
      </c>
      <c r="G482" s="36">
        <v>44993</v>
      </c>
      <c r="H482" s="40">
        <v>30.93</v>
      </c>
      <c r="I482" s="40">
        <v>24.181000000000001</v>
      </c>
      <c r="J482" s="44"/>
      <c r="K482" s="40"/>
      <c r="L482" s="45">
        <v>30.93</v>
      </c>
      <c r="M482" s="46">
        <v>24.181000000000001</v>
      </c>
      <c r="N482" s="40">
        <f t="shared" si="42"/>
        <v>0.14108839560188674</v>
      </c>
      <c r="O482" s="40">
        <f t="shared" si="43"/>
        <v>3.7628994381137815E-2</v>
      </c>
      <c r="P482" s="40">
        <f t="shared" si="44"/>
        <v>3.8345929233940257E-2</v>
      </c>
      <c r="Q482" s="40"/>
      <c r="R482" s="40"/>
      <c r="S482" s="47">
        <v>45172</v>
      </c>
      <c r="T482">
        <v>4.66</v>
      </c>
      <c r="U482" s="40">
        <f t="shared" si="45"/>
        <v>1.5135424065100813E-2</v>
      </c>
      <c r="V482" s="40">
        <f t="shared" si="46"/>
        <v>4.66</v>
      </c>
      <c r="W482" s="40">
        <f t="shared" si="47"/>
        <v>1.5135424065100813E-2</v>
      </c>
    </row>
    <row r="483" spans="1:23" x14ac:dyDescent="0.2">
      <c r="A483" s="41">
        <v>40980</v>
      </c>
      <c r="B483" s="40">
        <v>17.100000000000001</v>
      </c>
      <c r="C483" s="40">
        <v>17.100000000000001</v>
      </c>
      <c r="D483" s="40">
        <v>17.100000000000001</v>
      </c>
      <c r="E483" s="40">
        <v>17.100000000000001</v>
      </c>
      <c r="G483" s="36">
        <v>44992</v>
      </c>
      <c r="H483" s="40">
        <v>26.86</v>
      </c>
      <c r="I483" s="40">
        <v>23.288</v>
      </c>
      <c r="J483" s="44"/>
      <c r="K483" s="40"/>
      <c r="L483" s="45">
        <v>26.86</v>
      </c>
      <c r="M483" s="46">
        <v>23.288</v>
      </c>
      <c r="N483" s="40">
        <f t="shared" si="42"/>
        <v>5.3529597965831073E-2</v>
      </c>
      <c r="O483" s="40">
        <f t="shared" si="43"/>
        <v>-1.1357450976034569E-2</v>
      </c>
      <c r="P483" s="40">
        <f t="shared" si="44"/>
        <v>-1.1293198607455136E-2</v>
      </c>
      <c r="Q483" s="40"/>
      <c r="R483" s="40"/>
      <c r="S483" s="47">
        <v>45141</v>
      </c>
      <c r="T483">
        <v>4.59</v>
      </c>
      <c r="U483" s="40">
        <f t="shared" si="45"/>
        <v>-8.6768440256889713E-3</v>
      </c>
      <c r="V483" s="40">
        <f t="shared" si="46"/>
        <v>4.59</v>
      </c>
      <c r="W483" s="40">
        <f t="shared" si="47"/>
        <v>-8.6768440256889713E-3</v>
      </c>
    </row>
    <row r="484" spans="1:23" x14ac:dyDescent="0.2">
      <c r="A484" s="41">
        <v>41011</v>
      </c>
      <c r="B484" s="40">
        <v>17.190000000000001</v>
      </c>
      <c r="C484" s="40">
        <v>17.190000000000001</v>
      </c>
      <c r="D484" s="40">
        <v>17.190000000000001</v>
      </c>
      <c r="E484" s="40">
        <v>17.190000000000001</v>
      </c>
      <c r="G484" s="36">
        <v>44991</v>
      </c>
      <c r="H484" s="40">
        <v>25.46</v>
      </c>
      <c r="I484" s="40">
        <v>23.553999999999998</v>
      </c>
      <c r="J484" s="44"/>
      <c r="K484" s="40"/>
      <c r="L484" s="45">
        <v>25.46</v>
      </c>
      <c r="M484" s="46">
        <v>23.553999999999998</v>
      </c>
      <c r="N484" s="40">
        <f t="shared" si="42"/>
        <v>0.21327488946439477</v>
      </c>
      <c r="O484" s="40">
        <f t="shared" si="43"/>
        <v>-1.4164303918361544E-2</v>
      </c>
      <c r="P484" s="40">
        <f t="shared" si="44"/>
        <v>-1.4064462118041108E-2</v>
      </c>
      <c r="Q484" s="40"/>
      <c r="R484" s="40"/>
      <c r="S484" s="47">
        <v>45110</v>
      </c>
      <c r="T484">
        <v>4.63</v>
      </c>
      <c r="U484" s="40">
        <f t="shared" si="45"/>
        <v>8.6768440256890355E-3</v>
      </c>
      <c r="V484" s="40">
        <f t="shared" si="46"/>
        <v>4.63</v>
      </c>
      <c r="W484" s="40">
        <f t="shared" si="47"/>
        <v>8.6768440256890355E-3</v>
      </c>
    </row>
    <row r="485" spans="1:23" x14ac:dyDescent="0.2">
      <c r="A485" s="41">
        <v>41041</v>
      </c>
      <c r="B485" s="40">
        <v>15.98</v>
      </c>
      <c r="C485" s="40">
        <v>15.98</v>
      </c>
      <c r="D485" s="40">
        <v>15.98</v>
      </c>
      <c r="E485" s="40">
        <v>15.98</v>
      </c>
      <c r="G485" s="36">
        <v>44988</v>
      </c>
      <c r="H485" s="40">
        <v>20.57</v>
      </c>
      <c r="I485" s="40">
        <v>23.89</v>
      </c>
      <c r="J485" s="44"/>
      <c r="K485" s="40"/>
      <c r="L485" s="45">
        <v>20.57</v>
      </c>
      <c r="M485" s="46">
        <v>23.89</v>
      </c>
      <c r="N485" s="40">
        <f t="shared" si="42"/>
        <v>-1.8782155787975624E-2</v>
      </c>
      <c r="O485" s="40">
        <f t="shared" si="43"/>
        <v>2.440592284007765E-2</v>
      </c>
      <c r="P485" s="40">
        <f t="shared" si="44"/>
        <v>2.4706185124817728E-2</v>
      </c>
      <c r="Q485" s="40"/>
      <c r="R485" s="40"/>
      <c r="S485" s="47">
        <v>45080</v>
      </c>
      <c r="T485">
        <v>4.59</v>
      </c>
      <c r="U485" s="40">
        <f t="shared" si="45"/>
        <v>0</v>
      </c>
      <c r="V485" s="40">
        <f t="shared" si="46"/>
        <v>4.59</v>
      </c>
      <c r="W485" s="40">
        <f t="shared" si="47"/>
        <v>0</v>
      </c>
    </row>
    <row r="486" spans="1:23" x14ac:dyDescent="0.2">
      <c r="A486" s="41">
        <v>41072</v>
      </c>
      <c r="B486" s="40">
        <v>15.95</v>
      </c>
      <c r="C486" s="40">
        <v>15.95</v>
      </c>
      <c r="D486" s="40">
        <v>15.95</v>
      </c>
      <c r="E486" s="40">
        <v>15.95</v>
      </c>
      <c r="G486" s="36">
        <v>44987</v>
      </c>
      <c r="H486" s="40">
        <v>20.96</v>
      </c>
      <c r="I486" s="40">
        <v>23.314</v>
      </c>
      <c r="J486" s="44"/>
      <c r="K486" s="40"/>
      <c r="L486" s="45">
        <v>20.96</v>
      </c>
      <c r="M486" s="46">
        <v>23.314</v>
      </c>
      <c r="N486" s="40">
        <f t="shared" si="42"/>
        <v>6.7086293216369816E-2</v>
      </c>
      <c r="O486" s="40">
        <f t="shared" si="43"/>
        <v>2.6777223618693329E-2</v>
      </c>
      <c r="P486" s="40">
        <f t="shared" si="44"/>
        <v>2.7138954974006504E-2</v>
      </c>
      <c r="Q486" s="40"/>
      <c r="R486" s="40"/>
      <c r="S486" s="47">
        <v>44988</v>
      </c>
      <c r="T486">
        <v>4.59</v>
      </c>
      <c r="U486" s="40">
        <f t="shared" si="45"/>
        <v>0</v>
      </c>
      <c r="V486" s="40">
        <f t="shared" si="46"/>
        <v>4.59</v>
      </c>
      <c r="W486" s="40">
        <f t="shared" si="47"/>
        <v>0</v>
      </c>
    </row>
    <row r="487" spans="1:23" x14ac:dyDescent="0.2">
      <c r="A487" s="41">
        <v>41102</v>
      </c>
      <c r="B487" s="40">
        <v>15.25</v>
      </c>
      <c r="C487" s="40">
        <v>15.25</v>
      </c>
      <c r="D487" s="40">
        <v>15.25</v>
      </c>
      <c r="E487" s="40">
        <v>15.25</v>
      </c>
      <c r="G487" s="36">
        <v>44986</v>
      </c>
      <c r="H487" s="40">
        <v>19.600000000000001</v>
      </c>
      <c r="I487" s="40">
        <v>22.698</v>
      </c>
      <c r="J487" s="44"/>
      <c r="K487" s="40"/>
      <c r="L487" s="45">
        <v>19.600000000000001</v>
      </c>
      <c r="M487" s="46">
        <v>22.698</v>
      </c>
      <c r="N487" s="40">
        <f t="shared" si="42"/>
        <v>9.8580828672447593E-2</v>
      </c>
      <c r="O487" s="40">
        <f t="shared" si="43"/>
        <v>-2.2564881262884841E-2</v>
      </c>
      <c r="P487" s="40">
        <f t="shared" si="44"/>
        <v>-2.2312198483804301E-2</v>
      </c>
      <c r="Q487" s="40"/>
      <c r="R487" s="40"/>
      <c r="S487" s="47">
        <v>44960</v>
      </c>
      <c r="T487">
        <v>4.59</v>
      </c>
      <c r="U487" s="40">
        <f t="shared" si="45"/>
        <v>1.5368030228313937E-2</v>
      </c>
      <c r="V487" s="40">
        <f t="shared" si="46"/>
        <v>4.59</v>
      </c>
      <c r="W487" s="40">
        <f t="shared" si="47"/>
        <v>1.5368030228313937E-2</v>
      </c>
    </row>
    <row r="488" spans="1:23" x14ac:dyDescent="0.2">
      <c r="A488" s="41">
        <v>41194</v>
      </c>
      <c r="B488" s="40">
        <v>15.16</v>
      </c>
      <c r="C488" s="40">
        <v>15.16</v>
      </c>
      <c r="D488" s="40">
        <v>15.16</v>
      </c>
      <c r="E488" s="40">
        <v>15.16</v>
      </c>
      <c r="G488" s="36">
        <v>44985</v>
      </c>
      <c r="H488" s="40">
        <v>17.760000000000002</v>
      </c>
      <c r="I488" s="40">
        <v>23.216000000000001</v>
      </c>
      <c r="J488" s="44"/>
      <c r="K488" s="40"/>
      <c r="L488" s="45">
        <v>17.760000000000002</v>
      </c>
      <c r="M488" s="46">
        <v>23.216000000000001</v>
      </c>
      <c r="N488" s="40">
        <f t="shared" si="42"/>
        <v>-5.2109402721974209E-2</v>
      </c>
      <c r="O488" s="40">
        <f t="shared" si="43"/>
        <v>-1.2201277294409287E-2</v>
      </c>
      <c r="P488" s="40">
        <f t="shared" si="44"/>
        <v>-1.2127143525807418E-2</v>
      </c>
      <c r="Q488" s="40"/>
      <c r="R488" s="40"/>
      <c r="S488" s="47">
        <v>44929</v>
      </c>
      <c r="T488">
        <v>4.5199999999999996</v>
      </c>
      <c r="U488" s="40">
        <f t="shared" si="45"/>
        <v>0</v>
      </c>
      <c r="V488" s="40">
        <f t="shared" si="46"/>
        <v>4.5199999999999996</v>
      </c>
      <c r="W488" s="40">
        <f t="shared" si="47"/>
        <v>0</v>
      </c>
    </row>
    <row r="489" spans="1:23" x14ac:dyDescent="0.2">
      <c r="A489" s="41">
        <v>41225</v>
      </c>
      <c r="B489" s="40">
        <v>15.21</v>
      </c>
      <c r="C489" s="40">
        <v>15.21</v>
      </c>
      <c r="D489" s="40">
        <v>15.21</v>
      </c>
      <c r="E489" s="40">
        <v>15.21</v>
      </c>
      <c r="G489" s="36">
        <v>44984</v>
      </c>
      <c r="H489" s="40">
        <v>18.71</v>
      </c>
      <c r="I489" s="40">
        <v>23.501000000000001</v>
      </c>
      <c r="J489" s="44"/>
      <c r="K489" s="40"/>
      <c r="L489" s="45">
        <v>18.71</v>
      </c>
      <c r="M489" s="46">
        <v>23.501000000000001</v>
      </c>
      <c r="N489" s="40">
        <f t="shared" si="42"/>
        <v>-4.59610916704511E-2</v>
      </c>
      <c r="O489" s="40">
        <f t="shared" si="43"/>
        <v>9.190651821417057E-3</v>
      </c>
      <c r="P489" s="40">
        <f t="shared" si="44"/>
        <v>9.2330155458215171E-3</v>
      </c>
      <c r="Q489" s="40"/>
      <c r="R489" s="40"/>
      <c r="S489" t="s">
        <v>2600</v>
      </c>
      <c r="T489">
        <v>4.5199999999999996</v>
      </c>
      <c r="U489" s="40">
        <f t="shared" si="45"/>
        <v>-4.4150182091169431E-3</v>
      </c>
      <c r="V489" s="40">
        <f t="shared" si="46"/>
        <v>4.5199999999999996</v>
      </c>
      <c r="W489" s="40">
        <f t="shared" si="47"/>
        <v>-4.4150182091169431E-3</v>
      </c>
    </row>
    <row r="490" spans="1:23" x14ac:dyDescent="0.2">
      <c r="A490" s="41">
        <v>41255</v>
      </c>
      <c r="B490" s="40">
        <v>15.26</v>
      </c>
      <c r="C490" s="40">
        <v>15.26</v>
      </c>
      <c r="D490" s="40">
        <v>15.26</v>
      </c>
      <c r="E490" s="40">
        <v>15.26</v>
      </c>
      <c r="G490" s="36">
        <v>44981</v>
      </c>
      <c r="H490" s="40">
        <v>19.59</v>
      </c>
      <c r="I490" s="40">
        <v>23.286000000000001</v>
      </c>
      <c r="J490" s="44"/>
      <c r="K490" s="40"/>
      <c r="L490" s="45">
        <v>19.59</v>
      </c>
      <c r="M490" s="46">
        <v>23.286000000000001</v>
      </c>
      <c r="N490" s="40">
        <f t="shared" si="42"/>
        <v>0</v>
      </c>
      <c r="O490" s="40">
        <f t="shared" si="43"/>
        <v>-1.6102584353619779E-2</v>
      </c>
      <c r="P490" s="40">
        <f t="shared" si="44"/>
        <v>-1.5973630831643007E-2</v>
      </c>
      <c r="Q490" s="40"/>
      <c r="R490" s="40"/>
      <c r="S490" t="s">
        <v>2599</v>
      </c>
      <c r="T490">
        <v>4.54</v>
      </c>
      <c r="U490" s="40">
        <f t="shared" si="45"/>
        <v>-2.2002209096024235E-3</v>
      </c>
      <c r="V490" s="40">
        <f t="shared" si="46"/>
        <v>4.54</v>
      </c>
      <c r="W490" s="40">
        <f t="shared" si="47"/>
        <v>-2.2002209096024235E-3</v>
      </c>
    </row>
    <row r="491" spans="1:23" x14ac:dyDescent="0.2">
      <c r="A491" s="40" t="s">
        <v>1045</v>
      </c>
      <c r="B491" s="40">
        <v>15.77</v>
      </c>
      <c r="C491" s="40">
        <v>15.77</v>
      </c>
      <c r="D491" s="40">
        <v>15.77</v>
      </c>
      <c r="E491" s="40">
        <v>15.77</v>
      </c>
      <c r="G491" s="36">
        <v>44980</v>
      </c>
      <c r="H491" s="40">
        <v>19.59</v>
      </c>
      <c r="I491" s="40">
        <v>23.664000000000001</v>
      </c>
      <c r="J491" s="44"/>
      <c r="K491" s="40"/>
      <c r="L491" s="45">
        <v>19.59</v>
      </c>
      <c r="M491" s="46">
        <v>23.664000000000001</v>
      </c>
      <c r="N491" s="40">
        <f t="shared" si="42"/>
        <v>1.1293754537544894E-2</v>
      </c>
      <c r="O491" s="40">
        <f t="shared" si="43"/>
        <v>0.1312159067853573</v>
      </c>
      <c r="P491" s="40">
        <f t="shared" si="44"/>
        <v>0.14021393466319745</v>
      </c>
      <c r="Q491" s="40"/>
      <c r="R491" s="40"/>
      <c r="S491" t="s">
        <v>2598</v>
      </c>
      <c r="T491">
        <v>4.55</v>
      </c>
      <c r="U491" s="40">
        <f t="shared" si="45"/>
        <v>4.4052934679161973E-3</v>
      </c>
      <c r="V491" s="40">
        <f t="shared" si="46"/>
        <v>4.55</v>
      </c>
      <c r="W491" s="40">
        <f t="shared" si="47"/>
        <v>4.4052934679161973E-3</v>
      </c>
    </row>
    <row r="492" spans="1:23" x14ac:dyDescent="0.2">
      <c r="A492" s="40" t="s">
        <v>1046</v>
      </c>
      <c r="B492" s="40">
        <v>16.489999999999998</v>
      </c>
      <c r="C492" s="40">
        <v>16.489999999999998</v>
      </c>
      <c r="D492" s="40">
        <v>16.489999999999998</v>
      </c>
      <c r="E492" s="40">
        <v>16.489999999999998</v>
      </c>
      <c r="G492" s="36">
        <v>44979</v>
      </c>
      <c r="H492" s="40">
        <v>19.37</v>
      </c>
      <c r="I492" s="40">
        <v>20.754000000000001</v>
      </c>
      <c r="J492" s="44"/>
      <c r="K492" s="40"/>
      <c r="L492" s="45">
        <v>19.37</v>
      </c>
      <c r="M492" s="46">
        <v>20.754000000000001</v>
      </c>
      <c r="N492" s="40">
        <f t="shared" si="42"/>
        <v>5.2462360491363602E-2</v>
      </c>
      <c r="O492" s="40">
        <f t="shared" si="43"/>
        <v>4.7815783343587159E-3</v>
      </c>
      <c r="P492" s="40">
        <f t="shared" si="44"/>
        <v>4.7930283224400967E-3</v>
      </c>
      <c r="Q492" s="40"/>
      <c r="R492" s="40"/>
      <c r="S492" t="s">
        <v>2597</v>
      </c>
      <c r="T492">
        <v>4.53</v>
      </c>
      <c r="U492" s="40">
        <f t="shared" si="45"/>
        <v>8.8692377407797902E-3</v>
      </c>
      <c r="V492" s="40">
        <f t="shared" si="46"/>
        <v>4.53</v>
      </c>
      <c r="W492" s="40">
        <f t="shared" si="47"/>
        <v>8.8692377407797902E-3</v>
      </c>
    </row>
    <row r="493" spans="1:23" x14ac:dyDescent="0.2">
      <c r="A493" s="40" t="s">
        <v>1047</v>
      </c>
      <c r="B493" s="40">
        <v>16.57</v>
      </c>
      <c r="C493" s="40">
        <v>16.57</v>
      </c>
      <c r="D493" s="40">
        <v>16.57</v>
      </c>
      <c r="E493" s="40">
        <v>16.57</v>
      </c>
      <c r="G493" s="36">
        <v>44978</v>
      </c>
      <c r="H493" s="40">
        <v>18.38</v>
      </c>
      <c r="I493" s="40">
        <v>20.655000000000001</v>
      </c>
      <c r="J493" s="44"/>
      <c r="K493" s="40"/>
      <c r="L493" s="45">
        <v>18.38</v>
      </c>
      <c r="M493" s="46">
        <v>20.655000000000001</v>
      </c>
      <c r="N493" s="40">
        <f t="shared" si="42"/>
        <v>1.4798845032218916E-2</v>
      </c>
      <c r="O493" s="40">
        <f t="shared" si="43"/>
        <v>-3.4872596237757271E-2</v>
      </c>
      <c r="P493" s="40">
        <f t="shared" si="44"/>
        <v>-3.427155414250984E-2</v>
      </c>
      <c r="Q493" s="40"/>
      <c r="R493" s="40"/>
      <c r="S493" t="s">
        <v>2596</v>
      </c>
      <c r="T493">
        <v>4.49</v>
      </c>
      <c r="U493" s="40">
        <f t="shared" si="45"/>
        <v>-2.2246950221110513E-3</v>
      </c>
      <c r="V493" s="40">
        <f t="shared" si="46"/>
        <v>4.49</v>
      </c>
      <c r="W493" s="40">
        <f t="shared" si="47"/>
        <v>-2.2246950221110513E-3</v>
      </c>
    </row>
    <row r="494" spans="1:23" x14ac:dyDescent="0.2">
      <c r="A494" s="40" t="s">
        <v>1048</v>
      </c>
      <c r="B494" s="40">
        <v>16.22</v>
      </c>
      <c r="C494" s="40">
        <v>16.22</v>
      </c>
      <c r="D494" s="40">
        <v>16.22</v>
      </c>
      <c r="E494" s="40">
        <v>16.22</v>
      </c>
      <c r="G494" s="36">
        <v>44974</v>
      </c>
      <c r="H494" s="40">
        <v>18.11</v>
      </c>
      <c r="I494" s="40">
        <v>21.388000000000002</v>
      </c>
      <c r="J494" s="44"/>
      <c r="K494" s="40"/>
      <c r="L494" s="45">
        <v>18.11</v>
      </c>
      <c r="M494" s="46">
        <v>21.388000000000002</v>
      </c>
      <c r="N494" s="40">
        <f t="shared" si="42"/>
        <v>-5.8446007138413844E-2</v>
      </c>
      <c r="O494" s="40">
        <f t="shared" si="43"/>
        <v>-2.8303341230758696E-2</v>
      </c>
      <c r="P494" s="40">
        <f t="shared" si="44"/>
        <v>-2.7906553949640818E-2</v>
      </c>
      <c r="Q494" s="40"/>
      <c r="R494" s="40"/>
      <c r="S494" t="s">
        <v>2595</v>
      </c>
      <c r="T494">
        <v>4.5</v>
      </c>
      <c r="U494" s="40">
        <f t="shared" si="45"/>
        <v>-2.2197567383128881E-3</v>
      </c>
      <c r="V494" s="40">
        <f t="shared" si="46"/>
        <v>4.5</v>
      </c>
      <c r="W494" s="40">
        <f t="shared" si="47"/>
        <v>-2.2197567383128881E-3</v>
      </c>
    </row>
    <row r="495" spans="1:23" x14ac:dyDescent="0.2">
      <c r="A495" s="40" t="s">
        <v>1049</v>
      </c>
      <c r="B495" s="40">
        <v>18.47</v>
      </c>
      <c r="C495" s="40">
        <v>18.47</v>
      </c>
      <c r="D495" s="40">
        <v>18.47</v>
      </c>
      <c r="E495" s="40">
        <v>18.47</v>
      </c>
      <c r="G495" s="36">
        <v>44973</v>
      </c>
      <c r="H495" s="40">
        <v>19.2</v>
      </c>
      <c r="I495" s="40">
        <v>22.001999999999999</v>
      </c>
      <c r="J495" s="44"/>
      <c r="K495" s="40"/>
      <c r="L495" s="45">
        <v>19.2</v>
      </c>
      <c r="M495" s="46">
        <v>22.001999999999999</v>
      </c>
      <c r="N495" s="40">
        <f t="shared" si="42"/>
        <v>-9.625670140835578E-2</v>
      </c>
      <c r="O495" s="40">
        <f t="shared" si="43"/>
        <v>-3.4046982423633528E-2</v>
      </c>
      <c r="P495" s="40">
        <f t="shared" si="44"/>
        <v>-3.3473906167633127E-2</v>
      </c>
      <c r="Q495" s="40"/>
      <c r="R495" s="40"/>
      <c r="S495" t="s">
        <v>2594</v>
      </c>
      <c r="T495">
        <v>4.51</v>
      </c>
      <c r="U495" s="40">
        <f t="shared" si="45"/>
        <v>-4.4247859803558066E-3</v>
      </c>
      <c r="V495" s="40">
        <f t="shared" si="46"/>
        <v>4.51</v>
      </c>
      <c r="W495" s="40">
        <f t="shared" si="47"/>
        <v>-4.4247859803558066E-3</v>
      </c>
    </row>
    <row r="496" spans="1:23" x14ac:dyDescent="0.2">
      <c r="A496" s="40" t="s">
        <v>1050</v>
      </c>
      <c r="B496" s="40">
        <v>19.04</v>
      </c>
      <c r="C496" s="40">
        <v>19.04</v>
      </c>
      <c r="D496" s="40">
        <v>19.04</v>
      </c>
      <c r="E496" s="40">
        <v>19.04</v>
      </c>
      <c r="G496" s="36">
        <v>44972</v>
      </c>
      <c r="H496" s="40">
        <v>21.14</v>
      </c>
      <c r="I496" s="40">
        <v>22.763999999999999</v>
      </c>
      <c r="J496" s="44"/>
      <c r="K496" s="40"/>
      <c r="L496" s="45">
        <v>21.14</v>
      </c>
      <c r="M496" s="46">
        <v>22.763999999999999</v>
      </c>
      <c r="N496" s="40">
        <f t="shared" si="42"/>
        <v>0.22148929121818312</v>
      </c>
      <c r="O496" s="40">
        <f t="shared" si="43"/>
        <v>-9.0522100582187039E-3</v>
      </c>
      <c r="P496" s="40">
        <f t="shared" si="44"/>
        <v>-9.0113621522789934E-3</v>
      </c>
      <c r="Q496" s="40"/>
      <c r="R496" s="40"/>
      <c r="S496" t="s">
        <v>2593</v>
      </c>
      <c r="T496">
        <v>4.53</v>
      </c>
      <c r="U496" s="40">
        <f t="shared" si="45"/>
        <v>4.4247859803558569E-3</v>
      </c>
      <c r="V496" s="40">
        <f t="shared" si="46"/>
        <v>4.53</v>
      </c>
      <c r="W496" s="40">
        <f t="shared" si="47"/>
        <v>4.4247859803558569E-3</v>
      </c>
    </row>
    <row r="497" spans="1:23" x14ac:dyDescent="0.2">
      <c r="A497" s="40" t="s">
        <v>1051</v>
      </c>
      <c r="B497" s="40">
        <v>18.2</v>
      </c>
      <c r="C497" s="40">
        <v>18.2</v>
      </c>
      <c r="D497" s="40">
        <v>18.2</v>
      </c>
      <c r="E497" s="40">
        <v>18.2</v>
      </c>
      <c r="G497" s="36">
        <v>44971</v>
      </c>
      <c r="H497" s="40">
        <v>16.940000000000001</v>
      </c>
      <c r="I497" s="40">
        <v>22.971</v>
      </c>
      <c r="J497" s="44"/>
      <c r="K497" s="40"/>
      <c r="L497" s="45">
        <v>16.940000000000001</v>
      </c>
      <c r="M497" s="46">
        <v>22.971</v>
      </c>
      <c r="N497" s="40">
        <f t="shared" si="42"/>
        <v>-0.13198060399633099</v>
      </c>
      <c r="O497" s="40">
        <f t="shared" si="43"/>
        <v>5.2873191277667986E-2</v>
      </c>
      <c r="P497" s="40">
        <f t="shared" si="44"/>
        <v>5.4295942720763712E-2</v>
      </c>
      <c r="Q497" s="40"/>
      <c r="R497" s="40"/>
      <c r="S497" t="s">
        <v>2592</v>
      </c>
      <c r="T497">
        <v>4.51</v>
      </c>
      <c r="U497" s="40">
        <f t="shared" si="45"/>
        <v>2.21975673831281E-3</v>
      </c>
      <c r="V497" s="40">
        <f t="shared" si="46"/>
        <v>4.51</v>
      </c>
      <c r="W497" s="40">
        <f t="shared" si="47"/>
        <v>2.21975673831281E-3</v>
      </c>
    </row>
    <row r="498" spans="1:23" x14ac:dyDescent="0.2">
      <c r="A498" s="40" t="s">
        <v>1052</v>
      </c>
      <c r="B498" s="40">
        <v>20.12</v>
      </c>
      <c r="C498" s="40">
        <v>20.12</v>
      </c>
      <c r="D498" s="40">
        <v>20.12</v>
      </c>
      <c r="E498" s="40">
        <v>20.12</v>
      </c>
      <c r="G498" s="36">
        <v>44970</v>
      </c>
      <c r="H498" s="40">
        <v>19.329999999999998</v>
      </c>
      <c r="I498" s="40">
        <v>21.788</v>
      </c>
      <c r="J498" s="44"/>
      <c r="K498" s="40"/>
      <c r="L498" s="45">
        <v>19.329999999999998</v>
      </c>
      <c r="M498" s="46">
        <v>21.788</v>
      </c>
      <c r="N498" s="40">
        <f t="shared" si="42"/>
        <v>0.18782035158002633</v>
      </c>
      <c r="O498" s="40">
        <f t="shared" si="43"/>
        <v>2.4296830815831227E-2</v>
      </c>
      <c r="P498" s="40">
        <f t="shared" si="44"/>
        <v>2.4594403950152818E-2</v>
      </c>
      <c r="Q498" s="40"/>
      <c r="R498" s="40"/>
      <c r="S498" t="s">
        <v>2591</v>
      </c>
      <c r="T498">
        <v>4.5</v>
      </c>
      <c r="U498" s="40">
        <f t="shared" si="45"/>
        <v>-6.6445427186686131E-3</v>
      </c>
      <c r="V498" s="40">
        <f t="shared" si="46"/>
        <v>4.5</v>
      </c>
      <c r="W498" s="40">
        <f t="shared" si="47"/>
        <v>-6.6445427186686131E-3</v>
      </c>
    </row>
    <row r="499" spans="1:23" x14ac:dyDescent="0.2">
      <c r="A499" s="40" t="s">
        <v>1053</v>
      </c>
      <c r="B499" s="40">
        <v>21.48</v>
      </c>
      <c r="C499" s="40">
        <v>21.48</v>
      </c>
      <c r="D499" s="40">
        <v>21.48</v>
      </c>
      <c r="E499" s="40">
        <v>21.48</v>
      </c>
      <c r="G499" s="36">
        <v>44967</v>
      </c>
      <c r="H499" s="40">
        <v>16.02</v>
      </c>
      <c r="I499" s="40">
        <v>21.265000000000001</v>
      </c>
      <c r="J499" s="44"/>
      <c r="K499" s="40"/>
      <c r="L499" s="45">
        <v>16.02</v>
      </c>
      <c r="M499" s="46">
        <v>21.265000000000001</v>
      </c>
      <c r="N499" s="40">
        <f t="shared" si="42"/>
        <v>-0.10085600353672175</v>
      </c>
      <c r="O499" s="40">
        <f t="shared" si="43"/>
        <v>-4.9181967645822819E-2</v>
      </c>
      <c r="P499" s="40">
        <f t="shared" si="44"/>
        <v>-4.7992120696602011E-2</v>
      </c>
      <c r="Q499" s="40"/>
      <c r="R499" s="40"/>
      <c r="S499" t="s">
        <v>2590</v>
      </c>
      <c r="T499">
        <v>4.53</v>
      </c>
      <c r="U499" s="40">
        <f t="shared" si="45"/>
        <v>0</v>
      </c>
      <c r="V499" s="40">
        <f t="shared" si="46"/>
        <v>4.53</v>
      </c>
      <c r="W499" s="40">
        <f t="shared" si="47"/>
        <v>0</v>
      </c>
    </row>
    <row r="500" spans="1:23" x14ac:dyDescent="0.2">
      <c r="A500" s="40" t="s">
        <v>1054</v>
      </c>
      <c r="B500" s="40">
        <v>21.68</v>
      </c>
      <c r="C500" s="40">
        <v>21.68</v>
      </c>
      <c r="D500" s="40">
        <v>21.68</v>
      </c>
      <c r="E500" s="40">
        <v>21.68</v>
      </c>
      <c r="G500" s="36">
        <v>44966</v>
      </c>
      <c r="H500" s="40">
        <v>17.72</v>
      </c>
      <c r="I500" s="40">
        <v>22.337</v>
      </c>
      <c r="J500" s="44"/>
      <c r="K500" s="40"/>
      <c r="L500" s="45">
        <v>17.72</v>
      </c>
      <c r="M500" s="46">
        <v>22.337</v>
      </c>
      <c r="N500" s="40">
        <f t="shared" si="42"/>
        <v>-0.18916415742465656</v>
      </c>
      <c r="O500" s="40">
        <f t="shared" si="43"/>
        <v>5.9270076073541606E-3</v>
      </c>
      <c r="P500" s="40">
        <f t="shared" si="44"/>
        <v>5.9446070704796874E-3</v>
      </c>
      <c r="Q500" s="40"/>
      <c r="R500" s="40"/>
      <c r="S500" s="47">
        <v>45201</v>
      </c>
      <c r="T500">
        <v>4.53</v>
      </c>
      <c r="U500" s="40">
        <f t="shared" si="45"/>
        <v>0</v>
      </c>
      <c r="V500" s="40">
        <f t="shared" si="46"/>
        <v>4.53</v>
      </c>
      <c r="W500" s="40">
        <f t="shared" si="47"/>
        <v>0</v>
      </c>
    </row>
    <row r="501" spans="1:23" x14ac:dyDescent="0.2">
      <c r="A501" s="40" t="s">
        <v>1055</v>
      </c>
      <c r="B501" s="40">
        <v>26.93</v>
      </c>
      <c r="C501" s="40">
        <v>26.93</v>
      </c>
      <c r="D501" s="40">
        <v>26.93</v>
      </c>
      <c r="E501" s="40">
        <v>26.93</v>
      </c>
      <c r="G501" s="36">
        <v>44965</v>
      </c>
      <c r="H501" s="40">
        <v>21.41</v>
      </c>
      <c r="I501" s="40">
        <v>22.204999999999998</v>
      </c>
      <c r="J501" s="44"/>
      <c r="K501" s="40"/>
      <c r="L501" s="45">
        <v>21.41</v>
      </c>
      <c r="M501" s="46">
        <v>22.204999999999998</v>
      </c>
      <c r="N501" s="40">
        <f t="shared" si="42"/>
        <v>-4.1948325320256838E-3</v>
      </c>
      <c r="O501" s="40">
        <f t="shared" si="43"/>
        <v>1.4421562732061953E-3</v>
      </c>
      <c r="P501" s="40">
        <f t="shared" si="44"/>
        <v>1.4431966806476358E-3</v>
      </c>
      <c r="Q501" s="40"/>
      <c r="R501" s="40"/>
      <c r="S501" s="47">
        <v>45171</v>
      </c>
      <c r="T501">
        <v>4.53</v>
      </c>
      <c r="U501" s="40">
        <f t="shared" si="45"/>
        <v>4.4247859803558569E-3</v>
      </c>
      <c r="V501" s="40">
        <f t="shared" si="46"/>
        <v>4.53</v>
      </c>
      <c r="W501" s="40">
        <f t="shared" si="47"/>
        <v>4.4247859803558569E-3</v>
      </c>
    </row>
    <row r="502" spans="1:23" x14ac:dyDescent="0.2">
      <c r="A502" s="40" t="s">
        <v>1056</v>
      </c>
      <c r="B502" s="40">
        <v>20.27</v>
      </c>
      <c r="C502" s="40">
        <v>20.27</v>
      </c>
      <c r="D502" s="40">
        <v>20.27</v>
      </c>
      <c r="E502" s="40">
        <v>20.27</v>
      </c>
      <c r="G502" s="36">
        <v>44964</v>
      </c>
      <c r="H502" s="40">
        <v>21.5</v>
      </c>
      <c r="I502" s="40">
        <v>22.172999999999998</v>
      </c>
      <c r="J502" s="44"/>
      <c r="K502" s="40"/>
      <c r="L502" s="45">
        <v>21.5</v>
      </c>
      <c r="M502" s="46">
        <v>22.172999999999998</v>
      </c>
      <c r="N502" s="40">
        <f t="shared" si="42"/>
        <v>-5.6072553188772738E-2</v>
      </c>
      <c r="O502" s="40">
        <f t="shared" si="43"/>
        <v>5.0123754941231939E-2</v>
      </c>
      <c r="P502" s="40">
        <f t="shared" si="44"/>
        <v>5.1401204419365534E-2</v>
      </c>
      <c r="Q502" s="40"/>
      <c r="R502" s="40"/>
      <c r="S502" s="47">
        <v>45140</v>
      </c>
      <c r="T502">
        <v>4.51</v>
      </c>
      <c r="U502" s="40">
        <f t="shared" si="45"/>
        <v>4.4444517604239758E-3</v>
      </c>
      <c r="V502" s="40">
        <f t="shared" si="46"/>
        <v>4.51</v>
      </c>
      <c r="W502" s="40">
        <f t="shared" si="47"/>
        <v>4.4444517604239758E-3</v>
      </c>
    </row>
    <row r="503" spans="1:23" x14ac:dyDescent="0.2">
      <c r="A503" s="41">
        <v>41306</v>
      </c>
      <c r="B503" s="40">
        <v>12.94</v>
      </c>
      <c r="C503" s="40">
        <v>12.94</v>
      </c>
      <c r="D503" s="40">
        <v>12.94</v>
      </c>
      <c r="E503" s="40">
        <v>12.94</v>
      </c>
      <c r="G503" s="36">
        <v>44963</v>
      </c>
      <c r="H503" s="40">
        <v>22.74</v>
      </c>
      <c r="I503" s="40">
        <v>21.088999999999999</v>
      </c>
      <c r="J503" s="44"/>
      <c r="K503" s="40"/>
      <c r="L503" s="45">
        <v>22.74</v>
      </c>
      <c r="M503" s="46">
        <v>21.088999999999999</v>
      </c>
      <c r="N503" s="40">
        <f t="shared" si="42"/>
        <v>7.9603050598966871E-2</v>
      </c>
      <c r="O503" s="40">
        <f t="shared" si="43"/>
        <v>-5.2146295239356786E-4</v>
      </c>
      <c r="P503" s="40">
        <f t="shared" si="44"/>
        <v>-5.2132701421814145E-4</v>
      </c>
      <c r="Q503" s="40"/>
      <c r="R503" s="40"/>
      <c r="S503" s="47">
        <v>45109</v>
      </c>
      <c r="T503">
        <v>4.49</v>
      </c>
      <c r="U503" s="40">
        <f t="shared" si="45"/>
        <v>0</v>
      </c>
      <c r="V503" s="40">
        <f t="shared" si="46"/>
        <v>4.49</v>
      </c>
      <c r="W503" s="40">
        <f t="shared" si="47"/>
        <v>0</v>
      </c>
    </row>
    <row r="504" spans="1:23" x14ac:dyDescent="0.2">
      <c r="A504" s="41">
        <v>41334</v>
      </c>
      <c r="B504" s="40">
        <v>13.3</v>
      </c>
      <c r="C504" s="40">
        <v>13.3</v>
      </c>
      <c r="D504" s="40">
        <v>13.3</v>
      </c>
      <c r="E504" s="40">
        <v>13.3</v>
      </c>
      <c r="G504" s="36">
        <v>44960</v>
      </c>
      <c r="H504" s="40">
        <v>21</v>
      </c>
      <c r="I504" s="40">
        <v>21.1</v>
      </c>
      <c r="J504" s="44"/>
      <c r="K504" s="40"/>
      <c r="L504" s="45">
        <v>21</v>
      </c>
      <c r="M504" s="46">
        <v>21.1</v>
      </c>
      <c r="N504" s="40">
        <f t="shared" si="42"/>
        <v>6.7972983586205848E-2</v>
      </c>
      <c r="O504" s="40">
        <f t="shared" si="43"/>
        <v>-2.8453880624597472E-2</v>
      </c>
      <c r="P504" s="40">
        <f t="shared" si="44"/>
        <v>-2.8052881293472672E-2</v>
      </c>
      <c r="Q504" s="40"/>
      <c r="R504" s="40"/>
      <c r="S504" s="47">
        <v>45079</v>
      </c>
      <c r="T504">
        <v>4.49</v>
      </c>
      <c r="U504" s="40">
        <f t="shared" si="45"/>
        <v>2.2296553272690683E-3</v>
      </c>
      <c r="V504" s="40">
        <f t="shared" si="46"/>
        <v>4.49</v>
      </c>
      <c r="W504" s="40">
        <f t="shared" si="47"/>
        <v>2.2296553272690683E-3</v>
      </c>
    </row>
    <row r="505" spans="1:23" x14ac:dyDescent="0.2">
      <c r="A505" s="41">
        <v>41365</v>
      </c>
      <c r="B505" s="40">
        <v>11.62</v>
      </c>
      <c r="C505" s="40">
        <v>11.62</v>
      </c>
      <c r="D505" s="40">
        <v>11.62</v>
      </c>
      <c r="E505" s="40">
        <v>11.62</v>
      </c>
      <c r="G505" s="36">
        <v>44959</v>
      </c>
      <c r="H505" s="40">
        <v>19.62</v>
      </c>
      <c r="I505" s="40">
        <v>21.709</v>
      </c>
      <c r="J505" s="44"/>
      <c r="K505" s="40"/>
      <c r="L505" s="45">
        <v>19.62</v>
      </c>
      <c r="M505" s="46">
        <v>21.709</v>
      </c>
      <c r="N505" s="40">
        <f t="shared" si="42"/>
        <v>-5.2133919556459886E-2</v>
      </c>
      <c r="O505" s="40">
        <f t="shared" si="43"/>
        <v>3.5922459450244193E-2</v>
      </c>
      <c r="P505" s="40">
        <f t="shared" si="44"/>
        <v>3.6575466743064423E-2</v>
      </c>
      <c r="Q505" s="40"/>
      <c r="R505" s="40"/>
      <c r="S505" s="47">
        <v>44987</v>
      </c>
      <c r="T505">
        <v>4.4800000000000004</v>
      </c>
      <c r="U505" s="40">
        <f t="shared" si="45"/>
        <v>-2.2296553272690921E-3</v>
      </c>
      <c r="V505" s="40">
        <f t="shared" si="46"/>
        <v>4.4800000000000004</v>
      </c>
      <c r="W505" s="40">
        <f t="shared" si="47"/>
        <v>-2.2296553272690921E-3</v>
      </c>
    </row>
    <row r="506" spans="1:23" x14ac:dyDescent="0.2">
      <c r="A506" s="41">
        <v>41456</v>
      </c>
      <c r="B506" s="40">
        <v>11.99</v>
      </c>
      <c r="C506" s="40">
        <v>11.99</v>
      </c>
      <c r="D506" s="40">
        <v>11.99</v>
      </c>
      <c r="E506" s="40">
        <v>11.99</v>
      </c>
      <c r="G506" s="36">
        <v>44958</v>
      </c>
      <c r="H506" s="40">
        <v>20.67</v>
      </c>
      <c r="I506" s="40">
        <v>20.943000000000001</v>
      </c>
      <c r="J506" s="44"/>
      <c r="K506" s="40"/>
      <c r="L506" s="45">
        <v>20.67</v>
      </c>
      <c r="M506" s="46">
        <v>20.943000000000001</v>
      </c>
      <c r="N506" s="40">
        <f t="shared" si="42"/>
        <v>0.15173463612965285</v>
      </c>
      <c r="O506" s="40">
        <f t="shared" si="43"/>
        <v>6.9494358046875676E-2</v>
      </c>
      <c r="P506" s="40">
        <f t="shared" si="44"/>
        <v>7.1966013205712359E-2</v>
      </c>
      <c r="Q506" s="40"/>
      <c r="R506" s="40"/>
      <c r="S506" s="47">
        <v>44959</v>
      </c>
      <c r="T506">
        <v>4.49</v>
      </c>
      <c r="U506" s="40">
        <f t="shared" si="45"/>
        <v>6.7039357221903547E-3</v>
      </c>
      <c r="V506" s="40">
        <f t="shared" si="46"/>
        <v>4.49</v>
      </c>
      <c r="W506" s="40">
        <f t="shared" si="47"/>
        <v>6.7039357221903547E-3</v>
      </c>
    </row>
    <row r="507" spans="1:23" x14ac:dyDescent="0.2">
      <c r="A507" s="41">
        <v>41487</v>
      </c>
      <c r="B507" s="40">
        <v>11.76</v>
      </c>
      <c r="C507" s="40">
        <v>11.76</v>
      </c>
      <c r="D507" s="40">
        <v>11.76</v>
      </c>
      <c r="E507" s="40">
        <v>11.76</v>
      </c>
      <c r="G507" s="36">
        <v>44957</v>
      </c>
      <c r="H507" s="40">
        <v>17.760000000000002</v>
      </c>
      <c r="I507" s="40">
        <v>19.536999999999999</v>
      </c>
      <c r="J507" s="44"/>
      <c r="K507" s="40"/>
      <c r="L507" s="45">
        <v>17.760000000000002</v>
      </c>
      <c r="M507" s="46">
        <v>19.536999999999999</v>
      </c>
      <c r="N507" s="40">
        <f t="shared" si="42"/>
        <v>-7.4309045888137373E-2</v>
      </c>
      <c r="O507" s="40">
        <f t="shared" si="43"/>
        <v>1.9380952380816784E-2</v>
      </c>
      <c r="P507" s="40">
        <f t="shared" si="44"/>
        <v>1.956998225654942E-2</v>
      </c>
      <c r="Q507" s="40"/>
      <c r="R507" s="40"/>
      <c r="S507" s="47">
        <v>44928</v>
      </c>
      <c r="T507">
        <v>4.46</v>
      </c>
      <c r="U507" s="40">
        <f t="shared" si="45"/>
        <v>2.2446698538237278E-3</v>
      </c>
      <c r="V507" s="40">
        <f t="shared" si="46"/>
        <v>4.46</v>
      </c>
      <c r="W507" s="40">
        <f t="shared" si="47"/>
        <v>2.2446698538237278E-3</v>
      </c>
    </row>
    <row r="508" spans="1:23" x14ac:dyDescent="0.2">
      <c r="A508" s="41">
        <v>41518</v>
      </c>
      <c r="B508" s="40">
        <v>11.6</v>
      </c>
      <c r="C508" s="40">
        <v>11.6</v>
      </c>
      <c r="D508" s="40">
        <v>11.6</v>
      </c>
      <c r="E508" s="40">
        <v>11.6</v>
      </c>
      <c r="G508" s="36">
        <v>44956</v>
      </c>
      <c r="H508" s="40">
        <v>19.13</v>
      </c>
      <c r="I508" s="40">
        <v>19.161999999999999</v>
      </c>
      <c r="J508" s="44"/>
      <c r="K508" s="40"/>
      <c r="L508" s="45">
        <v>19.13</v>
      </c>
      <c r="M508" s="46">
        <v>19.161999999999999</v>
      </c>
      <c r="N508" s="40">
        <f t="shared" si="42"/>
        <v>3.024905609410709E-2</v>
      </c>
      <c r="O508" s="40">
        <f t="shared" si="43"/>
        <v>-6.0888589871694307E-2</v>
      </c>
      <c r="P508" s="40">
        <f t="shared" si="44"/>
        <v>-5.9071937147066017E-2</v>
      </c>
      <c r="Q508" s="40"/>
      <c r="R508" s="40"/>
      <c r="S508" t="s">
        <v>2589</v>
      </c>
      <c r="T508">
        <v>4.45</v>
      </c>
      <c r="U508" s="40">
        <f t="shared" si="45"/>
        <v>-4.4843124473285759E-3</v>
      </c>
      <c r="V508" s="40">
        <f t="shared" si="46"/>
        <v>4.45</v>
      </c>
      <c r="W508" s="40">
        <f t="shared" si="47"/>
        <v>-4.4843124473285759E-3</v>
      </c>
    </row>
    <row r="509" spans="1:23" x14ac:dyDescent="0.2">
      <c r="A509" s="41">
        <v>41548</v>
      </c>
      <c r="B509" s="40">
        <v>11.17</v>
      </c>
      <c r="C509" s="40">
        <v>11.17</v>
      </c>
      <c r="D509" s="40">
        <v>11.17</v>
      </c>
      <c r="E509" s="40">
        <v>11.17</v>
      </c>
      <c r="G509" s="36">
        <v>44953</v>
      </c>
      <c r="H509" s="40">
        <v>18.559999999999999</v>
      </c>
      <c r="I509" s="40">
        <v>20.364999999999998</v>
      </c>
      <c r="J509" s="44"/>
      <c r="K509" s="40"/>
      <c r="L509" s="45">
        <v>18.559999999999999</v>
      </c>
      <c r="M509" s="46">
        <v>20.364999999999998</v>
      </c>
      <c r="N509" s="40">
        <f t="shared" si="42"/>
        <v>-0.15814515433500892</v>
      </c>
      <c r="O509" s="40">
        <f t="shared" si="43"/>
        <v>2.8034798400052883E-2</v>
      </c>
      <c r="P509" s="40">
        <f t="shared" si="44"/>
        <v>2.8431471568528374E-2</v>
      </c>
      <c r="Q509" s="40"/>
      <c r="R509" s="40"/>
      <c r="S509" t="s">
        <v>2588</v>
      </c>
      <c r="T509">
        <v>4.47</v>
      </c>
      <c r="U509" s="40">
        <f t="shared" si="45"/>
        <v>-2.2346378014164881E-3</v>
      </c>
      <c r="V509" s="40">
        <f t="shared" si="46"/>
        <v>4.47</v>
      </c>
      <c r="W509" s="40">
        <f t="shared" si="47"/>
        <v>-2.2346378014164881E-3</v>
      </c>
    </row>
    <row r="510" spans="1:23" x14ac:dyDescent="0.2">
      <c r="A510" s="41">
        <v>41579</v>
      </c>
      <c r="B510" s="40">
        <v>11.22</v>
      </c>
      <c r="C510" s="40">
        <v>11.22</v>
      </c>
      <c r="D510" s="40">
        <v>11.22</v>
      </c>
      <c r="E510" s="40">
        <v>11.22</v>
      </c>
      <c r="G510" s="36">
        <v>44952</v>
      </c>
      <c r="H510" s="40">
        <v>21.74</v>
      </c>
      <c r="I510" s="40">
        <v>19.802</v>
      </c>
      <c r="J510" s="44"/>
      <c r="K510" s="40"/>
      <c r="L510" s="45">
        <v>21.74</v>
      </c>
      <c r="M510" s="46">
        <v>19.802</v>
      </c>
      <c r="N510" s="40">
        <f t="shared" si="42"/>
        <v>-3.0799535950950557E-2</v>
      </c>
      <c r="O510" s="40">
        <f t="shared" si="43"/>
        <v>2.4486846467459529E-2</v>
      </c>
      <c r="P510" s="40">
        <f t="shared" si="44"/>
        <v>2.4789111421621858E-2</v>
      </c>
      <c r="Q510" s="40"/>
      <c r="R510" s="40"/>
      <c r="S510" t="s">
        <v>2587</v>
      </c>
      <c r="T510">
        <v>4.4800000000000004</v>
      </c>
      <c r="U510" s="40">
        <f t="shared" si="45"/>
        <v>-2.2296553272690921E-3</v>
      </c>
      <c r="V510" s="40">
        <f t="shared" si="46"/>
        <v>4.4800000000000004</v>
      </c>
      <c r="W510" s="40">
        <f t="shared" si="47"/>
        <v>-2.2296553272690921E-3</v>
      </c>
    </row>
    <row r="511" spans="1:23" x14ac:dyDescent="0.2">
      <c r="A511" s="40" t="s">
        <v>1057</v>
      </c>
      <c r="B511" s="40">
        <v>12.15</v>
      </c>
      <c r="C511" s="40">
        <v>12.15</v>
      </c>
      <c r="D511" s="40">
        <v>12.15</v>
      </c>
      <c r="E511" s="40">
        <v>12.15</v>
      </c>
      <c r="G511" s="36">
        <v>44951</v>
      </c>
      <c r="H511" s="40">
        <v>22.42</v>
      </c>
      <c r="I511" s="40">
        <v>19.323</v>
      </c>
      <c r="J511" s="44"/>
      <c r="K511" s="40"/>
      <c r="L511" s="45">
        <v>22.42</v>
      </c>
      <c r="M511" s="46">
        <v>19.323</v>
      </c>
      <c r="N511" s="40">
        <f t="shared" si="42"/>
        <v>0.1127222679662869</v>
      </c>
      <c r="O511" s="40">
        <f t="shared" si="43"/>
        <v>3.0061181547423395E-3</v>
      </c>
      <c r="P511" s="40">
        <f t="shared" si="44"/>
        <v>3.010641058915122E-3</v>
      </c>
      <c r="Q511" s="40"/>
      <c r="R511" s="40"/>
      <c r="S511" t="s">
        <v>2586</v>
      </c>
      <c r="T511">
        <v>4.49</v>
      </c>
      <c r="U511" s="40">
        <f t="shared" si="45"/>
        <v>4.4642931286855278E-3</v>
      </c>
      <c r="V511" s="40">
        <f t="shared" si="46"/>
        <v>4.49</v>
      </c>
      <c r="W511" s="40">
        <f t="shared" si="47"/>
        <v>4.4642931286855278E-3</v>
      </c>
    </row>
    <row r="512" spans="1:23" x14ac:dyDescent="0.2">
      <c r="A512" s="40" t="s">
        <v>1058</v>
      </c>
      <c r="B512" s="40">
        <v>12.05</v>
      </c>
      <c r="C512" s="40">
        <v>12.05</v>
      </c>
      <c r="D512" s="40">
        <v>12.05</v>
      </c>
      <c r="E512" s="40">
        <v>12.05</v>
      </c>
      <c r="G512" s="36">
        <v>44950</v>
      </c>
      <c r="H512" s="40">
        <v>20.03</v>
      </c>
      <c r="I512" s="40">
        <v>19.265000000000001</v>
      </c>
      <c r="J512" s="44"/>
      <c r="K512" s="40"/>
      <c r="L512" s="45">
        <v>20.03</v>
      </c>
      <c r="M512" s="46">
        <v>19.265000000000001</v>
      </c>
      <c r="N512" s="40">
        <f t="shared" si="42"/>
        <v>-4.9669410450663497E-2</v>
      </c>
      <c r="O512" s="40">
        <f t="shared" si="43"/>
        <v>3.7443488543798917E-3</v>
      </c>
      <c r="P512" s="40">
        <f t="shared" si="44"/>
        <v>3.7513676861355271E-3</v>
      </c>
      <c r="Q512" s="40"/>
      <c r="R512" s="40"/>
      <c r="S512" t="s">
        <v>2585</v>
      </c>
      <c r="T512">
        <v>4.47</v>
      </c>
      <c r="U512" s="40">
        <f t="shared" si="45"/>
        <v>-4.4642931286856041E-3</v>
      </c>
      <c r="V512" s="40">
        <f t="shared" si="46"/>
        <v>4.47</v>
      </c>
      <c r="W512" s="40">
        <f t="shared" si="47"/>
        <v>-4.4642931286856041E-3</v>
      </c>
    </row>
    <row r="513" spans="1:23" x14ac:dyDescent="0.2">
      <c r="A513" s="40" t="s">
        <v>1059</v>
      </c>
      <c r="B513" s="40">
        <v>11.83</v>
      </c>
      <c r="C513" s="40">
        <v>11.83</v>
      </c>
      <c r="D513" s="40">
        <v>11.83</v>
      </c>
      <c r="E513" s="40">
        <v>11.83</v>
      </c>
      <c r="G513" s="36">
        <v>44949</v>
      </c>
      <c r="H513" s="40">
        <v>21.05</v>
      </c>
      <c r="I513" s="40">
        <v>19.193000000000001</v>
      </c>
      <c r="J513" s="44"/>
      <c r="K513" s="40"/>
      <c r="L513" s="45">
        <v>21.05</v>
      </c>
      <c r="M513" s="46">
        <v>19.193000000000001</v>
      </c>
      <c r="N513" s="40">
        <f t="shared" si="42"/>
        <v>-4.4596335409979898E-2</v>
      </c>
      <c r="O513" s="40">
        <f t="shared" si="43"/>
        <v>7.3158557454610584E-2</v>
      </c>
      <c r="P513" s="40">
        <f t="shared" si="44"/>
        <v>7.590111553338208E-2</v>
      </c>
      <c r="Q513" s="40"/>
      <c r="R513" s="40"/>
      <c r="S513" t="s">
        <v>2584</v>
      </c>
      <c r="T513">
        <v>4.49</v>
      </c>
      <c r="U513" s="40">
        <f t="shared" si="45"/>
        <v>0</v>
      </c>
      <c r="V513" s="40">
        <f t="shared" si="46"/>
        <v>4.49</v>
      </c>
      <c r="W513" s="40">
        <f t="shared" si="47"/>
        <v>0</v>
      </c>
    </row>
    <row r="514" spans="1:23" x14ac:dyDescent="0.2">
      <c r="A514" s="40" t="s">
        <v>1060</v>
      </c>
      <c r="B514" s="40">
        <v>12.39</v>
      </c>
      <c r="C514" s="40">
        <v>12.39</v>
      </c>
      <c r="D514" s="40">
        <v>12.39</v>
      </c>
      <c r="E514" s="40">
        <v>12.39</v>
      </c>
      <c r="G514" s="36">
        <v>44946</v>
      </c>
      <c r="H514" s="40">
        <v>22.01</v>
      </c>
      <c r="I514" s="40">
        <v>17.838999999999999</v>
      </c>
      <c r="J514" s="44"/>
      <c r="K514" s="40"/>
      <c r="L514" s="45">
        <v>22.01</v>
      </c>
      <c r="M514" s="46">
        <v>17.838999999999999</v>
      </c>
      <c r="N514" s="40">
        <f t="shared" si="42"/>
        <v>7.7537446616659789E-3</v>
      </c>
      <c r="O514" s="40">
        <f t="shared" si="43"/>
        <v>6.20936918509385E-2</v>
      </c>
      <c r="P514" s="40">
        <f t="shared" si="44"/>
        <v>6.4062033999403398E-2</v>
      </c>
      <c r="Q514" s="40"/>
      <c r="R514" s="40"/>
      <c r="S514" t="s">
        <v>2583</v>
      </c>
      <c r="T514">
        <v>4.49</v>
      </c>
      <c r="U514" s="40">
        <f t="shared" si="45"/>
        <v>2.2296553272690683E-3</v>
      </c>
      <c r="V514" s="40">
        <f t="shared" si="46"/>
        <v>4.49</v>
      </c>
      <c r="W514" s="40">
        <f t="shared" si="47"/>
        <v>2.2296553272690683E-3</v>
      </c>
    </row>
    <row r="515" spans="1:23" x14ac:dyDescent="0.2">
      <c r="A515" s="40" t="s">
        <v>1061</v>
      </c>
      <c r="B515" s="40">
        <v>10.9</v>
      </c>
      <c r="C515" s="40">
        <v>10.9</v>
      </c>
      <c r="D515" s="40">
        <v>10.9</v>
      </c>
      <c r="E515" s="40">
        <v>10.9</v>
      </c>
      <c r="G515" s="36">
        <v>44945</v>
      </c>
      <c r="H515" s="40">
        <v>21.84</v>
      </c>
      <c r="I515" s="40">
        <v>16.765000000000001</v>
      </c>
      <c r="J515" s="44"/>
      <c r="K515" s="40"/>
      <c r="L515" s="45">
        <v>21.84</v>
      </c>
      <c r="M515" s="46">
        <v>16.765000000000001</v>
      </c>
      <c r="N515" s="40">
        <f t="shared" ref="N515:N578" si="48">LN(L515/L516)</f>
        <v>2.7386255506278431E-2</v>
      </c>
      <c r="O515" s="40">
        <f t="shared" ref="O515:O578" si="49">LN(M515/M516)</f>
        <v>-3.585411282192541E-2</v>
      </c>
      <c r="P515" s="40">
        <f t="shared" ref="P515:P578" si="50">(M515-M516)/M516</f>
        <v>-3.5218967600851608E-2</v>
      </c>
      <c r="Q515" s="40"/>
      <c r="R515" s="40"/>
      <c r="S515" t="s">
        <v>2582</v>
      </c>
      <c r="T515">
        <v>4.4800000000000004</v>
      </c>
      <c r="U515" s="40">
        <f t="shared" ref="U515:U578" si="51">LN(T515/T516)</f>
        <v>-2.2296553272690921E-3</v>
      </c>
      <c r="V515" s="40">
        <f t="shared" ref="V515:V578" si="52">IF(T515=0, 0.001,T515)</f>
        <v>4.4800000000000004</v>
      </c>
      <c r="W515" s="40">
        <f t="shared" ref="W515:W578" si="53">LN(V515/V516)</f>
        <v>-2.2296553272690921E-3</v>
      </c>
    </row>
    <row r="516" spans="1:23" x14ac:dyDescent="0.2">
      <c r="A516" s="40" t="s">
        <v>1062</v>
      </c>
      <c r="B516" s="40">
        <v>11.21</v>
      </c>
      <c r="C516" s="40">
        <v>11.21</v>
      </c>
      <c r="D516" s="40">
        <v>11.21</v>
      </c>
      <c r="E516" s="40">
        <v>11.21</v>
      </c>
      <c r="G516" s="36">
        <v>44944</v>
      </c>
      <c r="H516" s="40">
        <v>21.25</v>
      </c>
      <c r="I516" s="40">
        <v>17.376999999999999</v>
      </c>
      <c r="J516" s="44"/>
      <c r="K516" s="40"/>
      <c r="L516" s="45">
        <v>21.25</v>
      </c>
      <c r="M516" s="46">
        <v>17.376999999999999</v>
      </c>
      <c r="N516" s="40">
        <f t="shared" si="48"/>
        <v>0.15164402020360329</v>
      </c>
      <c r="O516" s="40">
        <f t="shared" si="49"/>
        <v>-1.8530134806568014E-2</v>
      </c>
      <c r="P516" s="40">
        <f t="shared" si="50"/>
        <v>-1.835950740029391E-2</v>
      </c>
      <c r="Q516" s="40"/>
      <c r="R516" s="40"/>
      <c r="S516" t="s">
        <v>2581</v>
      </c>
      <c r="T516">
        <v>4.49</v>
      </c>
      <c r="U516" s="40">
        <f t="shared" si="51"/>
        <v>2.2523474667083137E-2</v>
      </c>
      <c r="V516" s="40">
        <f t="shared" si="52"/>
        <v>4.49</v>
      </c>
      <c r="W516" s="40">
        <f t="shared" si="53"/>
        <v>2.2523474667083137E-2</v>
      </c>
    </row>
    <row r="517" spans="1:23" x14ac:dyDescent="0.2">
      <c r="A517" s="40" t="s">
        <v>1063</v>
      </c>
      <c r="B517" s="40">
        <v>11.04</v>
      </c>
      <c r="C517" s="40">
        <v>11.04</v>
      </c>
      <c r="D517" s="40">
        <v>11.04</v>
      </c>
      <c r="E517" s="40">
        <v>11.04</v>
      </c>
      <c r="G517" s="36">
        <v>44943</v>
      </c>
      <c r="H517" s="40">
        <v>18.260000000000002</v>
      </c>
      <c r="I517" s="40">
        <v>17.702000000000002</v>
      </c>
      <c r="J517" s="44"/>
      <c r="K517" s="40"/>
      <c r="L517" s="45">
        <v>18.260000000000002</v>
      </c>
      <c r="M517" s="46">
        <v>17.702000000000002</v>
      </c>
      <c r="N517" s="40">
        <f t="shared" si="48"/>
        <v>-1.0946908591815245E-3</v>
      </c>
      <c r="O517" s="40">
        <f t="shared" si="49"/>
        <v>4.6423178965998735E-2</v>
      </c>
      <c r="P517" s="40">
        <f t="shared" si="50"/>
        <v>4.7517604591987735E-2</v>
      </c>
      <c r="Q517" s="40"/>
      <c r="R517" s="40"/>
      <c r="S517" t="s">
        <v>2580</v>
      </c>
      <c r="T517">
        <v>4.3899999999999997</v>
      </c>
      <c r="U517" s="40">
        <f t="shared" si="51"/>
        <v>-2.2753138371356509E-3</v>
      </c>
      <c r="V517" s="40">
        <f t="shared" si="52"/>
        <v>4.3899999999999997</v>
      </c>
      <c r="W517" s="40">
        <f t="shared" si="53"/>
        <v>-2.2753138371356509E-3</v>
      </c>
    </row>
    <row r="518" spans="1:23" x14ac:dyDescent="0.2">
      <c r="A518" s="40" t="s">
        <v>1064</v>
      </c>
      <c r="B518" s="40">
        <v>11.12</v>
      </c>
      <c r="C518" s="40">
        <v>11.12</v>
      </c>
      <c r="D518" s="40">
        <v>11.12</v>
      </c>
      <c r="E518" s="40">
        <v>11.12</v>
      </c>
      <c r="G518" s="36">
        <v>44939</v>
      </c>
      <c r="H518" s="40">
        <v>18.28</v>
      </c>
      <c r="I518" s="40">
        <v>16.899000000000001</v>
      </c>
      <c r="J518" s="44"/>
      <c r="K518" s="40"/>
      <c r="L518" s="45">
        <v>18.28</v>
      </c>
      <c r="M518" s="46">
        <v>16.899000000000001</v>
      </c>
      <c r="N518" s="40">
        <f t="shared" si="48"/>
        <v>5.8575300790457148E-2</v>
      </c>
      <c r="O518" s="40">
        <f t="shared" si="49"/>
        <v>2.3227623130991307E-2</v>
      </c>
      <c r="P518" s="40">
        <f t="shared" si="50"/>
        <v>2.349948519169049E-2</v>
      </c>
      <c r="Q518" s="40"/>
      <c r="R518" s="40"/>
      <c r="S518" t="s">
        <v>2579</v>
      </c>
      <c r="T518">
        <v>4.4000000000000004</v>
      </c>
      <c r="U518" s="40">
        <f t="shared" si="51"/>
        <v>4.5558165358608824E-3</v>
      </c>
      <c r="V518" s="40">
        <f t="shared" si="52"/>
        <v>4.4000000000000004</v>
      </c>
      <c r="W518" s="40">
        <f t="shared" si="53"/>
        <v>4.5558165358608824E-3</v>
      </c>
    </row>
    <row r="519" spans="1:23" x14ac:dyDescent="0.2">
      <c r="A519" s="40" t="s">
        <v>1065</v>
      </c>
      <c r="B519" s="40">
        <v>11.63</v>
      </c>
      <c r="C519" s="40">
        <v>11.63</v>
      </c>
      <c r="D519" s="40">
        <v>11.63</v>
      </c>
      <c r="E519" s="40">
        <v>11.63</v>
      </c>
      <c r="G519" s="36">
        <v>44938</v>
      </c>
      <c r="H519" s="40">
        <v>17.239999999999998</v>
      </c>
      <c r="I519" s="40">
        <v>16.510999999999999</v>
      </c>
      <c r="J519" s="44"/>
      <c r="K519" s="40"/>
      <c r="L519" s="45">
        <v>17.239999999999998</v>
      </c>
      <c r="M519" s="46">
        <v>16.510999999999999</v>
      </c>
      <c r="N519" s="40">
        <f t="shared" si="48"/>
        <v>3.7227341610343412E-2</v>
      </c>
      <c r="O519" s="40">
        <f t="shared" si="49"/>
        <v>3.1375605162957662E-2</v>
      </c>
      <c r="P519" s="40">
        <f t="shared" si="50"/>
        <v>3.187300793700381E-2</v>
      </c>
      <c r="Q519" s="40"/>
      <c r="R519" s="40"/>
      <c r="S519" t="s">
        <v>2578</v>
      </c>
      <c r="T519">
        <v>4.38</v>
      </c>
      <c r="U519" s="40">
        <f t="shared" si="51"/>
        <v>2.2857152808558609E-3</v>
      </c>
      <c r="V519" s="40">
        <f t="shared" si="52"/>
        <v>4.38</v>
      </c>
      <c r="W519" s="40">
        <f t="shared" si="53"/>
        <v>2.2857152808558609E-3</v>
      </c>
    </row>
    <row r="520" spans="1:23" x14ac:dyDescent="0.2">
      <c r="A520" s="40" t="s">
        <v>1066</v>
      </c>
      <c r="B520" s="40">
        <v>13.01</v>
      </c>
      <c r="C520" s="40">
        <v>13.01</v>
      </c>
      <c r="D520" s="40">
        <v>13.01</v>
      </c>
      <c r="E520" s="40">
        <v>13.01</v>
      </c>
      <c r="G520" s="36">
        <v>44937</v>
      </c>
      <c r="H520" s="40">
        <v>16.61</v>
      </c>
      <c r="I520" s="40">
        <v>16.001000000000001</v>
      </c>
      <c r="J520" s="44"/>
      <c r="K520" s="40"/>
      <c r="L520" s="45">
        <v>16.61</v>
      </c>
      <c r="M520" s="46">
        <v>16.001000000000001</v>
      </c>
      <c r="N520" s="40">
        <f t="shared" si="48"/>
        <v>0.11402730375726255</v>
      </c>
      <c r="O520" s="40">
        <f t="shared" si="49"/>
        <v>5.7662334636350296E-3</v>
      </c>
      <c r="P520" s="40">
        <f t="shared" si="50"/>
        <v>5.7828901879439639E-3</v>
      </c>
      <c r="Q520" s="40"/>
      <c r="R520" s="40"/>
      <c r="S520" s="47">
        <v>45261</v>
      </c>
      <c r="T520">
        <v>4.37</v>
      </c>
      <c r="U520" s="40">
        <f t="shared" si="51"/>
        <v>3.9678483818176236E-2</v>
      </c>
      <c r="V520" s="40">
        <f t="shared" si="52"/>
        <v>4.37</v>
      </c>
      <c r="W520" s="40">
        <f t="shared" si="53"/>
        <v>3.9678483818176236E-2</v>
      </c>
    </row>
    <row r="521" spans="1:23" x14ac:dyDescent="0.2">
      <c r="A521" s="40" t="s">
        <v>1067</v>
      </c>
      <c r="B521" s="40">
        <v>13.16</v>
      </c>
      <c r="C521" s="40">
        <v>13.16</v>
      </c>
      <c r="D521" s="40">
        <v>13.16</v>
      </c>
      <c r="E521" s="40">
        <v>13.16</v>
      </c>
      <c r="G521" s="36">
        <v>44936</v>
      </c>
      <c r="H521" s="40">
        <v>14.82</v>
      </c>
      <c r="I521" s="40">
        <v>15.909000000000001</v>
      </c>
      <c r="J521" s="44"/>
      <c r="K521" s="40"/>
      <c r="L521" s="45">
        <v>14.82</v>
      </c>
      <c r="M521" s="46">
        <v>15.909000000000001</v>
      </c>
      <c r="N521" s="40">
        <f t="shared" si="48"/>
        <v>-0.10495557538098292</v>
      </c>
      <c r="O521" s="40">
        <f t="shared" si="49"/>
        <v>1.7820809630278496E-2</v>
      </c>
      <c r="P521" s="40">
        <f t="shared" si="50"/>
        <v>1.7980547734834949E-2</v>
      </c>
      <c r="Q521" s="40"/>
      <c r="R521" s="40"/>
      <c r="S521" s="47">
        <v>45231</v>
      </c>
      <c r="T521">
        <v>4.2</v>
      </c>
      <c r="U521" s="40">
        <f t="shared" si="51"/>
        <v>0</v>
      </c>
      <c r="V521" s="40">
        <f t="shared" si="52"/>
        <v>4.2</v>
      </c>
      <c r="W521" s="40">
        <f t="shared" si="53"/>
        <v>0</v>
      </c>
    </row>
    <row r="522" spans="1:23" x14ac:dyDescent="0.2">
      <c r="A522" s="40" t="s">
        <v>1068</v>
      </c>
      <c r="B522" s="40">
        <v>14.24</v>
      </c>
      <c r="C522" s="40">
        <v>14.24</v>
      </c>
      <c r="D522" s="40">
        <v>14.24</v>
      </c>
      <c r="E522" s="40">
        <v>14.24</v>
      </c>
      <c r="G522" s="36">
        <v>44935</v>
      </c>
      <c r="H522" s="40">
        <v>16.46</v>
      </c>
      <c r="I522" s="40">
        <v>15.628</v>
      </c>
      <c r="J522" s="44"/>
      <c r="K522" s="40"/>
      <c r="L522" s="45">
        <v>16.46</v>
      </c>
      <c r="M522" s="46">
        <v>15.628</v>
      </c>
      <c r="N522" s="40">
        <f t="shared" si="48"/>
        <v>-0.30857409256391177</v>
      </c>
      <c r="O522" s="40">
        <f t="shared" si="49"/>
        <v>5.04584349186138E-2</v>
      </c>
      <c r="P522" s="40">
        <f t="shared" si="50"/>
        <v>5.1753146241335229E-2</v>
      </c>
      <c r="Q522" s="40"/>
      <c r="R522" s="40"/>
      <c r="S522" s="47">
        <v>45200</v>
      </c>
      <c r="T522">
        <v>4.2</v>
      </c>
      <c r="U522" s="40">
        <f t="shared" si="51"/>
        <v>7.168489478612497E-3</v>
      </c>
      <c r="V522" s="40">
        <f t="shared" si="52"/>
        <v>4.2</v>
      </c>
      <c r="W522" s="40">
        <f t="shared" si="53"/>
        <v>7.168489478612497E-3</v>
      </c>
    </row>
    <row r="523" spans="1:23" x14ac:dyDescent="0.2">
      <c r="A523" s="40" t="s">
        <v>1069</v>
      </c>
      <c r="B523" s="40">
        <v>14.03</v>
      </c>
      <c r="C523" s="40">
        <v>14.03</v>
      </c>
      <c r="D523" s="40">
        <v>14.03</v>
      </c>
      <c r="E523" s="40">
        <v>14.03</v>
      </c>
      <c r="G523" s="36">
        <v>44932</v>
      </c>
      <c r="H523" s="40">
        <v>22.41</v>
      </c>
      <c r="I523" s="40">
        <v>14.859</v>
      </c>
      <c r="J523" s="44"/>
      <c r="K523" s="40"/>
      <c r="L523" s="45">
        <v>22.41</v>
      </c>
      <c r="M523" s="46">
        <v>14.859</v>
      </c>
      <c r="N523" s="40">
        <f t="shared" si="48"/>
        <v>4.1454352679218598E-2</v>
      </c>
      <c r="O523" s="40">
        <f t="shared" si="49"/>
        <v>4.0796757608747028E-2</v>
      </c>
      <c r="P523" s="40">
        <f t="shared" si="50"/>
        <v>4.1640378548895858E-2</v>
      </c>
      <c r="Q523" s="40"/>
      <c r="R523" s="40"/>
      <c r="S523" s="47">
        <v>45170</v>
      </c>
      <c r="T523">
        <v>4.17</v>
      </c>
      <c r="U523" s="40">
        <f t="shared" si="51"/>
        <v>7.2202479734870973E-3</v>
      </c>
      <c r="V523" s="40">
        <f t="shared" si="52"/>
        <v>4.17</v>
      </c>
      <c r="W523" s="40">
        <f t="shared" si="53"/>
        <v>7.2202479734870973E-3</v>
      </c>
    </row>
    <row r="524" spans="1:23" x14ac:dyDescent="0.2">
      <c r="A524" s="41">
        <v>41276</v>
      </c>
      <c r="B524" s="40">
        <v>10.85</v>
      </c>
      <c r="C524" s="40">
        <v>10.85</v>
      </c>
      <c r="D524" s="40">
        <v>10.85</v>
      </c>
      <c r="E524" s="40">
        <v>10.85</v>
      </c>
      <c r="G524" s="36">
        <v>44931</v>
      </c>
      <c r="H524" s="40">
        <v>21.5</v>
      </c>
      <c r="I524" s="40">
        <v>14.265000000000001</v>
      </c>
      <c r="J524" s="44"/>
      <c r="K524" s="40"/>
      <c r="L524" s="45">
        <v>21.5</v>
      </c>
      <c r="M524" s="46">
        <v>14.265000000000001</v>
      </c>
      <c r="N524" s="40">
        <f t="shared" si="48"/>
        <v>-6.9178900694073384E-2</v>
      </c>
      <c r="O524" s="40">
        <f t="shared" si="49"/>
        <v>-3.3366299211901929E-2</v>
      </c>
      <c r="P524" s="40">
        <f t="shared" si="50"/>
        <v>-3.2815784120957349E-2</v>
      </c>
      <c r="Q524" s="40"/>
      <c r="R524" s="40"/>
      <c r="S524" s="47">
        <v>45078</v>
      </c>
      <c r="T524">
        <v>4.1399999999999997</v>
      </c>
      <c r="U524" s="40">
        <f t="shared" si="51"/>
        <v>4.8426244757879908E-3</v>
      </c>
      <c r="V524" s="40">
        <f t="shared" si="52"/>
        <v>4.1399999999999997</v>
      </c>
      <c r="W524" s="40">
        <f t="shared" si="53"/>
        <v>4.8426244757879908E-3</v>
      </c>
    </row>
    <row r="525" spans="1:23" x14ac:dyDescent="0.2">
      <c r="A525" s="41">
        <v>41366</v>
      </c>
      <c r="B525" s="40">
        <v>14.25</v>
      </c>
      <c r="C525" s="40">
        <v>14.25</v>
      </c>
      <c r="D525" s="40">
        <v>14.25</v>
      </c>
      <c r="E525" s="40">
        <v>14.25</v>
      </c>
      <c r="G525" s="36">
        <v>44930</v>
      </c>
      <c r="H525" s="40">
        <v>23.04</v>
      </c>
      <c r="I525" s="40">
        <v>14.749000000000001</v>
      </c>
      <c r="J525" s="44"/>
      <c r="K525" s="40"/>
      <c r="L525" s="45">
        <v>23.04</v>
      </c>
      <c r="M525" s="46">
        <v>14.749000000000001</v>
      </c>
      <c r="N525" s="40">
        <f t="shared" si="48"/>
        <v>6.5928375426625482E-2</v>
      </c>
      <c r="O525" s="40">
        <f t="shared" si="49"/>
        <v>2.9867345327286986E-2</v>
      </c>
      <c r="P525" s="40">
        <f t="shared" si="50"/>
        <v>3.0317848410758019E-2</v>
      </c>
      <c r="Q525" s="40"/>
      <c r="R525" s="40"/>
      <c r="S525" s="47">
        <v>45047</v>
      </c>
      <c r="T525">
        <v>4.12</v>
      </c>
      <c r="U525" s="40">
        <f t="shared" si="51"/>
        <v>2.9558802241544429E-2</v>
      </c>
      <c r="V525" s="40">
        <f t="shared" si="52"/>
        <v>4.12</v>
      </c>
      <c r="W525" s="40">
        <f t="shared" si="53"/>
        <v>2.9558802241544429E-2</v>
      </c>
    </row>
    <row r="526" spans="1:23" x14ac:dyDescent="0.2">
      <c r="A526" s="41">
        <v>41396</v>
      </c>
      <c r="B526" s="40">
        <v>12.78</v>
      </c>
      <c r="C526" s="40">
        <v>12.78</v>
      </c>
      <c r="D526" s="40">
        <v>12.78</v>
      </c>
      <c r="E526" s="40">
        <v>12.78</v>
      </c>
      <c r="G526" s="36">
        <v>44929</v>
      </c>
      <c r="H526" s="40">
        <v>21.57</v>
      </c>
      <c r="I526" s="40">
        <v>14.315</v>
      </c>
      <c r="J526" s="44"/>
      <c r="K526" s="40"/>
      <c r="L526" s="45">
        <v>21.57</v>
      </c>
      <c r="M526" s="46">
        <v>14.315</v>
      </c>
      <c r="N526" s="40">
        <f t="shared" si="48"/>
        <v>-0.12900097888170034</v>
      </c>
      <c r="O526" s="40">
        <f t="shared" si="49"/>
        <v>-2.067203481894778E-2</v>
      </c>
      <c r="P526" s="40">
        <f t="shared" si="50"/>
        <v>-2.0459833036814101E-2</v>
      </c>
      <c r="Q526" s="40"/>
      <c r="R526" s="40"/>
      <c r="S526" s="47">
        <v>45017</v>
      </c>
      <c r="T526">
        <v>4</v>
      </c>
      <c r="U526" s="40">
        <f t="shared" si="51"/>
        <v>1.0050335853501506E-2</v>
      </c>
      <c r="V526" s="40">
        <f t="shared" si="52"/>
        <v>4</v>
      </c>
      <c r="W526" s="40">
        <f t="shared" si="53"/>
        <v>1.0050335853501506E-2</v>
      </c>
    </row>
    <row r="527" spans="1:23" x14ac:dyDescent="0.2">
      <c r="A527" s="41">
        <v>41427</v>
      </c>
      <c r="B527" s="40">
        <v>12.04</v>
      </c>
      <c r="C527" s="40">
        <v>12.04</v>
      </c>
      <c r="D527" s="40">
        <v>12.04</v>
      </c>
      <c r="E527" s="40">
        <v>12.04</v>
      </c>
      <c r="G527" s="36">
        <v>44925</v>
      </c>
      <c r="H527" s="40">
        <v>24.54</v>
      </c>
      <c r="I527" s="40">
        <v>14.614000000000001</v>
      </c>
      <c r="J527" s="44"/>
      <c r="K527" s="40"/>
      <c r="L527" s="45">
        <v>24.54</v>
      </c>
      <c r="M527" s="46">
        <v>14.614000000000001</v>
      </c>
      <c r="N527" s="40">
        <f t="shared" si="48"/>
        <v>2.5589510200334321E-2</v>
      </c>
      <c r="O527" s="40">
        <f t="shared" si="49"/>
        <v>7.5298631069165229E-4</v>
      </c>
      <c r="P527" s="40">
        <f t="shared" si="50"/>
        <v>7.5326987605293493E-4</v>
      </c>
      <c r="Q527" s="40"/>
      <c r="R527" s="40"/>
      <c r="S527" s="47">
        <v>44986</v>
      </c>
      <c r="T527">
        <v>3.96</v>
      </c>
      <c r="U527" s="40">
        <f t="shared" si="51"/>
        <v>2.5284463533586906E-3</v>
      </c>
      <c r="V527" s="40">
        <f t="shared" si="52"/>
        <v>3.96</v>
      </c>
      <c r="W527" s="40">
        <f t="shared" si="53"/>
        <v>2.5284463533586906E-3</v>
      </c>
    </row>
    <row r="528" spans="1:23" x14ac:dyDescent="0.2">
      <c r="A528" s="41">
        <v>41457</v>
      </c>
      <c r="B528" s="40">
        <v>12.03</v>
      </c>
      <c r="C528" s="40">
        <v>12.03</v>
      </c>
      <c r="D528" s="40">
        <v>12.03</v>
      </c>
      <c r="E528" s="40">
        <v>12.03</v>
      </c>
      <c r="G528" s="36">
        <v>44924</v>
      </c>
      <c r="H528" s="40">
        <v>23.92</v>
      </c>
      <c r="I528" s="40">
        <v>14.603</v>
      </c>
      <c r="J528" s="44"/>
      <c r="K528" s="40"/>
      <c r="L528" s="45">
        <v>23.92</v>
      </c>
      <c r="M528" s="46">
        <v>14.603</v>
      </c>
      <c r="N528" s="40">
        <f t="shared" si="48"/>
        <v>-4.7355786682288827E-2</v>
      </c>
      <c r="O528" s="40">
        <f t="shared" si="49"/>
        <v>3.9601529337365826E-2</v>
      </c>
      <c r="P528" s="40">
        <f t="shared" si="50"/>
        <v>4.039612425192364E-2</v>
      </c>
      <c r="Q528" s="40"/>
      <c r="R528" s="40"/>
      <c r="S528" t="s">
        <v>2577</v>
      </c>
      <c r="T528">
        <v>3.95</v>
      </c>
      <c r="U528" s="40">
        <f t="shared" si="51"/>
        <v>1.7880425277848583E-2</v>
      </c>
      <c r="V528" s="40">
        <f t="shared" si="52"/>
        <v>3.95</v>
      </c>
      <c r="W528" s="40">
        <f t="shared" si="53"/>
        <v>1.7880425277848583E-2</v>
      </c>
    </row>
    <row r="529" spans="1:23" x14ac:dyDescent="0.2">
      <c r="A529" s="41">
        <v>41488</v>
      </c>
      <c r="B529" s="40">
        <v>11.38</v>
      </c>
      <c r="C529" s="40">
        <v>11.38</v>
      </c>
      <c r="D529" s="40">
        <v>11.38</v>
      </c>
      <c r="E529" s="40">
        <v>11.38</v>
      </c>
      <c r="G529" s="36">
        <v>44923</v>
      </c>
      <c r="H529" s="40">
        <v>25.08</v>
      </c>
      <c r="I529" s="40">
        <v>14.036</v>
      </c>
      <c r="J529" s="44"/>
      <c r="K529" s="40"/>
      <c r="L529" s="45">
        <v>25.08</v>
      </c>
      <c r="M529" s="46">
        <v>14.036</v>
      </c>
      <c r="N529" s="40">
        <f t="shared" si="48"/>
        <v>0.1709037353226282</v>
      </c>
      <c r="O529" s="40">
        <f t="shared" si="49"/>
        <v>-6.0375933661462738E-3</v>
      </c>
      <c r="P529" s="40">
        <f t="shared" si="50"/>
        <v>-6.0194037249487178E-3</v>
      </c>
      <c r="Q529" s="40"/>
      <c r="R529" s="40"/>
      <c r="S529" t="s">
        <v>2576</v>
      </c>
      <c r="T529">
        <v>3.88</v>
      </c>
      <c r="U529" s="40">
        <f t="shared" si="51"/>
        <v>8.3269557843634281E-2</v>
      </c>
      <c r="V529" s="40">
        <f t="shared" si="52"/>
        <v>3.88</v>
      </c>
      <c r="W529" s="40">
        <f t="shared" si="53"/>
        <v>8.3269557843634281E-2</v>
      </c>
    </row>
    <row r="530" spans="1:23" x14ac:dyDescent="0.2">
      <c r="A530" s="41">
        <v>41580</v>
      </c>
      <c r="B530" s="40">
        <v>11.86</v>
      </c>
      <c r="C530" s="40">
        <v>11.86</v>
      </c>
      <c r="D530" s="40">
        <v>11.86</v>
      </c>
      <c r="E530" s="40">
        <v>11.86</v>
      </c>
      <c r="G530" s="36">
        <v>44922</v>
      </c>
      <c r="H530" s="40">
        <v>21.14</v>
      </c>
      <c r="I530" s="40">
        <v>14.121</v>
      </c>
      <c r="J530" s="44"/>
      <c r="K530" s="40"/>
      <c r="L530" s="45">
        <v>21.14</v>
      </c>
      <c r="M530" s="46">
        <v>14.121</v>
      </c>
      <c r="N530" s="40">
        <f t="shared" si="48"/>
        <v>3.1230018191283376E-2</v>
      </c>
      <c r="O530" s="40">
        <f t="shared" si="49"/>
        <v>-7.4027035719129927E-2</v>
      </c>
      <c r="P530" s="40">
        <f t="shared" si="50"/>
        <v>-7.1353413126397411E-2</v>
      </c>
      <c r="Q530" s="40"/>
      <c r="R530" s="40"/>
      <c r="S530" t="s">
        <v>2575</v>
      </c>
      <c r="T530">
        <v>3.57</v>
      </c>
      <c r="U530" s="40">
        <f t="shared" si="51"/>
        <v>-1.3908430046132E-2</v>
      </c>
      <c r="V530" s="40">
        <f t="shared" si="52"/>
        <v>3.57</v>
      </c>
      <c r="W530" s="40">
        <f t="shared" si="53"/>
        <v>-1.3908430046132E-2</v>
      </c>
    </row>
    <row r="531" spans="1:23" x14ac:dyDescent="0.2">
      <c r="A531" s="41">
        <v>41610</v>
      </c>
      <c r="B531" s="40">
        <v>11.05</v>
      </c>
      <c r="C531" s="40">
        <v>11.05</v>
      </c>
      <c r="D531" s="40">
        <v>11.05</v>
      </c>
      <c r="E531" s="40">
        <v>11.05</v>
      </c>
      <c r="G531" s="36">
        <v>44918</v>
      </c>
      <c r="H531" s="40">
        <v>20.49</v>
      </c>
      <c r="I531" s="40">
        <v>15.206</v>
      </c>
      <c r="J531" s="44"/>
      <c r="K531" s="40"/>
      <c r="L531" s="45">
        <v>20.49</v>
      </c>
      <c r="M531" s="46">
        <v>15.206</v>
      </c>
      <c r="N531" s="40">
        <f t="shared" si="48"/>
        <v>-1.8854800763629574E-2</v>
      </c>
      <c r="O531" s="40">
        <f t="shared" si="49"/>
        <v>-8.7085179597270329E-3</v>
      </c>
      <c r="P531" s="40">
        <f t="shared" si="50"/>
        <v>-8.6707086511507193E-3</v>
      </c>
      <c r="Q531" s="40"/>
      <c r="R531" s="40"/>
      <c r="S531" t="s">
        <v>2574</v>
      </c>
      <c r="T531">
        <v>3.62</v>
      </c>
      <c r="U531" s="40">
        <f t="shared" si="51"/>
        <v>-8.2531417567204141E-3</v>
      </c>
      <c r="V531" s="40">
        <f t="shared" si="52"/>
        <v>3.62</v>
      </c>
      <c r="W531" s="40">
        <f t="shared" si="53"/>
        <v>-8.2531417567204141E-3</v>
      </c>
    </row>
    <row r="532" spans="1:23" x14ac:dyDescent="0.2">
      <c r="A532" s="40" t="s">
        <v>1070</v>
      </c>
      <c r="B532" s="40">
        <v>11.09</v>
      </c>
      <c r="C532" s="40">
        <v>11.09</v>
      </c>
      <c r="D532" s="40">
        <v>11.09</v>
      </c>
      <c r="E532" s="40">
        <v>11.09</v>
      </c>
      <c r="G532" s="36">
        <v>44917</v>
      </c>
      <c r="H532" s="40">
        <v>20.88</v>
      </c>
      <c r="I532" s="40">
        <v>15.339</v>
      </c>
      <c r="J532" s="44"/>
      <c r="K532" s="40"/>
      <c r="L532" s="45">
        <v>20.88</v>
      </c>
      <c r="M532" s="46">
        <v>15.339</v>
      </c>
      <c r="N532" s="40">
        <f t="shared" si="48"/>
        <v>5.462612583191237E-2</v>
      </c>
      <c r="O532" s="40">
        <f t="shared" si="49"/>
        <v>-7.3022380364696091E-2</v>
      </c>
      <c r="P532" s="40">
        <f t="shared" si="50"/>
        <v>-7.0419974546997194E-2</v>
      </c>
      <c r="Q532" s="40"/>
      <c r="R532" s="40"/>
      <c r="S532" t="s">
        <v>2573</v>
      </c>
      <c r="T532">
        <v>3.65</v>
      </c>
      <c r="U532" s="40">
        <f t="shared" si="51"/>
        <v>0</v>
      </c>
      <c r="V532" s="40">
        <f t="shared" si="52"/>
        <v>3.65</v>
      </c>
      <c r="W532" s="40">
        <f t="shared" si="53"/>
        <v>0</v>
      </c>
    </row>
    <row r="533" spans="1:23" x14ac:dyDescent="0.2">
      <c r="A533" s="40" t="s">
        <v>1071</v>
      </c>
      <c r="B533" s="40">
        <v>10.81</v>
      </c>
      <c r="C533" s="40">
        <v>10.81</v>
      </c>
      <c r="D533" s="40">
        <v>10.81</v>
      </c>
      <c r="E533" s="40">
        <v>10.81</v>
      </c>
      <c r="G533" s="36">
        <v>44916</v>
      </c>
      <c r="H533" s="40">
        <v>19.77</v>
      </c>
      <c r="I533" s="40">
        <v>16.501000000000001</v>
      </c>
      <c r="J533" s="44"/>
      <c r="K533" s="40"/>
      <c r="L533" s="45">
        <v>19.77</v>
      </c>
      <c r="M533" s="46">
        <v>16.501000000000001</v>
      </c>
      <c r="N533" s="40">
        <f t="shared" si="48"/>
        <v>0.12253634815201489</v>
      </c>
      <c r="O533" s="40">
        <f t="shared" si="49"/>
        <v>2.5533824439678211E-2</v>
      </c>
      <c r="P533" s="40">
        <f t="shared" si="50"/>
        <v>2.5862604911408165E-2</v>
      </c>
      <c r="Q533" s="40"/>
      <c r="R533" s="40"/>
      <c r="S533" t="s">
        <v>2572</v>
      </c>
      <c r="T533">
        <v>3.65</v>
      </c>
      <c r="U533" s="40">
        <f t="shared" si="51"/>
        <v>-2.7359798188748602E-3</v>
      </c>
      <c r="V533" s="40">
        <f t="shared" si="52"/>
        <v>3.65</v>
      </c>
      <c r="W533" s="40">
        <f t="shared" si="53"/>
        <v>-2.7359798188748602E-3</v>
      </c>
    </row>
    <row r="534" spans="1:23" x14ac:dyDescent="0.2">
      <c r="A534" s="40" t="s">
        <v>1072</v>
      </c>
      <c r="B534" s="40">
        <v>10.79</v>
      </c>
      <c r="C534" s="40">
        <v>10.79</v>
      </c>
      <c r="D534" s="40">
        <v>10.79</v>
      </c>
      <c r="E534" s="40">
        <v>10.79</v>
      </c>
      <c r="G534" s="36">
        <v>44915</v>
      </c>
      <c r="H534" s="40">
        <v>17.489999999999998</v>
      </c>
      <c r="I534" s="40">
        <v>16.085000000000001</v>
      </c>
      <c r="J534" s="44"/>
      <c r="K534" s="40"/>
      <c r="L534" s="45">
        <v>17.489999999999998</v>
      </c>
      <c r="M534" s="46">
        <v>16.085000000000001</v>
      </c>
      <c r="N534" s="40">
        <f t="shared" si="48"/>
        <v>-0.12607081282621613</v>
      </c>
      <c r="O534" s="40">
        <f t="shared" si="49"/>
        <v>-1.0451871640023432E-2</v>
      </c>
      <c r="P534" s="40">
        <f t="shared" si="50"/>
        <v>-1.0397440629998799E-2</v>
      </c>
      <c r="Q534" s="40"/>
      <c r="R534" s="40"/>
      <c r="S534" t="s">
        <v>2571</v>
      </c>
      <c r="T534">
        <v>3.66</v>
      </c>
      <c r="U534" s="40">
        <f t="shared" si="51"/>
        <v>-8.1633106391608701E-3</v>
      </c>
      <c r="V534" s="40">
        <f t="shared" si="52"/>
        <v>3.66</v>
      </c>
      <c r="W534" s="40">
        <f t="shared" si="53"/>
        <v>-8.1633106391608701E-3</v>
      </c>
    </row>
    <row r="535" spans="1:23" x14ac:dyDescent="0.2">
      <c r="A535" s="40" t="s">
        <v>1073</v>
      </c>
      <c r="B535" s="40">
        <v>11.43</v>
      </c>
      <c r="C535" s="40">
        <v>11.43</v>
      </c>
      <c r="D535" s="40">
        <v>11.43</v>
      </c>
      <c r="E535" s="40">
        <v>11.43</v>
      </c>
      <c r="G535" s="36">
        <v>44914</v>
      </c>
      <c r="H535" s="40">
        <v>19.84</v>
      </c>
      <c r="I535" s="40">
        <v>16.254000000000001</v>
      </c>
      <c r="J535" s="44"/>
      <c r="K535" s="40"/>
      <c r="L535" s="45">
        <v>19.84</v>
      </c>
      <c r="M535" s="46">
        <v>16.254000000000001</v>
      </c>
      <c r="N535" s="40">
        <f t="shared" si="48"/>
        <v>0.12093820959969598</v>
      </c>
      <c r="O535" s="40">
        <f t="shared" si="49"/>
        <v>-1.9315147316643706E-2</v>
      </c>
      <c r="P535" s="40">
        <f t="shared" si="50"/>
        <v>-1.91298050811659E-2</v>
      </c>
      <c r="Q535" s="40"/>
      <c r="R535" s="40"/>
      <c r="S535" t="s">
        <v>2570</v>
      </c>
      <c r="T535">
        <v>3.69</v>
      </c>
      <c r="U535" s="40">
        <f t="shared" si="51"/>
        <v>-2.1448543407483627E-2</v>
      </c>
      <c r="V535" s="40">
        <f t="shared" si="52"/>
        <v>3.69</v>
      </c>
      <c r="W535" s="40">
        <f t="shared" si="53"/>
        <v>-2.1448543407483627E-2</v>
      </c>
    </row>
    <row r="536" spans="1:23" x14ac:dyDescent="0.2">
      <c r="A536" s="40" t="s">
        <v>1074</v>
      </c>
      <c r="B536" s="40">
        <v>15.36</v>
      </c>
      <c r="C536" s="40">
        <v>15.36</v>
      </c>
      <c r="D536" s="40">
        <v>15.36</v>
      </c>
      <c r="E536" s="40">
        <v>15.36</v>
      </c>
      <c r="G536" s="36">
        <v>44911</v>
      </c>
      <c r="H536" s="40">
        <v>17.579999999999998</v>
      </c>
      <c r="I536" s="40">
        <v>16.571000000000002</v>
      </c>
      <c r="J536" s="44"/>
      <c r="K536" s="40"/>
      <c r="L536" s="45">
        <v>17.579999999999998</v>
      </c>
      <c r="M536" s="46">
        <v>16.571000000000002</v>
      </c>
      <c r="N536" s="40">
        <f t="shared" si="48"/>
        <v>-0.11790943393753531</v>
      </c>
      <c r="O536" s="40">
        <f t="shared" si="49"/>
        <v>-2.273164131834118E-2</v>
      </c>
      <c r="P536" s="40">
        <f t="shared" si="50"/>
        <v>-2.2475224162340737E-2</v>
      </c>
      <c r="Q536" s="40"/>
      <c r="R536" s="40"/>
      <c r="S536" t="s">
        <v>2569</v>
      </c>
      <c r="T536">
        <v>3.77</v>
      </c>
      <c r="U536" s="40">
        <f t="shared" si="51"/>
        <v>-2.6490081715768417E-3</v>
      </c>
      <c r="V536" s="40">
        <f t="shared" si="52"/>
        <v>3.77</v>
      </c>
      <c r="W536" s="40">
        <f t="shared" si="53"/>
        <v>-2.6490081715768417E-3</v>
      </c>
    </row>
    <row r="537" spans="1:23" x14ac:dyDescent="0.2">
      <c r="A537" s="40" t="s">
        <v>1075</v>
      </c>
      <c r="B537" s="40">
        <v>16.010000000000002</v>
      </c>
      <c r="C537" s="40">
        <v>16.010000000000002</v>
      </c>
      <c r="D537" s="40">
        <v>16.010000000000002</v>
      </c>
      <c r="E537" s="40">
        <v>16.010000000000002</v>
      </c>
      <c r="G537" s="36">
        <v>44910</v>
      </c>
      <c r="H537" s="40">
        <v>19.78</v>
      </c>
      <c r="I537" s="40">
        <v>16.952000000000002</v>
      </c>
      <c r="J537" s="44"/>
      <c r="K537" s="40"/>
      <c r="L537" s="45">
        <v>19.78</v>
      </c>
      <c r="M537" s="46">
        <v>16.952000000000002</v>
      </c>
      <c r="N537" s="40">
        <f t="shared" si="48"/>
        <v>-5.1722929078314488E-2</v>
      </c>
      <c r="O537" s="40">
        <f t="shared" si="49"/>
        <v>-4.1708812129814546E-2</v>
      </c>
      <c r="P537" s="40">
        <f t="shared" si="50"/>
        <v>-4.0850967522914894E-2</v>
      </c>
      <c r="Q537" s="40"/>
      <c r="R537" s="40"/>
      <c r="S537" t="s">
        <v>2568</v>
      </c>
      <c r="T537">
        <v>3.78</v>
      </c>
      <c r="U537" s="40">
        <f t="shared" si="51"/>
        <v>-2.6420094628386965E-3</v>
      </c>
      <c r="V537" s="40">
        <f t="shared" si="52"/>
        <v>3.78</v>
      </c>
      <c r="W537" s="40">
        <f t="shared" si="53"/>
        <v>-2.6420094628386965E-3</v>
      </c>
    </row>
    <row r="538" spans="1:23" x14ac:dyDescent="0.2">
      <c r="A538" s="40" t="s">
        <v>1076</v>
      </c>
      <c r="B538" s="40">
        <v>14.58</v>
      </c>
      <c r="C538" s="40">
        <v>14.58</v>
      </c>
      <c r="D538" s="40">
        <v>14.58</v>
      </c>
      <c r="E538" s="40">
        <v>14.58</v>
      </c>
      <c r="G538" s="36">
        <v>44909</v>
      </c>
      <c r="H538" s="40">
        <v>20.83</v>
      </c>
      <c r="I538" s="40">
        <v>17.673999999999999</v>
      </c>
      <c r="J538" s="44"/>
      <c r="K538" s="40"/>
      <c r="L538" s="45">
        <v>20.83</v>
      </c>
      <c r="M538" s="46">
        <v>17.673999999999999</v>
      </c>
      <c r="N538" s="40">
        <f t="shared" si="48"/>
        <v>1.5481683188591267E-2</v>
      </c>
      <c r="O538" s="40">
        <f t="shared" si="49"/>
        <v>-2.2269146069889407E-2</v>
      </c>
      <c r="P538" s="40">
        <f t="shared" si="50"/>
        <v>-2.2023019034971211E-2</v>
      </c>
      <c r="Q538" s="40"/>
      <c r="R538" s="40"/>
      <c r="S538" t="s">
        <v>2567</v>
      </c>
      <c r="T538">
        <v>3.79</v>
      </c>
      <c r="U538" s="40">
        <f t="shared" si="51"/>
        <v>1.5957785438610816E-2</v>
      </c>
      <c r="V538" s="40">
        <f t="shared" si="52"/>
        <v>3.79</v>
      </c>
      <c r="W538" s="40">
        <f t="shared" si="53"/>
        <v>1.5957785438610816E-2</v>
      </c>
    </row>
    <row r="539" spans="1:23" x14ac:dyDescent="0.2">
      <c r="A539" s="40" t="s">
        <v>1077</v>
      </c>
      <c r="B539" s="40">
        <v>21.87</v>
      </c>
      <c r="C539" s="40">
        <v>21.87</v>
      </c>
      <c r="D539" s="40">
        <v>21.87</v>
      </c>
      <c r="E539" s="40">
        <v>21.87</v>
      </c>
      <c r="G539" s="36">
        <v>44908</v>
      </c>
      <c r="H539" s="40">
        <v>20.51</v>
      </c>
      <c r="I539" s="40">
        <v>18.071999999999999</v>
      </c>
      <c r="J539" s="44"/>
      <c r="K539" s="40"/>
      <c r="L539" s="45">
        <v>20.51</v>
      </c>
      <c r="M539" s="46">
        <v>18.071999999999999</v>
      </c>
      <c r="N539" s="40">
        <f t="shared" si="48"/>
        <v>-5.7781222184048915E-2</v>
      </c>
      <c r="O539" s="40">
        <f t="shared" si="49"/>
        <v>3.0164895573560734E-2</v>
      </c>
      <c r="P539" s="40">
        <f t="shared" si="50"/>
        <v>3.062446535500422E-2</v>
      </c>
      <c r="Q539" s="40"/>
      <c r="R539" s="40"/>
      <c r="S539" t="s">
        <v>2566</v>
      </c>
      <c r="T539">
        <v>3.73</v>
      </c>
      <c r="U539" s="40">
        <f t="shared" si="51"/>
        <v>5.3763570363804958E-3</v>
      </c>
      <c r="V539" s="40">
        <f t="shared" si="52"/>
        <v>3.73</v>
      </c>
      <c r="W539" s="40">
        <f t="shared" si="53"/>
        <v>5.3763570363804958E-3</v>
      </c>
    </row>
    <row r="540" spans="1:23" x14ac:dyDescent="0.2">
      <c r="A540" s="40" t="s">
        <v>1078</v>
      </c>
      <c r="B540" s="40">
        <v>18.11</v>
      </c>
      <c r="C540" s="40">
        <v>18.11</v>
      </c>
      <c r="D540" s="40">
        <v>18.11</v>
      </c>
      <c r="E540" s="40">
        <v>18.11</v>
      </c>
      <c r="G540" s="36">
        <v>44907</v>
      </c>
      <c r="H540" s="40">
        <v>21.73</v>
      </c>
      <c r="I540" s="40">
        <v>17.535</v>
      </c>
      <c r="J540" s="44"/>
      <c r="K540" s="40"/>
      <c r="L540" s="45">
        <v>21.73</v>
      </c>
      <c r="M540" s="46">
        <v>17.535</v>
      </c>
      <c r="N540" s="40">
        <f t="shared" si="48"/>
        <v>7.3011189861179257E-2</v>
      </c>
      <c r="O540" s="40">
        <f t="shared" si="49"/>
        <v>3.0926717736549519E-2</v>
      </c>
      <c r="P540" s="40">
        <f t="shared" si="50"/>
        <v>3.1409917063702067E-2</v>
      </c>
      <c r="Q540" s="40"/>
      <c r="R540" s="40"/>
      <c r="S540" t="s">
        <v>2565</v>
      </c>
      <c r="T540">
        <v>3.71</v>
      </c>
      <c r="U540" s="40">
        <f t="shared" si="51"/>
        <v>8.1191244385041914E-3</v>
      </c>
      <c r="V540" s="40">
        <f t="shared" si="52"/>
        <v>3.71</v>
      </c>
      <c r="W540" s="40">
        <f t="shared" si="53"/>
        <v>8.1191244385041914E-3</v>
      </c>
    </row>
    <row r="541" spans="1:23" x14ac:dyDescent="0.2">
      <c r="A541" s="40" t="s">
        <v>1079</v>
      </c>
      <c r="B541" s="40">
        <v>14.91</v>
      </c>
      <c r="C541" s="40">
        <v>14.91</v>
      </c>
      <c r="D541" s="40">
        <v>14.91</v>
      </c>
      <c r="E541" s="40">
        <v>14.91</v>
      </c>
      <c r="G541" s="36">
        <v>44904</v>
      </c>
      <c r="H541" s="40">
        <v>20.2</v>
      </c>
      <c r="I541" s="40">
        <v>17.001000000000001</v>
      </c>
      <c r="J541" s="44"/>
      <c r="K541" s="40"/>
      <c r="L541" s="45">
        <v>20.2</v>
      </c>
      <c r="M541" s="46">
        <v>17.001000000000001</v>
      </c>
      <c r="N541" s="40">
        <f t="shared" si="48"/>
        <v>-0.1597924437339264</v>
      </c>
      <c r="O541" s="40">
        <f t="shared" si="49"/>
        <v>-9.8332662394830274E-3</v>
      </c>
      <c r="P541" s="40">
        <f t="shared" si="50"/>
        <v>-9.7850777564214148E-3</v>
      </c>
      <c r="Q541" s="40"/>
      <c r="R541" s="40"/>
      <c r="S541" s="47">
        <v>44907</v>
      </c>
      <c r="T541">
        <v>3.68</v>
      </c>
      <c r="U541" s="40">
        <f t="shared" si="51"/>
        <v>5.4496047675646848E-3</v>
      </c>
      <c r="V541" s="40">
        <f t="shared" si="52"/>
        <v>3.68</v>
      </c>
      <c r="W541" s="40">
        <f t="shared" si="53"/>
        <v>5.4496047675646848E-3</v>
      </c>
    </row>
    <row r="542" spans="1:23" x14ac:dyDescent="0.2">
      <c r="A542" s="40" t="s">
        <v>1080</v>
      </c>
      <c r="B542" s="40">
        <v>15.99</v>
      </c>
      <c r="C542" s="40">
        <v>15.99</v>
      </c>
      <c r="D542" s="40">
        <v>15.99</v>
      </c>
      <c r="E542" s="40">
        <v>15.99</v>
      </c>
      <c r="G542" s="36">
        <v>44903</v>
      </c>
      <c r="H542" s="40">
        <v>23.7</v>
      </c>
      <c r="I542" s="40">
        <v>17.169</v>
      </c>
      <c r="J542" s="44"/>
      <c r="K542" s="40"/>
      <c r="L542" s="45">
        <v>23.7</v>
      </c>
      <c r="M542" s="46">
        <v>17.169</v>
      </c>
      <c r="N542" s="40">
        <f t="shared" si="48"/>
        <v>-0.22027022896214826</v>
      </c>
      <c r="O542" s="40">
        <f t="shared" si="49"/>
        <v>6.3044695016592545E-2</v>
      </c>
      <c r="P542" s="40">
        <f t="shared" si="50"/>
        <v>6.5074441687344872E-2</v>
      </c>
      <c r="Q542" s="40"/>
      <c r="R542" s="40"/>
      <c r="S542" s="47">
        <v>44816</v>
      </c>
      <c r="T542">
        <v>3.66</v>
      </c>
      <c r="U542" s="40">
        <f t="shared" si="51"/>
        <v>1.3755375068485419E-2</v>
      </c>
      <c r="V542" s="40">
        <f t="shared" si="52"/>
        <v>3.66</v>
      </c>
      <c r="W542" s="40">
        <f t="shared" si="53"/>
        <v>1.3755375068485419E-2</v>
      </c>
    </row>
    <row r="543" spans="1:23" x14ac:dyDescent="0.2">
      <c r="A543" s="41">
        <v>41277</v>
      </c>
      <c r="B543" s="40">
        <v>14.55</v>
      </c>
      <c r="C543" s="40">
        <v>14.55</v>
      </c>
      <c r="D543" s="40">
        <v>14.55</v>
      </c>
      <c r="E543" s="40">
        <v>14.55</v>
      </c>
      <c r="G543" s="36">
        <v>44902</v>
      </c>
      <c r="H543" s="40">
        <v>29.54</v>
      </c>
      <c r="I543" s="40">
        <v>16.12</v>
      </c>
      <c r="J543" s="44"/>
      <c r="K543" s="40"/>
      <c r="L543" s="45">
        <v>29.54</v>
      </c>
      <c r="M543" s="46">
        <v>16.12</v>
      </c>
      <c r="N543" s="40">
        <f t="shared" si="48"/>
        <v>0.10935554603442624</v>
      </c>
      <c r="O543" s="40">
        <f t="shared" si="49"/>
        <v>8.284845095727307E-3</v>
      </c>
      <c r="P543" s="40">
        <f t="shared" si="50"/>
        <v>8.3192593982611435E-3</v>
      </c>
      <c r="Q543" s="40"/>
      <c r="R543" s="40"/>
      <c r="S543" s="47">
        <v>44785</v>
      </c>
      <c r="T543">
        <v>3.61</v>
      </c>
      <c r="U543" s="40">
        <f t="shared" si="51"/>
        <v>2.7739268827252244E-3</v>
      </c>
      <c r="V543" s="40">
        <f t="shared" si="52"/>
        <v>3.61</v>
      </c>
      <c r="W543" s="40">
        <f t="shared" si="53"/>
        <v>2.7739268827252244E-3</v>
      </c>
    </row>
    <row r="544" spans="1:23" x14ac:dyDescent="0.2">
      <c r="A544" s="41">
        <v>41367</v>
      </c>
      <c r="B544" s="40">
        <v>12.93</v>
      </c>
      <c r="C544" s="40">
        <v>12.93</v>
      </c>
      <c r="D544" s="40">
        <v>12.93</v>
      </c>
      <c r="E544" s="40">
        <v>12.93</v>
      </c>
      <c r="G544" s="36">
        <v>44901</v>
      </c>
      <c r="H544" s="40">
        <v>26.48</v>
      </c>
      <c r="I544" s="40">
        <v>15.987</v>
      </c>
      <c r="J544" s="44"/>
      <c r="K544" s="40"/>
      <c r="L544" s="45">
        <v>26.48</v>
      </c>
      <c r="M544" s="46">
        <v>15.987</v>
      </c>
      <c r="N544" s="40">
        <f t="shared" si="48"/>
        <v>-9.7708406049895804E-3</v>
      </c>
      <c r="O544" s="40">
        <f t="shared" si="49"/>
        <v>-3.8229031642448591E-2</v>
      </c>
      <c r="P544" s="40">
        <f t="shared" si="50"/>
        <v>-3.7507525586995744E-2</v>
      </c>
      <c r="Q544" s="40"/>
      <c r="R544" s="40"/>
      <c r="S544" s="47">
        <v>44754</v>
      </c>
      <c r="T544">
        <v>3.6</v>
      </c>
      <c r="U544" s="40">
        <f t="shared" si="51"/>
        <v>-2.197890671877523E-2</v>
      </c>
      <c r="V544" s="40">
        <f t="shared" si="52"/>
        <v>3.6</v>
      </c>
      <c r="W544" s="40">
        <f t="shared" si="53"/>
        <v>-2.197890671877523E-2</v>
      </c>
    </row>
    <row r="545" spans="1:23" x14ac:dyDescent="0.2">
      <c r="A545" s="41">
        <v>41397</v>
      </c>
      <c r="B545" s="40">
        <v>12.54</v>
      </c>
      <c r="C545" s="40">
        <v>12.54</v>
      </c>
      <c r="D545" s="40">
        <v>12.54</v>
      </c>
      <c r="E545" s="40">
        <v>12.54</v>
      </c>
      <c r="G545" s="36">
        <v>44900</v>
      </c>
      <c r="H545" s="40">
        <v>26.74</v>
      </c>
      <c r="I545" s="40">
        <v>16.61</v>
      </c>
      <c r="J545" s="44"/>
      <c r="K545" s="40"/>
      <c r="L545" s="45">
        <v>26.74</v>
      </c>
      <c r="M545" s="46">
        <v>16.61</v>
      </c>
      <c r="N545" s="40">
        <f t="shared" si="48"/>
        <v>-4.8540818699994055E-2</v>
      </c>
      <c r="O545" s="40">
        <f t="shared" si="49"/>
        <v>-1.5887570636888809E-2</v>
      </c>
      <c r="P545" s="40">
        <f t="shared" si="50"/>
        <v>-1.5762028916805036E-2</v>
      </c>
      <c r="Q545" s="40"/>
      <c r="R545" s="40"/>
      <c r="S545" s="47">
        <v>44724</v>
      </c>
      <c r="T545">
        <v>3.68</v>
      </c>
      <c r="U545" s="40">
        <f t="shared" si="51"/>
        <v>-1.8843087801479828E-2</v>
      </c>
      <c r="V545" s="40">
        <f t="shared" si="52"/>
        <v>3.68</v>
      </c>
      <c r="W545" s="40">
        <f t="shared" si="53"/>
        <v>-1.8843087801479828E-2</v>
      </c>
    </row>
    <row r="546" spans="1:23" x14ac:dyDescent="0.2">
      <c r="A546" s="41">
        <v>41428</v>
      </c>
      <c r="B546" s="40">
        <v>12.22</v>
      </c>
      <c r="C546" s="40">
        <v>12.22</v>
      </c>
      <c r="D546" s="40">
        <v>12.22</v>
      </c>
      <c r="E546" s="40">
        <v>12.22</v>
      </c>
      <c r="G546" s="36">
        <v>44897</v>
      </c>
      <c r="H546" s="40">
        <v>28.07</v>
      </c>
      <c r="I546" s="40">
        <v>16.876000000000001</v>
      </c>
      <c r="J546" s="44"/>
      <c r="K546" s="40"/>
      <c r="L546" s="45">
        <v>28.07</v>
      </c>
      <c r="M546" s="46">
        <v>16.876000000000001</v>
      </c>
      <c r="N546" s="40">
        <f t="shared" si="48"/>
        <v>3.5905942329716938E-2</v>
      </c>
      <c r="O546" s="40">
        <f t="shared" si="49"/>
        <v>-1.5230661064479924E-2</v>
      </c>
      <c r="P546" s="40">
        <f t="shared" si="50"/>
        <v>-1.5115261161365644E-2</v>
      </c>
      <c r="Q546" s="40"/>
      <c r="R546" s="40"/>
      <c r="S546" s="47">
        <v>44693</v>
      </c>
      <c r="T546">
        <v>3.75</v>
      </c>
      <c r="U546" s="40">
        <f t="shared" si="51"/>
        <v>0</v>
      </c>
      <c r="V546" s="40">
        <f t="shared" si="52"/>
        <v>3.75</v>
      </c>
      <c r="W546" s="40">
        <f t="shared" si="53"/>
        <v>0</v>
      </c>
    </row>
    <row r="547" spans="1:23" x14ac:dyDescent="0.2">
      <c r="A547" s="41">
        <v>41458</v>
      </c>
      <c r="B547" s="40">
        <v>11.69</v>
      </c>
      <c r="C547" s="40">
        <v>11.69</v>
      </c>
      <c r="D547" s="40">
        <v>11.69</v>
      </c>
      <c r="E547" s="40">
        <v>11.69</v>
      </c>
      <c r="G547" s="36">
        <v>44896</v>
      </c>
      <c r="H547" s="40">
        <v>27.08</v>
      </c>
      <c r="I547" s="40">
        <v>17.135000000000002</v>
      </c>
      <c r="J547" s="44"/>
      <c r="K547" s="40"/>
      <c r="L547" s="45">
        <v>27.08</v>
      </c>
      <c r="M547" s="46">
        <v>17.135000000000002</v>
      </c>
      <c r="N547" s="40">
        <f t="shared" si="48"/>
        <v>0.12868978754530278</v>
      </c>
      <c r="O547" s="40">
        <f t="shared" si="49"/>
        <v>1.2449511900623718E-2</v>
      </c>
      <c r="P547" s="40">
        <f t="shared" si="50"/>
        <v>1.2527329669680513E-2</v>
      </c>
      <c r="Q547" s="40"/>
      <c r="R547" s="40"/>
      <c r="S547" s="47">
        <v>44604</v>
      </c>
      <c r="T547">
        <v>3.75</v>
      </c>
      <c r="U547" s="40">
        <f t="shared" si="51"/>
        <v>-3.1498667059371051E-2</v>
      </c>
      <c r="V547" s="40">
        <f t="shared" si="52"/>
        <v>3.75</v>
      </c>
      <c r="W547" s="40">
        <f t="shared" si="53"/>
        <v>-3.1498667059371051E-2</v>
      </c>
    </row>
    <row r="548" spans="1:23" x14ac:dyDescent="0.2">
      <c r="A548" s="41">
        <v>41489</v>
      </c>
      <c r="B548" s="40">
        <v>10.77</v>
      </c>
      <c r="C548" s="40">
        <v>10.77</v>
      </c>
      <c r="D548" s="40">
        <v>10.77</v>
      </c>
      <c r="E548" s="40">
        <v>10.77</v>
      </c>
      <c r="G548" s="36">
        <v>44895</v>
      </c>
      <c r="H548" s="40">
        <v>23.81</v>
      </c>
      <c r="I548" s="40">
        <v>16.922999999999998</v>
      </c>
      <c r="J548" s="44"/>
      <c r="K548" s="40"/>
      <c r="L548" s="45">
        <v>23.81</v>
      </c>
      <c r="M548" s="46">
        <v>16.922999999999998</v>
      </c>
      <c r="N548" s="40">
        <f t="shared" si="48"/>
        <v>0.28251554556448361</v>
      </c>
      <c r="O548" s="40">
        <f t="shared" si="49"/>
        <v>7.8905848971870154E-2</v>
      </c>
      <c r="P548" s="40">
        <f t="shared" si="50"/>
        <v>8.2102436217149369E-2</v>
      </c>
      <c r="Q548" s="40"/>
      <c r="R548" s="40"/>
      <c r="S548" s="47">
        <v>44573</v>
      </c>
      <c r="T548">
        <v>3.87</v>
      </c>
      <c r="U548" s="40">
        <f t="shared" si="51"/>
        <v>-1.0282866955583919E-2</v>
      </c>
      <c r="V548" s="40">
        <f t="shared" si="52"/>
        <v>3.87</v>
      </c>
      <c r="W548" s="40">
        <f t="shared" si="53"/>
        <v>-1.0282866955583919E-2</v>
      </c>
    </row>
    <row r="549" spans="1:23" x14ac:dyDescent="0.2">
      <c r="A549" s="41">
        <v>41581</v>
      </c>
      <c r="B549" s="40">
        <v>11.25</v>
      </c>
      <c r="C549" s="40">
        <v>11.25</v>
      </c>
      <c r="D549" s="40">
        <v>11.25</v>
      </c>
      <c r="E549" s="40">
        <v>11.25</v>
      </c>
      <c r="G549" s="36">
        <v>44894</v>
      </c>
      <c r="H549" s="40">
        <v>17.95</v>
      </c>
      <c r="I549" s="40">
        <v>15.638999999999999</v>
      </c>
      <c r="J549" s="44"/>
      <c r="K549" s="40"/>
      <c r="L549" s="45">
        <v>17.95</v>
      </c>
      <c r="M549" s="46">
        <v>15.638999999999999</v>
      </c>
      <c r="N549" s="40">
        <f t="shared" si="48"/>
        <v>-2.3673001993253128E-2</v>
      </c>
      <c r="O549" s="40">
        <f t="shared" si="49"/>
        <v>-1.1949547897067522E-2</v>
      </c>
      <c r="P549" s="40">
        <f t="shared" si="50"/>
        <v>-1.1878435584760259E-2</v>
      </c>
      <c r="Q549" s="40"/>
      <c r="R549" s="40"/>
      <c r="S549" t="s">
        <v>2564</v>
      </c>
      <c r="T549">
        <v>3.91</v>
      </c>
      <c r="U549" s="40">
        <f t="shared" si="51"/>
        <v>-2.5542798050967423E-3</v>
      </c>
      <c r="V549" s="40">
        <f t="shared" si="52"/>
        <v>3.91</v>
      </c>
      <c r="W549" s="40">
        <f t="shared" si="53"/>
        <v>-2.5542798050967423E-3</v>
      </c>
    </row>
    <row r="550" spans="1:23" x14ac:dyDescent="0.2">
      <c r="A550" s="41">
        <v>41611</v>
      </c>
      <c r="B550" s="40">
        <v>12.48</v>
      </c>
      <c r="C550" s="40">
        <v>12.48</v>
      </c>
      <c r="D550" s="40">
        <v>12.48</v>
      </c>
      <c r="E550" s="40">
        <v>12.48</v>
      </c>
      <c r="G550" s="36">
        <v>44893</v>
      </c>
      <c r="H550" s="40">
        <v>18.38</v>
      </c>
      <c r="I550" s="40">
        <v>15.827</v>
      </c>
      <c r="J550" s="44"/>
      <c r="K550" s="40"/>
      <c r="L550" s="45">
        <v>18.38</v>
      </c>
      <c r="M550" s="46">
        <v>15.827</v>
      </c>
      <c r="N550" s="40">
        <f t="shared" si="48"/>
        <v>-2.6310242452917913E-2</v>
      </c>
      <c r="O550" s="40">
        <f t="shared" si="49"/>
        <v>-2.7605578879800315E-2</v>
      </c>
      <c r="P550" s="40">
        <f t="shared" si="50"/>
        <v>-2.7228027043638577E-2</v>
      </c>
      <c r="Q550" s="40"/>
      <c r="R550" s="40"/>
      <c r="S550" t="s">
        <v>2563</v>
      </c>
      <c r="T550">
        <v>3.92</v>
      </c>
      <c r="U550" s="40">
        <f t="shared" si="51"/>
        <v>-1.0152371464017962E-2</v>
      </c>
      <c r="V550" s="40">
        <f t="shared" si="52"/>
        <v>3.92</v>
      </c>
      <c r="W550" s="40">
        <f t="shared" si="53"/>
        <v>-1.0152371464017962E-2</v>
      </c>
    </row>
    <row r="551" spans="1:23" x14ac:dyDescent="0.2">
      <c r="A551" s="40" t="s">
        <v>1081</v>
      </c>
      <c r="B551" s="40">
        <v>11.42</v>
      </c>
      <c r="C551" s="40">
        <v>11.42</v>
      </c>
      <c r="D551" s="40">
        <v>11.42</v>
      </c>
      <c r="E551" s="40">
        <v>11.42</v>
      </c>
      <c r="G551" s="36">
        <v>44890</v>
      </c>
      <c r="H551" s="40">
        <v>18.87</v>
      </c>
      <c r="I551" s="40">
        <v>16.27</v>
      </c>
      <c r="J551" s="44"/>
      <c r="K551" s="40"/>
      <c r="L551" s="45">
        <v>18.87</v>
      </c>
      <c r="M551" s="46">
        <v>16.27</v>
      </c>
      <c r="N551" s="40">
        <f t="shared" si="48"/>
        <v>-7.7471225205904909E-2</v>
      </c>
      <c r="O551" s="40">
        <f t="shared" si="49"/>
        <v>-1.5188312342057132E-2</v>
      </c>
      <c r="P551" s="40">
        <f t="shared" si="50"/>
        <v>-1.5073551667776427E-2</v>
      </c>
      <c r="Q551" s="40"/>
      <c r="R551" s="40"/>
      <c r="S551" t="s">
        <v>2562</v>
      </c>
      <c r="T551">
        <v>3.96</v>
      </c>
      <c r="U551" s="40">
        <f t="shared" si="51"/>
        <v>-1.2547216052088641E-2</v>
      </c>
      <c r="V551" s="40">
        <f t="shared" si="52"/>
        <v>3.96</v>
      </c>
      <c r="W551" s="40">
        <f t="shared" si="53"/>
        <v>-1.2547216052088641E-2</v>
      </c>
    </row>
    <row r="552" spans="1:23" x14ac:dyDescent="0.2">
      <c r="A552" s="40" t="s">
        <v>1082</v>
      </c>
      <c r="B552" s="40">
        <v>11.08</v>
      </c>
      <c r="C552" s="40">
        <v>11.08</v>
      </c>
      <c r="D552" s="40">
        <v>11.08</v>
      </c>
      <c r="E552" s="40">
        <v>11.08</v>
      </c>
      <c r="G552" s="36">
        <v>44888</v>
      </c>
      <c r="H552" s="40">
        <v>20.39</v>
      </c>
      <c r="I552" s="40">
        <v>16.518999999999998</v>
      </c>
      <c r="J552" s="44"/>
      <c r="K552" s="40"/>
      <c r="L552" s="45">
        <v>20.39</v>
      </c>
      <c r="M552" s="46">
        <v>16.518999999999998</v>
      </c>
      <c r="N552" s="40">
        <f t="shared" si="48"/>
        <v>1.5818421778116983E-2</v>
      </c>
      <c r="O552" s="40">
        <f t="shared" si="49"/>
        <v>2.9550327188166536E-2</v>
      </c>
      <c r="P552" s="40">
        <f t="shared" si="50"/>
        <v>2.9991270732011355E-2</v>
      </c>
      <c r="Q552" s="40"/>
      <c r="R552" s="40"/>
      <c r="S552" t="s">
        <v>2561</v>
      </c>
      <c r="T552">
        <v>4.01</v>
      </c>
      <c r="U552" s="40">
        <f t="shared" si="51"/>
        <v>1.0025146619378646E-2</v>
      </c>
      <c r="V552" s="40">
        <f t="shared" si="52"/>
        <v>4.01</v>
      </c>
      <c r="W552" s="40">
        <f t="shared" si="53"/>
        <v>1.0025146619378646E-2</v>
      </c>
    </row>
    <row r="553" spans="1:23" x14ac:dyDescent="0.2">
      <c r="A553" s="40" t="s">
        <v>1083</v>
      </c>
      <c r="B553" s="40">
        <v>10.5</v>
      </c>
      <c r="C553" s="40">
        <v>10.5</v>
      </c>
      <c r="D553" s="40">
        <v>10.5</v>
      </c>
      <c r="E553" s="40">
        <v>10.5</v>
      </c>
      <c r="G553" s="36">
        <v>44887</v>
      </c>
      <c r="H553" s="40">
        <v>20.07</v>
      </c>
      <c r="I553" s="40">
        <v>16.038</v>
      </c>
      <c r="J553" s="44"/>
      <c r="K553" s="40"/>
      <c r="L553" s="45">
        <v>20.07</v>
      </c>
      <c r="M553" s="46">
        <v>16.038</v>
      </c>
      <c r="N553" s="40">
        <f t="shared" si="48"/>
        <v>0.16248962074471379</v>
      </c>
      <c r="O553" s="40">
        <f t="shared" si="49"/>
        <v>4.599758370242004E-2</v>
      </c>
      <c r="P553" s="40">
        <f t="shared" si="50"/>
        <v>4.7071880916628589E-2</v>
      </c>
      <c r="Q553" s="40"/>
      <c r="R553" s="40"/>
      <c r="S553" t="s">
        <v>2560</v>
      </c>
      <c r="T553">
        <v>3.97</v>
      </c>
      <c r="U553" s="40">
        <f t="shared" si="51"/>
        <v>4.1136905560489448E-2</v>
      </c>
      <c r="V553" s="40">
        <f t="shared" si="52"/>
        <v>3.97</v>
      </c>
      <c r="W553" s="40">
        <f t="shared" si="53"/>
        <v>4.1136905560489448E-2</v>
      </c>
    </row>
    <row r="554" spans="1:23" x14ac:dyDescent="0.2">
      <c r="A554" s="40" t="s">
        <v>1084</v>
      </c>
      <c r="B554" s="40">
        <v>13.46</v>
      </c>
      <c r="C554" s="40">
        <v>13.46</v>
      </c>
      <c r="D554" s="40">
        <v>13.46</v>
      </c>
      <c r="E554" s="40">
        <v>13.46</v>
      </c>
      <c r="G554" s="36">
        <v>44886</v>
      </c>
      <c r="H554" s="40">
        <v>17.059999999999999</v>
      </c>
      <c r="I554" s="40">
        <v>15.317</v>
      </c>
      <c r="J554" s="44"/>
      <c r="K554" s="40"/>
      <c r="L554" s="45">
        <v>17.059999999999999</v>
      </c>
      <c r="M554" s="46">
        <v>15.317</v>
      </c>
      <c r="N554" s="40">
        <f t="shared" si="48"/>
        <v>8.8313791530439528E-3</v>
      </c>
      <c r="O554" s="40">
        <f t="shared" si="49"/>
        <v>-5.9884316172993902E-3</v>
      </c>
      <c r="P554" s="40">
        <f t="shared" si="50"/>
        <v>-5.9705366993315937E-3</v>
      </c>
      <c r="Q554" s="40"/>
      <c r="R554" s="40"/>
      <c r="S554" t="s">
        <v>2559</v>
      </c>
      <c r="T554">
        <v>3.81</v>
      </c>
      <c r="U554" s="40">
        <f t="shared" si="51"/>
        <v>-2.6212334798741926E-3</v>
      </c>
      <c r="V554" s="40">
        <f t="shared" si="52"/>
        <v>3.81</v>
      </c>
      <c r="W554" s="40">
        <f t="shared" si="53"/>
        <v>-2.6212334798741926E-3</v>
      </c>
    </row>
    <row r="555" spans="1:23" x14ac:dyDescent="0.2">
      <c r="A555" s="40" t="s">
        <v>1085</v>
      </c>
      <c r="B555" s="40">
        <v>14.84</v>
      </c>
      <c r="C555" s="40">
        <v>14.84</v>
      </c>
      <c r="D555" s="40">
        <v>14.84</v>
      </c>
      <c r="E555" s="40">
        <v>14.84</v>
      </c>
      <c r="G555" s="36">
        <v>44883</v>
      </c>
      <c r="H555" s="40">
        <v>16.91</v>
      </c>
      <c r="I555" s="40">
        <v>15.409000000000001</v>
      </c>
      <c r="J555" s="44"/>
      <c r="K555" s="40"/>
      <c r="L555" s="45">
        <v>16.91</v>
      </c>
      <c r="M555" s="46">
        <v>15.409000000000001</v>
      </c>
      <c r="N555" s="40">
        <f t="shared" si="48"/>
        <v>-0.11811151839756923</v>
      </c>
      <c r="O555" s="40">
        <f t="shared" si="49"/>
        <v>-1.7242915786677564E-2</v>
      </c>
      <c r="P555" s="40">
        <f t="shared" si="50"/>
        <v>-1.7095107482298842E-2</v>
      </c>
      <c r="Q555" s="40"/>
      <c r="R555" s="40"/>
      <c r="S555" t="s">
        <v>2558</v>
      </c>
      <c r="T555">
        <v>3.82</v>
      </c>
      <c r="U555" s="40">
        <f t="shared" si="51"/>
        <v>7.8844035241488353E-3</v>
      </c>
      <c r="V555" s="40">
        <f t="shared" si="52"/>
        <v>3.82</v>
      </c>
      <c r="W555" s="40">
        <f t="shared" si="53"/>
        <v>7.8844035241488353E-3</v>
      </c>
    </row>
    <row r="556" spans="1:23" x14ac:dyDescent="0.2">
      <c r="A556" s="40" t="s">
        <v>1086</v>
      </c>
      <c r="B556" s="40">
        <v>13.65</v>
      </c>
      <c r="C556" s="40">
        <v>13.65</v>
      </c>
      <c r="D556" s="40">
        <v>13.65</v>
      </c>
      <c r="E556" s="40">
        <v>13.65</v>
      </c>
      <c r="G556" s="36">
        <v>44882</v>
      </c>
      <c r="H556" s="40">
        <v>19.03</v>
      </c>
      <c r="I556" s="40">
        <v>15.677</v>
      </c>
      <c r="J556" s="44"/>
      <c r="K556" s="40"/>
      <c r="L556" s="45">
        <v>19.03</v>
      </c>
      <c r="M556" s="46">
        <v>15.677</v>
      </c>
      <c r="N556" s="40">
        <f t="shared" si="48"/>
        <v>-2.4910473326961762E-2</v>
      </c>
      <c r="O556" s="40">
        <f t="shared" si="49"/>
        <v>-1.4753172263301584E-2</v>
      </c>
      <c r="P556" s="40">
        <f t="shared" si="50"/>
        <v>-1.4644877435575144E-2</v>
      </c>
      <c r="Q556" s="40"/>
      <c r="R556" s="40"/>
      <c r="S556" t="s">
        <v>2557</v>
      </c>
      <c r="T556">
        <v>3.79</v>
      </c>
      <c r="U556" s="40">
        <f t="shared" si="51"/>
        <v>-2.6350476380050023E-3</v>
      </c>
      <c r="V556" s="40">
        <f t="shared" si="52"/>
        <v>3.79</v>
      </c>
      <c r="W556" s="40">
        <f t="shared" si="53"/>
        <v>-2.6350476380050023E-3</v>
      </c>
    </row>
    <row r="557" spans="1:23" x14ac:dyDescent="0.2">
      <c r="A557" s="40" t="s">
        <v>1087</v>
      </c>
      <c r="B557" s="40">
        <v>16.010000000000002</v>
      </c>
      <c r="C557" s="40">
        <v>16.010000000000002</v>
      </c>
      <c r="D557" s="40">
        <v>16.010000000000002</v>
      </c>
      <c r="E557" s="40">
        <v>16.010000000000002</v>
      </c>
      <c r="G557" s="36">
        <v>44881</v>
      </c>
      <c r="H557" s="40">
        <v>19.510000000000002</v>
      </c>
      <c r="I557" s="40">
        <v>15.91</v>
      </c>
      <c r="J557" s="44"/>
      <c r="K557" s="40"/>
      <c r="L557" s="45">
        <v>19.510000000000002</v>
      </c>
      <c r="M557" s="46">
        <v>15.91</v>
      </c>
      <c r="N557" s="40">
        <f t="shared" si="48"/>
        <v>6.1842687806701116E-2</v>
      </c>
      <c r="O557" s="40">
        <f t="shared" si="49"/>
        <v>-4.6422873610319555E-2</v>
      </c>
      <c r="P557" s="40">
        <f t="shared" si="50"/>
        <v>-4.5361814472578914E-2</v>
      </c>
      <c r="Q557" s="40"/>
      <c r="R557" s="40"/>
      <c r="S557" t="s">
        <v>2556</v>
      </c>
      <c r="T557">
        <v>3.8</v>
      </c>
      <c r="U557" s="40">
        <f t="shared" si="51"/>
        <v>4.3017385083690643E-2</v>
      </c>
      <c r="V557" s="40">
        <f t="shared" si="52"/>
        <v>3.8</v>
      </c>
      <c r="W557" s="40">
        <f t="shared" si="53"/>
        <v>4.3017385083690643E-2</v>
      </c>
    </row>
    <row r="558" spans="1:23" x14ac:dyDescent="0.2">
      <c r="A558" s="40" t="s">
        <v>1088</v>
      </c>
      <c r="B558" s="40">
        <v>15.23</v>
      </c>
      <c r="C558" s="40">
        <v>15.23</v>
      </c>
      <c r="D558" s="40">
        <v>15.23</v>
      </c>
      <c r="E558" s="40">
        <v>15.23</v>
      </c>
      <c r="G558" s="36">
        <v>44880</v>
      </c>
      <c r="H558" s="40">
        <v>18.34</v>
      </c>
      <c r="I558" s="40">
        <v>16.666</v>
      </c>
      <c r="J558" s="44"/>
      <c r="K558" s="40"/>
      <c r="L558" s="45">
        <v>18.34</v>
      </c>
      <c r="M558" s="46">
        <v>16.666</v>
      </c>
      <c r="N558" s="40">
        <f t="shared" si="48"/>
        <v>-7.3562567177016605E-2</v>
      </c>
      <c r="O558" s="40">
        <f t="shared" si="49"/>
        <v>2.2512403670489994E-2</v>
      </c>
      <c r="P558" s="40">
        <f t="shared" si="50"/>
        <v>2.2767720159558063E-2</v>
      </c>
      <c r="Q558" s="40"/>
      <c r="R558" s="40"/>
      <c r="S558" t="s">
        <v>2555</v>
      </c>
      <c r="T558">
        <v>3.64</v>
      </c>
      <c r="U558" s="40">
        <f t="shared" si="51"/>
        <v>5.5096558109696998E-3</v>
      </c>
      <c r="V558" s="40">
        <f t="shared" si="52"/>
        <v>3.64</v>
      </c>
      <c r="W558" s="40">
        <f t="shared" si="53"/>
        <v>5.5096558109696998E-3</v>
      </c>
    </row>
    <row r="559" spans="1:23" x14ac:dyDescent="0.2">
      <c r="A559" s="40" t="s">
        <v>1089</v>
      </c>
      <c r="B559" s="40">
        <v>14.22</v>
      </c>
      <c r="C559" s="40">
        <v>14.22</v>
      </c>
      <c r="D559" s="40">
        <v>14.22</v>
      </c>
      <c r="E559" s="40">
        <v>14.22</v>
      </c>
      <c r="G559" s="36">
        <v>44879</v>
      </c>
      <c r="H559" s="40">
        <v>19.739999999999998</v>
      </c>
      <c r="I559" s="40">
        <v>16.295000000000002</v>
      </c>
      <c r="J559" s="44"/>
      <c r="K559" s="40"/>
      <c r="L559" s="45">
        <v>19.739999999999998</v>
      </c>
      <c r="M559" s="46">
        <v>16.295000000000002</v>
      </c>
      <c r="N559" s="40">
        <f t="shared" si="48"/>
        <v>3.5524016043677006E-3</v>
      </c>
      <c r="O559" s="40">
        <f t="shared" si="49"/>
        <v>-1.9618668545024762E-3</v>
      </c>
      <c r="P559" s="40">
        <f t="shared" si="50"/>
        <v>-1.9599436516200175E-3</v>
      </c>
      <c r="Q559" s="40"/>
      <c r="R559" s="40"/>
      <c r="S559" t="s">
        <v>2554</v>
      </c>
      <c r="T559">
        <v>3.62</v>
      </c>
      <c r="U559" s="40">
        <f t="shared" si="51"/>
        <v>1.1111225425070849E-2</v>
      </c>
      <c r="V559" s="40">
        <f t="shared" si="52"/>
        <v>3.62</v>
      </c>
      <c r="W559" s="40">
        <f t="shared" si="53"/>
        <v>1.1111225425070849E-2</v>
      </c>
    </row>
    <row r="560" spans="1:23" x14ac:dyDescent="0.2">
      <c r="A560" s="40" t="s">
        <v>1090</v>
      </c>
      <c r="B560" s="40">
        <v>11.75</v>
      </c>
      <c r="C560" s="40">
        <v>11.75</v>
      </c>
      <c r="D560" s="40">
        <v>11.75</v>
      </c>
      <c r="E560" s="40">
        <v>11.75</v>
      </c>
      <c r="G560" s="36">
        <v>44876</v>
      </c>
      <c r="H560" s="40">
        <v>19.670000000000002</v>
      </c>
      <c r="I560" s="40">
        <v>16.327000000000002</v>
      </c>
      <c r="J560" s="44"/>
      <c r="K560" s="40"/>
      <c r="L560" s="45">
        <v>19.670000000000002</v>
      </c>
      <c r="M560" s="46">
        <v>16.327000000000002</v>
      </c>
      <c r="N560" s="40">
        <f t="shared" si="48"/>
        <v>-0.10281533739407556</v>
      </c>
      <c r="O560" s="40">
        <f t="shared" si="49"/>
        <v>3.5979813872385448E-2</v>
      </c>
      <c r="P560" s="40">
        <f t="shared" si="50"/>
        <v>3.6634920634920742E-2</v>
      </c>
      <c r="Q560" s="40"/>
      <c r="R560" s="40"/>
      <c r="S560" t="s">
        <v>2553</v>
      </c>
      <c r="T560">
        <v>3.58</v>
      </c>
      <c r="U560" s="40">
        <f t="shared" si="51"/>
        <v>0</v>
      </c>
      <c r="V560" s="40">
        <f t="shared" si="52"/>
        <v>3.58</v>
      </c>
      <c r="W560" s="40">
        <f t="shared" si="53"/>
        <v>0</v>
      </c>
    </row>
    <row r="561" spans="1:23" x14ac:dyDescent="0.2">
      <c r="A561" s="40" t="s">
        <v>1091</v>
      </c>
      <c r="B561" s="40">
        <v>12.29</v>
      </c>
      <c r="C561" s="40">
        <v>12.29</v>
      </c>
      <c r="D561" s="40">
        <v>12.29</v>
      </c>
      <c r="E561" s="40">
        <v>12.29</v>
      </c>
      <c r="G561" s="36">
        <v>44875</v>
      </c>
      <c r="H561" s="40">
        <v>21.8</v>
      </c>
      <c r="I561" s="40">
        <v>15.75</v>
      </c>
      <c r="J561" s="44"/>
      <c r="K561" s="40"/>
      <c r="L561" s="45">
        <v>21.8</v>
      </c>
      <c r="M561" s="46">
        <v>15.75</v>
      </c>
      <c r="N561" s="40">
        <f t="shared" si="48"/>
        <v>2.8380597514835643E-2</v>
      </c>
      <c r="O561" s="40">
        <f t="shared" si="49"/>
        <v>0.1339124175862671</v>
      </c>
      <c r="P561" s="40">
        <f t="shared" si="50"/>
        <v>0.14329268292682928</v>
      </c>
      <c r="Q561" s="40"/>
      <c r="R561" s="40"/>
      <c r="S561" s="47">
        <v>44845</v>
      </c>
      <c r="T561">
        <v>3.58</v>
      </c>
      <c r="U561" s="40">
        <f t="shared" si="51"/>
        <v>2.833050662622599E-2</v>
      </c>
      <c r="V561" s="40">
        <f t="shared" si="52"/>
        <v>3.58</v>
      </c>
      <c r="W561" s="40">
        <f t="shared" si="53"/>
        <v>2.833050662622599E-2</v>
      </c>
    </row>
    <row r="562" spans="1:23" x14ac:dyDescent="0.2">
      <c r="A562" s="40" t="s">
        <v>1092</v>
      </c>
      <c r="B562" s="40">
        <v>11.03</v>
      </c>
      <c r="C562" s="40">
        <v>11.03</v>
      </c>
      <c r="D562" s="40">
        <v>11.03</v>
      </c>
      <c r="E562" s="40">
        <v>11.03</v>
      </c>
      <c r="G562" s="36">
        <v>44874</v>
      </c>
      <c r="H562" s="40">
        <v>21.19</v>
      </c>
      <c r="I562" s="40">
        <v>13.776</v>
      </c>
      <c r="J562" s="44"/>
      <c r="K562" s="40"/>
      <c r="L562" s="45">
        <v>21.19</v>
      </c>
      <c r="M562" s="46">
        <v>13.776</v>
      </c>
      <c r="N562" s="40">
        <f t="shared" si="48"/>
        <v>-5.6470738303179705E-3</v>
      </c>
      <c r="O562" s="40">
        <f t="shared" si="49"/>
        <v>-5.8230557948519106E-2</v>
      </c>
      <c r="P562" s="40">
        <f t="shared" si="50"/>
        <v>-5.6567593480345194E-2</v>
      </c>
      <c r="Q562" s="40"/>
      <c r="R562" s="40"/>
      <c r="S562" s="47">
        <v>44815</v>
      </c>
      <c r="T562">
        <v>3.48</v>
      </c>
      <c r="U562" s="40">
        <f t="shared" si="51"/>
        <v>-8.5837436913914419E-3</v>
      </c>
      <c r="V562" s="40">
        <f t="shared" si="52"/>
        <v>3.48</v>
      </c>
      <c r="W562" s="40">
        <f t="shared" si="53"/>
        <v>-8.5837436913914419E-3</v>
      </c>
    </row>
    <row r="563" spans="1:23" x14ac:dyDescent="0.2">
      <c r="A563" s="41">
        <v>41278</v>
      </c>
      <c r="B563" s="40">
        <v>12.97</v>
      </c>
      <c r="C563" s="40">
        <v>12.97</v>
      </c>
      <c r="D563" s="40">
        <v>12.97</v>
      </c>
      <c r="E563" s="40">
        <v>12.97</v>
      </c>
      <c r="G563" s="36">
        <v>44873</v>
      </c>
      <c r="H563" s="40">
        <v>21.31</v>
      </c>
      <c r="I563" s="40">
        <v>14.602</v>
      </c>
      <c r="J563" s="44"/>
      <c r="K563" s="40"/>
      <c r="L563" s="45">
        <v>21.31</v>
      </c>
      <c r="M563" s="46">
        <v>14.602</v>
      </c>
      <c r="N563" s="40">
        <f t="shared" si="48"/>
        <v>-0.13786268414850064</v>
      </c>
      <c r="O563" s="40">
        <f t="shared" si="49"/>
        <v>2.0829040743095786E-2</v>
      </c>
      <c r="P563" s="40">
        <f t="shared" si="50"/>
        <v>2.1047479197258943E-2</v>
      </c>
      <c r="Q563" s="40"/>
      <c r="R563" s="40"/>
      <c r="S563" s="47">
        <v>44784</v>
      </c>
      <c r="T563">
        <v>3.51</v>
      </c>
      <c r="U563" s="40">
        <f t="shared" si="51"/>
        <v>-3.6367644170874951E-2</v>
      </c>
      <c r="V563" s="40">
        <f t="shared" si="52"/>
        <v>3.51</v>
      </c>
      <c r="W563" s="40">
        <f t="shared" si="53"/>
        <v>-3.6367644170874951E-2</v>
      </c>
    </row>
    <row r="564" spans="1:23" x14ac:dyDescent="0.2">
      <c r="A564" s="41">
        <v>41309</v>
      </c>
      <c r="B564" s="40">
        <v>11.62</v>
      </c>
      <c r="C564" s="40">
        <v>11.62</v>
      </c>
      <c r="D564" s="40">
        <v>11.62</v>
      </c>
      <c r="E564" s="40">
        <v>11.62</v>
      </c>
      <c r="G564" s="36">
        <v>44872</v>
      </c>
      <c r="H564" s="40">
        <v>24.46</v>
      </c>
      <c r="I564" s="40">
        <v>14.301</v>
      </c>
      <c r="J564" s="44"/>
      <c r="K564" s="40"/>
      <c r="L564" s="45">
        <v>24.46</v>
      </c>
      <c r="M564" s="46">
        <v>14.301</v>
      </c>
      <c r="N564" s="40">
        <f t="shared" si="48"/>
        <v>-0.16680246485936007</v>
      </c>
      <c r="O564" s="40">
        <f t="shared" si="49"/>
        <v>1.0190902407581233E-2</v>
      </c>
      <c r="P564" s="40">
        <f t="shared" si="50"/>
        <v>1.0243006499010989E-2</v>
      </c>
      <c r="Q564" s="40"/>
      <c r="R564" s="40"/>
      <c r="S564" s="47">
        <v>44753</v>
      </c>
      <c r="T564">
        <v>3.64</v>
      </c>
      <c r="U564" s="40">
        <f t="shared" si="51"/>
        <v>1.1049836186584935E-2</v>
      </c>
      <c r="V564" s="40">
        <f t="shared" si="52"/>
        <v>3.64</v>
      </c>
      <c r="W564" s="40">
        <f t="shared" si="53"/>
        <v>1.1049836186584935E-2</v>
      </c>
    </row>
    <row r="565" spans="1:23" x14ac:dyDescent="0.2">
      <c r="A565" s="41">
        <v>41337</v>
      </c>
      <c r="B565" s="40">
        <v>14.3</v>
      </c>
      <c r="C565" s="40">
        <v>14.3</v>
      </c>
      <c r="D565" s="40">
        <v>14.3</v>
      </c>
      <c r="E565" s="40">
        <v>14.3</v>
      </c>
      <c r="G565" s="36">
        <v>44869</v>
      </c>
      <c r="H565" s="40">
        <v>28.9</v>
      </c>
      <c r="I565" s="40">
        <v>14.156000000000001</v>
      </c>
      <c r="J565" s="44"/>
      <c r="K565" s="40"/>
      <c r="L565" s="45">
        <v>28.9</v>
      </c>
      <c r="M565" s="46">
        <v>14.156000000000001</v>
      </c>
      <c r="N565" s="40">
        <f t="shared" si="48"/>
        <v>6.944472352810995E-3</v>
      </c>
      <c r="O565" s="40">
        <f t="shared" si="49"/>
        <v>5.3317918067548202E-2</v>
      </c>
      <c r="P565" s="40">
        <f t="shared" si="50"/>
        <v>5.4764920646747726E-2</v>
      </c>
      <c r="Q565" s="40"/>
      <c r="R565" s="40"/>
      <c r="S565" s="47">
        <v>44662</v>
      </c>
      <c r="T565">
        <v>3.6</v>
      </c>
      <c r="U565" s="40">
        <f t="shared" si="51"/>
        <v>-8.2988028146950658E-3</v>
      </c>
      <c r="V565" s="40">
        <f t="shared" si="52"/>
        <v>3.6</v>
      </c>
      <c r="W565" s="40">
        <f t="shared" si="53"/>
        <v>-8.2988028146950658E-3</v>
      </c>
    </row>
    <row r="566" spans="1:23" x14ac:dyDescent="0.2">
      <c r="A566" s="41">
        <v>41368</v>
      </c>
      <c r="B566" s="40">
        <v>13.62</v>
      </c>
      <c r="C566" s="40">
        <v>13.62</v>
      </c>
      <c r="D566" s="40">
        <v>13.62</v>
      </c>
      <c r="E566" s="40">
        <v>13.62</v>
      </c>
      <c r="G566" s="36">
        <v>44868</v>
      </c>
      <c r="H566" s="40">
        <v>28.7</v>
      </c>
      <c r="I566" s="40">
        <v>13.420999999999999</v>
      </c>
      <c r="J566" s="44"/>
      <c r="K566" s="40"/>
      <c r="L566" s="45">
        <v>28.7</v>
      </c>
      <c r="M566" s="46">
        <v>13.420999999999999</v>
      </c>
      <c r="N566" s="40">
        <f t="shared" si="48"/>
        <v>5.5151820075080064E-2</v>
      </c>
      <c r="O566" s="40">
        <f t="shared" si="49"/>
        <v>1.5165455818406176E-2</v>
      </c>
      <c r="P566" s="40">
        <f t="shared" si="50"/>
        <v>1.5281034874044933E-2</v>
      </c>
      <c r="Q566" s="40"/>
      <c r="R566" s="40"/>
      <c r="S566" s="47">
        <v>44631</v>
      </c>
      <c r="T566">
        <v>3.63</v>
      </c>
      <c r="U566" s="40">
        <f t="shared" si="51"/>
        <v>2.7934777331554066E-2</v>
      </c>
      <c r="V566" s="40">
        <f t="shared" si="52"/>
        <v>3.63</v>
      </c>
      <c r="W566" s="40">
        <f t="shared" si="53"/>
        <v>2.7934777331554066E-2</v>
      </c>
    </row>
    <row r="567" spans="1:23" x14ac:dyDescent="0.2">
      <c r="A567" s="41">
        <v>41398</v>
      </c>
      <c r="B567" s="40">
        <v>13.59</v>
      </c>
      <c r="C567" s="40">
        <v>13.59</v>
      </c>
      <c r="D567" s="40">
        <v>13.59</v>
      </c>
      <c r="E567" s="40">
        <v>13.59</v>
      </c>
      <c r="G567" s="36">
        <v>44867</v>
      </c>
      <c r="H567" s="40">
        <v>27.16</v>
      </c>
      <c r="I567" s="40">
        <v>13.218999999999999</v>
      </c>
      <c r="J567" s="44"/>
      <c r="K567" s="40"/>
      <c r="L567" s="45">
        <v>27.16</v>
      </c>
      <c r="M567" s="46">
        <v>13.218999999999999</v>
      </c>
      <c r="N567" s="40">
        <f t="shared" si="48"/>
        <v>4.4280515157320037E-3</v>
      </c>
      <c r="O567" s="40">
        <f t="shared" si="49"/>
        <v>-2.4214620075971603E-2</v>
      </c>
      <c r="P567" s="40">
        <f t="shared" si="50"/>
        <v>-2.3923798272170116E-2</v>
      </c>
      <c r="Q567" s="40"/>
      <c r="R567" s="40"/>
      <c r="S567" s="47">
        <v>44603</v>
      </c>
      <c r="T567">
        <v>3.53</v>
      </c>
      <c r="U567" s="40">
        <f t="shared" si="51"/>
        <v>-8.4626739187337666E-3</v>
      </c>
      <c r="V567" s="40">
        <f t="shared" si="52"/>
        <v>3.53</v>
      </c>
      <c r="W567" s="40">
        <f t="shared" si="53"/>
        <v>-8.4626739187337666E-3</v>
      </c>
    </row>
    <row r="568" spans="1:23" x14ac:dyDescent="0.2">
      <c r="A568" s="41">
        <v>41490</v>
      </c>
      <c r="B568" s="40">
        <v>13.15</v>
      </c>
      <c r="C568" s="40">
        <v>13.15</v>
      </c>
      <c r="D568" s="40">
        <v>13.15</v>
      </c>
      <c r="E568" s="40">
        <v>13.15</v>
      </c>
      <c r="G568" s="36">
        <v>44866</v>
      </c>
      <c r="H568" s="40">
        <v>27.04</v>
      </c>
      <c r="I568" s="40">
        <v>13.542999999999999</v>
      </c>
      <c r="J568" s="44"/>
      <c r="K568" s="40"/>
      <c r="L568" s="45">
        <v>27.04</v>
      </c>
      <c r="M568" s="46">
        <v>13.542999999999999</v>
      </c>
      <c r="N568" s="40">
        <f t="shared" si="48"/>
        <v>-4.9071893992396948E-2</v>
      </c>
      <c r="O568" s="40">
        <f t="shared" si="49"/>
        <v>3.4023701460892627E-3</v>
      </c>
      <c r="P568" s="40">
        <f t="shared" si="50"/>
        <v>3.4081647773578851E-3</v>
      </c>
      <c r="Q568" s="40"/>
      <c r="R568" s="40"/>
      <c r="S568" s="47">
        <v>44572</v>
      </c>
      <c r="T568">
        <v>3.56</v>
      </c>
      <c r="U568" s="40">
        <f t="shared" si="51"/>
        <v>-2.8050509276086096E-3</v>
      </c>
      <c r="V568" s="40">
        <f t="shared" si="52"/>
        <v>3.56</v>
      </c>
      <c r="W568" s="40">
        <f t="shared" si="53"/>
        <v>-2.8050509276086096E-3</v>
      </c>
    </row>
    <row r="569" spans="1:23" x14ac:dyDescent="0.2">
      <c r="A569" s="41">
        <v>41521</v>
      </c>
      <c r="B569" s="40">
        <v>12.42</v>
      </c>
      <c r="C569" s="40">
        <v>12.42</v>
      </c>
      <c r="D569" s="40">
        <v>12.42</v>
      </c>
      <c r="E569" s="40">
        <v>12.42</v>
      </c>
      <c r="G569" s="36">
        <v>44865</v>
      </c>
      <c r="H569" s="40">
        <v>28.4</v>
      </c>
      <c r="I569" s="40">
        <v>13.497</v>
      </c>
      <c r="J569" s="44"/>
      <c r="K569" s="40"/>
      <c r="L569" s="45">
        <v>28.4</v>
      </c>
      <c r="M569" s="46">
        <v>13.497</v>
      </c>
      <c r="N569" s="40">
        <f t="shared" si="48"/>
        <v>-3.3584600043368412E-2</v>
      </c>
      <c r="O569" s="40">
        <f t="shared" si="49"/>
        <v>-2.4661891651248005E-2</v>
      </c>
      <c r="P569" s="40">
        <f t="shared" si="50"/>
        <v>-2.4360271794130386E-2</v>
      </c>
      <c r="Q569" s="40"/>
      <c r="R569" s="40"/>
      <c r="S569" t="s">
        <v>2552</v>
      </c>
      <c r="T569">
        <v>3.57</v>
      </c>
      <c r="U569" s="40">
        <f t="shared" si="51"/>
        <v>-8.3682496705166903E-3</v>
      </c>
      <c r="V569" s="40">
        <f t="shared" si="52"/>
        <v>3.57</v>
      </c>
      <c r="W569" s="40">
        <f t="shared" si="53"/>
        <v>-8.3682496705166903E-3</v>
      </c>
    </row>
    <row r="570" spans="1:23" x14ac:dyDescent="0.2">
      <c r="A570" s="41">
        <v>41551</v>
      </c>
      <c r="B570" s="40">
        <v>11.47</v>
      </c>
      <c r="C570" s="40">
        <v>11.47</v>
      </c>
      <c r="D570" s="40">
        <v>11.47</v>
      </c>
      <c r="E570" s="40">
        <v>11.47</v>
      </c>
      <c r="G570" s="36">
        <v>44862</v>
      </c>
      <c r="H570" s="40">
        <v>29.37</v>
      </c>
      <c r="I570" s="40">
        <v>13.834</v>
      </c>
      <c r="J570" s="44"/>
      <c r="K570" s="40"/>
      <c r="L570" s="45">
        <v>29.37</v>
      </c>
      <c r="M570" s="46">
        <v>13.834</v>
      </c>
      <c r="N570" s="40">
        <f t="shared" si="48"/>
        <v>-3.8080753518049577E-2</v>
      </c>
      <c r="O570" s="40">
        <f t="shared" si="49"/>
        <v>4.8732337303053833E-2</v>
      </c>
      <c r="P570" s="40">
        <f t="shared" si="50"/>
        <v>4.993928354584088E-2</v>
      </c>
      <c r="Q570" s="40"/>
      <c r="R570" s="40"/>
      <c r="S570" t="s">
        <v>2551</v>
      </c>
      <c r="T570">
        <v>3.6</v>
      </c>
      <c r="U570" s="40">
        <f t="shared" si="51"/>
        <v>-2.7739268827252079E-3</v>
      </c>
      <c r="V570" s="40">
        <f t="shared" si="52"/>
        <v>3.6</v>
      </c>
      <c r="W570" s="40">
        <f t="shared" si="53"/>
        <v>-2.7739268827252079E-3</v>
      </c>
    </row>
    <row r="571" spans="1:23" x14ac:dyDescent="0.2">
      <c r="A571" s="41">
        <v>41582</v>
      </c>
      <c r="B571" s="40">
        <v>11.05</v>
      </c>
      <c r="C571" s="40">
        <v>11.05</v>
      </c>
      <c r="D571" s="40">
        <v>11.05</v>
      </c>
      <c r="E571" s="40">
        <v>11.05</v>
      </c>
      <c r="G571" s="36">
        <v>44861</v>
      </c>
      <c r="H571" s="40">
        <v>30.51</v>
      </c>
      <c r="I571" s="40">
        <v>13.176</v>
      </c>
      <c r="J571" s="44"/>
      <c r="K571" s="40"/>
      <c r="L571" s="45">
        <v>30.51</v>
      </c>
      <c r="M571" s="46">
        <v>13.176</v>
      </c>
      <c r="N571" s="40">
        <f t="shared" si="48"/>
        <v>2.3546105217219469E-2</v>
      </c>
      <c r="O571" s="40">
        <f t="shared" si="49"/>
        <v>2.1479807111066569E-2</v>
      </c>
      <c r="P571" s="40">
        <f t="shared" si="50"/>
        <v>2.1712158808932951E-2</v>
      </c>
      <c r="Q571" s="40"/>
      <c r="R571" s="40"/>
      <c r="S571" t="s">
        <v>2550</v>
      </c>
      <c r="T571">
        <v>3.61</v>
      </c>
      <c r="U571" s="40">
        <f t="shared" si="51"/>
        <v>7.1766798369676643E-2</v>
      </c>
      <c r="V571" s="40">
        <f t="shared" si="52"/>
        <v>3.61</v>
      </c>
      <c r="W571" s="40">
        <f t="shared" si="53"/>
        <v>7.1766798369676643E-2</v>
      </c>
    </row>
    <row r="572" spans="1:23" x14ac:dyDescent="0.2">
      <c r="A572" s="41">
        <v>41612</v>
      </c>
      <c r="B572" s="40">
        <v>11.37</v>
      </c>
      <c r="C572" s="40">
        <v>11.37</v>
      </c>
      <c r="D572" s="40">
        <v>11.37</v>
      </c>
      <c r="E572" s="40">
        <v>11.37</v>
      </c>
      <c r="G572" s="36">
        <v>44860</v>
      </c>
      <c r="H572" s="40">
        <v>29.8</v>
      </c>
      <c r="I572" s="40">
        <v>12.896000000000001</v>
      </c>
      <c r="J572" s="44"/>
      <c r="K572" s="40"/>
      <c r="L572" s="45">
        <v>29.8</v>
      </c>
      <c r="M572" s="46">
        <v>12.896000000000001</v>
      </c>
      <c r="N572" s="40">
        <f t="shared" si="48"/>
        <v>6.9112725265485342E-2</v>
      </c>
      <c r="O572" s="40">
        <f t="shared" si="49"/>
        <v>-2.7910210931189387E-2</v>
      </c>
      <c r="P572" s="40">
        <f t="shared" si="50"/>
        <v>-2.7524319432923494E-2</v>
      </c>
      <c r="Q572" s="40"/>
      <c r="R572" s="40"/>
      <c r="S572" t="s">
        <v>2549</v>
      </c>
      <c r="T572">
        <v>3.36</v>
      </c>
      <c r="U572" s="40">
        <f t="shared" si="51"/>
        <v>-1.1834457647002796E-2</v>
      </c>
      <c r="V572" s="40">
        <f t="shared" si="52"/>
        <v>3.36</v>
      </c>
      <c r="W572" s="40">
        <f t="shared" si="53"/>
        <v>-1.1834457647002796E-2</v>
      </c>
    </row>
    <row r="573" spans="1:23" x14ac:dyDescent="0.2">
      <c r="A573" s="40" t="s">
        <v>1093</v>
      </c>
      <c r="B573" s="40">
        <v>20.67</v>
      </c>
      <c r="C573" s="40">
        <v>20.67</v>
      </c>
      <c r="D573" s="40">
        <v>20.67</v>
      </c>
      <c r="E573" s="40">
        <v>20.67</v>
      </c>
      <c r="G573" s="36">
        <v>44859</v>
      </c>
      <c r="H573" s="40">
        <v>27.81</v>
      </c>
      <c r="I573" s="40">
        <v>13.260999999999999</v>
      </c>
      <c r="J573" s="44"/>
      <c r="K573" s="40"/>
      <c r="L573" s="45">
        <v>27.81</v>
      </c>
      <c r="M573" s="46">
        <v>13.260999999999999</v>
      </c>
      <c r="N573" s="40">
        <f t="shared" si="48"/>
        <v>-6.8105506781811542E-2</v>
      </c>
      <c r="O573" s="40">
        <f t="shared" si="49"/>
        <v>5.1209950966969106E-2</v>
      </c>
      <c r="P573" s="40">
        <f t="shared" si="50"/>
        <v>5.2543852686721092E-2</v>
      </c>
      <c r="Q573" s="40"/>
      <c r="R573" s="40"/>
      <c r="S573" t="s">
        <v>2548</v>
      </c>
      <c r="T573">
        <v>3.4</v>
      </c>
      <c r="U573" s="40">
        <f t="shared" si="51"/>
        <v>-5.8651194523981339E-3</v>
      </c>
      <c r="V573" s="40">
        <f t="shared" si="52"/>
        <v>3.4</v>
      </c>
      <c r="W573" s="40">
        <f t="shared" si="53"/>
        <v>-5.8651194523981339E-3</v>
      </c>
    </row>
    <row r="574" spans="1:23" x14ac:dyDescent="0.2">
      <c r="A574" s="40" t="s">
        <v>1094</v>
      </c>
      <c r="B574" s="40">
        <v>14.41</v>
      </c>
      <c r="C574" s="40">
        <v>14.41</v>
      </c>
      <c r="D574" s="40">
        <v>14.41</v>
      </c>
      <c r="E574" s="40">
        <v>14.41</v>
      </c>
      <c r="G574" s="36">
        <v>44858</v>
      </c>
      <c r="H574" s="40">
        <v>29.77</v>
      </c>
      <c r="I574" s="40">
        <v>12.599</v>
      </c>
      <c r="J574" s="44"/>
      <c r="K574" s="40"/>
      <c r="L574" s="45">
        <v>29.77</v>
      </c>
      <c r="M574" s="46">
        <v>12.599</v>
      </c>
      <c r="N574" s="40">
        <f t="shared" si="48"/>
        <v>1.5231298009234187E-2</v>
      </c>
      <c r="O574" s="40">
        <f t="shared" si="49"/>
        <v>1.0612507341833853E-2</v>
      </c>
      <c r="P574" s="40">
        <f t="shared" si="50"/>
        <v>1.0669019733675671E-2</v>
      </c>
      <c r="Q574" s="40"/>
      <c r="R574" s="40"/>
      <c r="S574" t="s">
        <v>2547</v>
      </c>
      <c r="T574">
        <v>3.42</v>
      </c>
      <c r="U574" s="40">
        <f t="shared" si="51"/>
        <v>0</v>
      </c>
      <c r="V574" s="40">
        <f t="shared" si="52"/>
        <v>3.42</v>
      </c>
      <c r="W574" s="40">
        <f t="shared" si="53"/>
        <v>0</v>
      </c>
    </row>
    <row r="575" spans="1:23" x14ac:dyDescent="0.2">
      <c r="A575" s="40" t="s">
        <v>1095</v>
      </c>
      <c r="B575" s="40">
        <v>18.77</v>
      </c>
      <c r="C575" s="40">
        <v>18.77</v>
      </c>
      <c r="D575" s="40">
        <v>18.77</v>
      </c>
      <c r="E575" s="40">
        <v>18.77</v>
      </c>
      <c r="G575" s="36">
        <v>44855</v>
      </c>
      <c r="H575" s="40">
        <v>29.32</v>
      </c>
      <c r="I575" s="40">
        <v>12.465999999999999</v>
      </c>
      <c r="J575" s="44"/>
      <c r="K575" s="40"/>
      <c r="L575" s="45">
        <v>29.32</v>
      </c>
      <c r="M575" s="46">
        <v>12.465999999999999</v>
      </c>
      <c r="N575" s="40">
        <f t="shared" si="48"/>
        <v>-4.5015101107709427E-2</v>
      </c>
      <c r="O575" s="40">
        <f t="shared" si="49"/>
        <v>2.2060910901034438E-2</v>
      </c>
      <c r="P575" s="40">
        <f t="shared" si="50"/>
        <v>2.2306052156798296E-2</v>
      </c>
      <c r="Q575" s="40"/>
      <c r="R575" s="40"/>
      <c r="S575" t="s">
        <v>2546</v>
      </c>
      <c r="T575">
        <v>3.42</v>
      </c>
      <c r="U575" s="40">
        <f t="shared" si="51"/>
        <v>-5.8309203107932096E-3</v>
      </c>
      <c r="V575" s="40">
        <f t="shared" si="52"/>
        <v>3.42</v>
      </c>
      <c r="W575" s="40">
        <f t="shared" si="53"/>
        <v>-5.8309203107932096E-3</v>
      </c>
    </row>
    <row r="576" spans="1:23" x14ac:dyDescent="0.2">
      <c r="A576" s="40" t="s">
        <v>1096</v>
      </c>
      <c r="B576" s="40">
        <v>19.3</v>
      </c>
      <c r="C576" s="40">
        <v>19.3</v>
      </c>
      <c r="D576" s="40">
        <v>19.3</v>
      </c>
      <c r="E576" s="40">
        <v>19.3</v>
      </c>
      <c r="G576" s="36">
        <v>44854</v>
      </c>
      <c r="H576" s="40">
        <v>30.67</v>
      </c>
      <c r="I576" s="40">
        <v>12.194000000000001</v>
      </c>
      <c r="J576" s="44"/>
      <c r="K576" s="40"/>
      <c r="L576" s="45">
        <v>30.67</v>
      </c>
      <c r="M576" s="46">
        <v>12.194000000000001</v>
      </c>
      <c r="N576" s="40">
        <f t="shared" si="48"/>
        <v>-3.1769076326705926E-2</v>
      </c>
      <c r="O576" s="40">
        <f t="shared" si="49"/>
        <v>1.1796383440369564E-2</v>
      </c>
      <c r="P576" s="40">
        <f t="shared" si="50"/>
        <v>1.1866235167206097E-2</v>
      </c>
      <c r="Q576" s="40"/>
      <c r="R576" s="40"/>
      <c r="S576" t="s">
        <v>2545</v>
      </c>
      <c r="T576">
        <v>3.44</v>
      </c>
      <c r="U576" s="40">
        <f t="shared" si="51"/>
        <v>9.4438466833245194E-2</v>
      </c>
      <c r="V576" s="40">
        <f t="shared" si="52"/>
        <v>3.44</v>
      </c>
      <c r="W576" s="40">
        <f t="shared" si="53"/>
        <v>9.4438466833245194E-2</v>
      </c>
    </row>
    <row r="577" spans="1:23" x14ac:dyDescent="0.2">
      <c r="A577" s="40" t="s">
        <v>1097</v>
      </c>
      <c r="B577" s="40">
        <v>15.25</v>
      </c>
      <c r="C577" s="40">
        <v>15.25</v>
      </c>
      <c r="D577" s="40">
        <v>15.25</v>
      </c>
      <c r="E577" s="40">
        <v>15.25</v>
      </c>
      <c r="G577" s="36">
        <v>44853</v>
      </c>
      <c r="H577" s="40">
        <v>31.66</v>
      </c>
      <c r="I577" s="40">
        <v>12.051</v>
      </c>
      <c r="J577" s="44"/>
      <c r="K577" s="40"/>
      <c r="L577" s="45">
        <v>31.66</v>
      </c>
      <c r="M577" s="46">
        <v>12.051</v>
      </c>
      <c r="N577" s="40">
        <f t="shared" si="48"/>
        <v>0.10655446179115984</v>
      </c>
      <c r="O577" s="40">
        <f t="shared" si="49"/>
        <v>6.9947824538755376E-3</v>
      </c>
      <c r="P577" s="40">
        <f t="shared" si="50"/>
        <v>7.0193030834795377E-3</v>
      </c>
      <c r="Q577" s="40"/>
      <c r="R577" s="40"/>
      <c r="S577" t="s">
        <v>2544</v>
      </c>
      <c r="T577">
        <v>3.13</v>
      </c>
      <c r="U577" s="40">
        <f t="shared" si="51"/>
        <v>1.6103407566578673E-2</v>
      </c>
      <c r="V577" s="40">
        <f t="shared" si="52"/>
        <v>3.13</v>
      </c>
      <c r="W577" s="40">
        <f t="shared" si="53"/>
        <v>1.6103407566578673E-2</v>
      </c>
    </row>
    <row r="578" spans="1:23" x14ac:dyDescent="0.2">
      <c r="A578" s="40" t="s">
        <v>1098</v>
      </c>
      <c r="B578" s="40">
        <v>14.85</v>
      </c>
      <c r="C578" s="40">
        <v>14.85</v>
      </c>
      <c r="D578" s="40">
        <v>14.85</v>
      </c>
      <c r="E578" s="40">
        <v>14.85</v>
      </c>
      <c r="G578" s="36">
        <v>44852</v>
      </c>
      <c r="H578" s="40">
        <v>28.46</v>
      </c>
      <c r="I578" s="40">
        <v>11.967000000000001</v>
      </c>
      <c r="J578" s="44"/>
      <c r="K578" s="40"/>
      <c r="L578" s="45">
        <v>28.46</v>
      </c>
      <c r="M578" s="46">
        <v>11.967000000000001</v>
      </c>
      <c r="N578" s="40">
        <f t="shared" si="48"/>
        <v>2.0948751167849441E-2</v>
      </c>
      <c r="O578" s="40">
        <f t="shared" si="49"/>
        <v>6.6233736159760316E-3</v>
      </c>
      <c r="P578" s="40">
        <f t="shared" si="50"/>
        <v>6.6453566621804024E-3</v>
      </c>
      <c r="Q578" s="40"/>
      <c r="R578" s="40"/>
      <c r="S578" t="s">
        <v>2543</v>
      </c>
      <c r="T578">
        <v>3.08</v>
      </c>
      <c r="U578" s="40">
        <f t="shared" si="51"/>
        <v>-2.564243061333767E-2</v>
      </c>
      <c r="V578" s="40">
        <f t="shared" si="52"/>
        <v>3.08</v>
      </c>
      <c r="W578" s="40">
        <f t="shared" si="53"/>
        <v>-2.564243061333767E-2</v>
      </c>
    </row>
    <row r="579" spans="1:23" x14ac:dyDescent="0.2">
      <c r="A579" s="40" t="s">
        <v>1099</v>
      </c>
      <c r="B579" s="40">
        <v>13.09</v>
      </c>
      <c r="C579" s="40">
        <v>13.09</v>
      </c>
      <c r="D579" s="40">
        <v>13.09</v>
      </c>
      <c r="E579" s="40">
        <v>13.09</v>
      </c>
      <c r="G579" s="36">
        <v>44851</v>
      </c>
      <c r="H579" s="40">
        <v>27.87</v>
      </c>
      <c r="I579" s="40">
        <v>11.888</v>
      </c>
      <c r="J579" s="44"/>
      <c r="K579" s="40"/>
      <c r="L579" s="45">
        <v>27.87</v>
      </c>
      <c r="M579" s="46">
        <v>11.888</v>
      </c>
      <c r="N579" s="40">
        <f t="shared" ref="N579:N642" si="54">LN(L579/L580)</f>
        <v>-2.830043840142165E-2</v>
      </c>
      <c r="O579" s="40">
        <f t="shared" ref="O579:O642" si="55">LN(M579/M580)</f>
        <v>5.720789649876093E-2</v>
      </c>
      <c r="P579" s="40">
        <f t="shared" ref="P579:P642" si="56">(M579-M580)/M580</f>
        <v>5.8875924111516841E-2</v>
      </c>
      <c r="Q579" s="40"/>
      <c r="R579" s="40"/>
      <c r="S579" t="s">
        <v>2542</v>
      </c>
      <c r="T579">
        <v>3.16</v>
      </c>
      <c r="U579" s="40">
        <f t="shared" ref="U579:U642" si="57">LN(T579/T580)</f>
        <v>-6.309169193264721E-3</v>
      </c>
      <c r="V579" s="40">
        <f t="shared" ref="V579:V642" si="58">IF(T579=0, 0.001,T579)</f>
        <v>3.16</v>
      </c>
      <c r="W579" s="40">
        <f t="shared" ref="W579:W642" si="59">LN(V579/V580)</f>
        <v>-6.309169193264721E-3</v>
      </c>
    </row>
    <row r="580" spans="1:23" x14ac:dyDescent="0.2">
      <c r="A580" s="40" t="s">
        <v>1100</v>
      </c>
      <c r="B580" s="40">
        <v>13.32</v>
      </c>
      <c r="C580" s="40">
        <v>13.32</v>
      </c>
      <c r="D580" s="40">
        <v>13.32</v>
      </c>
      <c r="E580" s="40">
        <v>13.32</v>
      </c>
      <c r="G580" s="36">
        <v>44848</v>
      </c>
      <c r="H580" s="40">
        <v>28.67</v>
      </c>
      <c r="I580" s="40">
        <v>11.227</v>
      </c>
      <c r="J580" s="44"/>
      <c r="K580" s="40"/>
      <c r="L580" s="45">
        <v>28.67</v>
      </c>
      <c r="M580" s="46">
        <v>11.227</v>
      </c>
      <c r="N580" s="40">
        <f t="shared" si="54"/>
        <v>-1.1099663038285535E-2</v>
      </c>
      <c r="O580" s="40">
        <f t="shared" si="55"/>
        <v>-6.3246157045843271E-2</v>
      </c>
      <c r="P580" s="40">
        <f t="shared" si="56"/>
        <v>-6.1287625418060244E-2</v>
      </c>
      <c r="Q580" s="40"/>
      <c r="R580" s="40"/>
      <c r="S580" t="s">
        <v>2541</v>
      </c>
      <c r="T580">
        <v>3.18</v>
      </c>
      <c r="U580" s="40">
        <f t="shared" si="57"/>
        <v>-1.5600940442479661E-2</v>
      </c>
      <c r="V580" s="40">
        <f t="shared" si="58"/>
        <v>3.18</v>
      </c>
      <c r="W580" s="40">
        <f t="shared" si="59"/>
        <v>-1.5600940442479661E-2</v>
      </c>
    </row>
    <row r="581" spans="1:23" x14ac:dyDescent="0.2">
      <c r="A581" s="40" t="s">
        <v>1101</v>
      </c>
      <c r="B581" s="40">
        <v>13</v>
      </c>
      <c r="C581" s="40">
        <v>13</v>
      </c>
      <c r="D581" s="40">
        <v>13</v>
      </c>
      <c r="E581" s="40">
        <v>13</v>
      </c>
      <c r="G581" s="36">
        <v>44847</v>
      </c>
      <c r="H581" s="40">
        <v>28.99</v>
      </c>
      <c r="I581" s="40">
        <v>11.96</v>
      </c>
      <c r="J581" s="44"/>
      <c r="K581" s="40"/>
      <c r="L581" s="45">
        <v>28.99</v>
      </c>
      <c r="M581" s="46">
        <v>11.96</v>
      </c>
      <c r="N581" s="40">
        <f t="shared" si="54"/>
        <v>-5.4049066024771115E-2</v>
      </c>
      <c r="O581" s="40">
        <f t="shared" si="55"/>
        <v>3.9220713153281329E-2</v>
      </c>
      <c r="P581" s="40">
        <f t="shared" si="56"/>
        <v>4.0000000000000077E-2</v>
      </c>
      <c r="Q581" s="40"/>
      <c r="R581" s="40"/>
      <c r="S581" t="s">
        <v>2540</v>
      </c>
      <c r="T581">
        <v>3.23</v>
      </c>
      <c r="U581" s="40">
        <f t="shared" si="57"/>
        <v>0.10432905605116387</v>
      </c>
      <c r="V581" s="40">
        <f t="shared" si="58"/>
        <v>3.23</v>
      </c>
      <c r="W581" s="40">
        <f t="shared" si="59"/>
        <v>0.10432905605116387</v>
      </c>
    </row>
    <row r="582" spans="1:23" x14ac:dyDescent="0.2">
      <c r="A582" s="40" t="s">
        <v>1102</v>
      </c>
      <c r="B582" s="40">
        <v>12.85</v>
      </c>
      <c r="C582" s="40">
        <v>12.85</v>
      </c>
      <c r="D582" s="40">
        <v>12.85</v>
      </c>
      <c r="E582" s="40">
        <v>12.85</v>
      </c>
      <c r="G582" s="36">
        <v>44846</v>
      </c>
      <c r="H582" s="40">
        <v>30.6</v>
      </c>
      <c r="I582" s="40">
        <v>11.5</v>
      </c>
      <c r="J582" s="44"/>
      <c r="K582" s="40"/>
      <c r="L582" s="45">
        <v>30.6</v>
      </c>
      <c r="M582" s="46">
        <v>11.5</v>
      </c>
      <c r="N582" s="40">
        <f t="shared" si="54"/>
        <v>3.086357465560462E-2</v>
      </c>
      <c r="O582" s="40">
        <f t="shared" si="55"/>
        <v>-7.4504373052280675E-3</v>
      </c>
      <c r="P582" s="40">
        <f t="shared" si="56"/>
        <v>-7.4227515967547298E-3</v>
      </c>
      <c r="Q582" s="40"/>
      <c r="R582" s="40"/>
      <c r="S582" s="47">
        <v>44905</v>
      </c>
      <c r="T582">
        <v>2.91</v>
      </c>
      <c r="U582" s="40">
        <f t="shared" si="57"/>
        <v>-3.4305350967891368E-3</v>
      </c>
      <c r="V582" s="40">
        <f t="shared" si="58"/>
        <v>2.91</v>
      </c>
      <c r="W582" s="40">
        <f t="shared" si="59"/>
        <v>-3.4305350967891368E-3</v>
      </c>
    </row>
    <row r="583" spans="1:23" x14ac:dyDescent="0.2">
      <c r="A583" s="40" t="s">
        <v>1103</v>
      </c>
      <c r="B583" s="40">
        <v>13.5</v>
      </c>
      <c r="C583" s="40">
        <v>13.5</v>
      </c>
      <c r="D583" s="40">
        <v>13.5</v>
      </c>
      <c r="E583" s="40">
        <v>13.5</v>
      </c>
      <c r="G583" s="36">
        <v>44845</v>
      </c>
      <c r="H583" s="40">
        <v>29.67</v>
      </c>
      <c r="I583" s="40">
        <v>11.586</v>
      </c>
      <c r="J583" s="44"/>
      <c r="K583" s="40"/>
      <c r="L583" s="45">
        <v>29.67</v>
      </c>
      <c r="M583" s="46">
        <v>11.586</v>
      </c>
      <c r="N583" s="40">
        <f t="shared" si="54"/>
        <v>-6.0168521466452844E-2</v>
      </c>
      <c r="O583" s="40">
        <f t="shared" si="55"/>
        <v>-7.2239736240321635E-3</v>
      </c>
      <c r="P583" s="40">
        <f t="shared" si="56"/>
        <v>-7.1979434447300454E-3</v>
      </c>
      <c r="Q583" s="40"/>
      <c r="R583" s="40"/>
      <c r="S583" s="47">
        <v>44875</v>
      </c>
      <c r="T583">
        <v>2.92</v>
      </c>
      <c r="U583" s="40">
        <f t="shared" si="57"/>
        <v>0</v>
      </c>
      <c r="V583" s="40">
        <f t="shared" si="58"/>
        <v>2.92</v>
      </c>
      <c r="W583" s="40">
        <f t="shared" si="59"/>
        <v>0</v>
      </c>
    </row>
    <row r="584" spans="1:23" x14ac:dyDescent="0.2">
      <c r="A584" s="40" t="s">
        <v>1104</v>
      </c>
      <c r="B584" s="40">
        <v>13.37</v>
      </c>
      <c r="C584" s="40">
        <v>13.37</v>
      </c>
      <c r="D584" s="40">
        <v>13.37</v>
      </c>
      <c r="E584" s="40">
        <v>13.37</v>
      </c>
      <c r="G584" s="36">
        <v>44844</v>
      </c>
      <c r="H584" s="40">
        <v>31.51</v>
      </c>
      <c r="I584" s="40">
        <v>11.67</v>
      </c>
      <c r="J584" s="44"/>
      <c r="K584" s="40"/>
      <c r="L584" s="45">
        <v>31.51</v>
      </c>
      <c r="M584" s="46">
        <v>11.67</v>
      </c>
      <c r="N584" s="40">
        <f t="shared" si="54"/>
        <v>-9.3837701878069529E-2</v>
      </c>
      <c r="O584" s="40">
        <f t="shared" si="55"/>
        <v>-3.4198565546127817E-2</v>
      </c>
      <c r="P584" s="40">
        <f t="shared" si="56"/>
        <v>-3.3620404107320354E-2</v>
      </c>
      <c r="Q584" s="40"/>
      <c r="R584" s="40"/>
      <c r="S584" s="47">
        <v>44752</v>
      </c>
      <c r="T584">
        <v>2.92</v>
      </c>
      <c r="U584" s="40">
        <f t="shared" si="57"/>
        <v>-6.8259650703998706E-3</v>
      </c>
      <c r="V584" s="40">
        <f t="shared" si="58"/>
        <v>2.92</v>
      </c>
      <c r="W584" s="40">
        <f t="shared" si="59"/>
        <v>-6.8259650703998706E-3</v>
      </c>
    </row>
    <row r="585" spans="1:23" x14ac:dyDescent="0.2">
      <c r="A585" s="41">
        <v>41279</v>
      </c>
      <c r="B585" s="40">
        <v>15.03</v>
      </c>
      <c r="C585" s="40">
        <v>15.03</v>
      </c>
      <c r="D585" s="40">
        <v>15.03</v>
      </c>
      <c r="E585" s="40">
        <v>15.03</v>
      </c>
      <c r="G585" s="36">
        <v>44841</v>
      </c>
      <c r="H585" s="40">
        <v>34.61</v>
      </c>
      <c r="I585" s="40">
        <v>12.076000000000001</v>
      </c>
      <c r="J585" s="44"/>
      <c r="K585" s="40"/>
      <c r="L585" s="45">
        <v>34.61</v>
      </c>
      <c r="M585" s="46">
        <v>12.076000000000001</v>
      </c>
      <c r="N585" s="40">
        <f t="shared" si="54"/>
        <v>-1.4436266402070973E-3</v>
      </c>
      <c r="O585" s="40">
        <f t="shared" si="55"/>
        <v>-8.3679676470112499E-2</v>
      </c>
      <c r="P585" s="40">
        <f t="shared" si="56"/>
        <v>-8.0274181264280292E-2</v>
      </c>
      <c r="Q585" s="40"/>
      <c r="R585" s="40"/>
      <c r="S585" s="47">
        <v>44722</v>
      </c>
      <c r="T585">
        <v>2.94</v>
      </c>
      <c r="U585" s="40">
        <f t="shared" si="57"/>
        <v>7.0451660950611297E-2</v>
      </c>
      <c r="V585" s="40">
        <f t="shared" si="58"/>
        <v>2.94</v>
      </c>
      <c r="W585" s="40">
        <f t="shared" si="59"/>
        <v>7.0451660950611297E-2</v>
      </c>
    </row>
    <row r="586" spans="1:23" x14ac:dyDescent="0.2">
      <c r="A586" s="41">
        <v>41310</v>
      </c>
      <c r="B586" s="40">
        <v>13.03</v>
      </c>
      <c r="C586" s="40">
        <v>13.03</v>
      </c>
      <c r="D586" s="40">
        <v>13.03</v>
      </c>
      <c r="E586" s="40">
        <v>13.03</v>
      </c>
      <c r="G586" s="36">
        <v>44840</v>
      </c>
      <c r="H586" s="40">
        <v>34.659999999999997</v>
      </c>
      <c r="I586" s="40">
        <v>13.13</v>
      </c>
      <c r="J586" s="44"/>
      <c r="K586" s="40"/>
      <c r="L586" s="45">
        <v>34.659999999999997</v>
      </c>
      <c r="M586" s="46">
        <v>13.13</v>
      </c>
      <c r="N586" s="40">
        <f t="shared" si="54"/>
        <v>7.2998906538631725E-2</v>
      </c>
      <c r="O586" s="40">
        <f t="shared" si="55"/>
        <v>-5.9987271270215354E-3</v>
      </c>
      <c r="P586" s="40">
        <f t="shared" si="56"/>
        <v>-5.9807706866529522E-3</v>
      </c>
      <c r="Q586" s="40"/>
      <c r="R586" s="40"/>
      <c r="S586" s="47">
        <v>44691</v>
      </c>
      <c r="T586">
        <v>2.74</v>
      </c>
      <c r="U586" s="40">
        <f t="shared" si="57"/>
        <v>-1.0889399799268206E-2</v>
      </c>
      <c r="V586" s="40">
        <f t="shared" si="58"/>
        <v>2.74</v>
      </c>
      <c r="W586" s="40">
        <f t="shared" si="59"/>
        <v>-1.0889399799268206E-2</v>
      </c>
    </row>
    <row r="587" spans="1:23" x14ac:dyDescent="0.2">
      <c r="A587" s="41">
        <v>41338</v>
      </c>
      <c r="B587" s="40">
        <v>11.68</v>
      </c>
      <c r="C587" s="40">
        <v>11.68</v>
      </c>
      <c r="D587" s="40">
        <v>11.68</v>
      </c>
      <c r="E587" s="40">
        <v>11.68</v>
      </c>
      <c r="G587" s="36">
        <v>44839</v>
      </c>
      <c r="H587" s="40">
        <v>32.22</v>
      </c>
      <c r="I587" s="40">
        <v>13.209</v>
      </c>
      <c r="J587" s="44"/>
      <c r="K587" s="40"/>
      <c r="L587" s="45">
        <v>32.22</v>
      </c>
      <c r="M587" s="46">
        <v>13.209</v>
      </c>
      <c r="N587" s="40">
        <f t="shared" si="54"/>
        <v>5.3222692131223846E-2</v>
      </c>
      <c r="O587" s="40">
        <f t="shared" si="55"/>
        <v>3.1847160675199195E-3</v>
      </c>
      <c r="P587" s="40">
        <f t="shared" si="56"/>
        <v>3.1897926634768601E-3</v>
      </c>
      <c r="Q587" s="40"/>
      <c r="R587" s="40"/>
      <c r="S587" s="47">
        <v>44661</v>
      </c>
      <c r="T587">
        <v>2.77</v>
      </c>
      <c r="U587" s="40">
        <f t="shared" si="57"/>
        <v>7.2464085207672533E-3</v>
      </c>
      <c r="V587" s="40">
        <f t="shared" si="58"/>
        <v>2.77</v>
      </c>
      <c r="W587" s="40">
        <f t="shared" si="59"/>
        <v>7.2464085207672533E-3</v>
      </c>
    </row>
    <row r="588" spans="1:23" x14ac:dyDescent="0.2">
      <c r="A588" s="41">
        <v>41430</v>
      </c>
      <c r="B588" s="40">
        <v>11.64</v>
      </c>
      <c r="C588" s="40">
        <v>11.64</v>
      </c>
      <c r="D588" s="40">
        <v>11.64</v>
      </c>
      <c r="E588" s="40">
        <v>11.64</v>
      </c>
      <c r="G588" s="36">
        <v>44838</v>
      </c>
      <c r="H588" s="40">
        <v>30.55</v>
      </c>
      <c r="I588" s="40">
        <v>13.167</v>
      </c>
      <c r="J588" s="44"/>
      <c r="K588" s="40"/>
      <c r="L588" s="45">
        <v>30.55</v>
      </c>
      <c r="M588" s="46">
        <v>13.167</v>
      </c>
      <c r="N588" s="40">
        <f t="shared" si="54"/>
        <v>-2.4253411928503239E-2</v>
      </c>
      <c r="O588" s="40">
        <f t="shared" si="55"/>
        <v>5.1025515571251373E-2</v>
      </c>
      <c r="P588" s="40">
        <f t="shared" si="56"/>
        <v>5.2349744245524243E-2</v>
      </c>
      <c r="Q588" s="40"/>
      <c r="R588" s="40"/>
      <c r="S588" s="47">
        <v>44630</v>
      </c>
      <c r="T588">
        <v>2.75</v>
      </c>
      <c r="U588" s="40">
        <f t="shared" si="57"/>
        <v>1.8349138668196398E-2</v>
      </c>
      <c r="V588" s="40">
        <f t="shared" si="58"/>
        <v>2.75</v>
      </c>
      <c r="W588" s="40">
        <f t="shared" si="59"/>
        <v>1.8349138668196398E-2</v>
      </c>
    </row>
    <row r="589" spans="1:23" x14ac:dyDescent="0.2">
      <c r="A589" s="41">
        <v>41460</v>
      </c>
      <c r="B589" s="40">
        <v>11.73</v>
      </c>
      <c r="C589" s="40">
        <v>11.73</v>
      </c>
      <c r="D589" s="40">
        <v>11.73</v>
      </c>
      <c r="E589" s="40">
        <v>11.73</v>
      </c>
      <c r="G589" s="36">
        <v>44837</v>
      </c>
      <c r="H589" s="40">
        <v>31.3</v>
      </c>
      <c r="I589" s="40">
        <v>12.512</v>
      </c>
      <c r="J589" s="44"/>
      <c r="K589" s="40"/>
      <c r="L589" s="45">
        <v>31.3</v>
      </c>
      <c r="M589" s="46">
        <v>12.512</v>
      </c>
      <c r="N589" s="40">
        <f t="shared" si="54"/>
        <v>8.2895548449670522E-2</v>
      </c>
      <c r="O589" s="40">
        <f t="shared" si="55"/>
        <v>3.026477388728872E-2</v>
      </c>
      <c r="P589" s="40">
        <f t="shared" si="56"/>
        <v>3.0727407529450624E-2</v>
      </c>
      <c r="Q589" s="40"/>
      <c r="R589" s="40"/>
      <c r="S589" t="s">
        <v>2539</v>
      </c>
      <c r="T589">
        <v>2.7</v>
      </c>
      <c r="U589" s="40">
        <f t="shared" si="57"/>
        <v>7.4349784875179905E-3</v>
      </c>
      <c r="V589" s="40">
        <f t="shared" si="58"/>
        <v>2.7</v>
      </c>
      <c r="W589" s="40">
        <f t="shared" si="59"/>
        <v>7.4349784875179905E-3</v>
      </c>
    </row>
    <row r="590" spans="1:23" x14ac:dyDescent="0.2">
      <c r="A590" s="41">
        <v>41491</v>
      </c>
      <c r="B590" s="40">
        <v>11.27</v>
      </c>
      <c r="C590" s="40">
        <v>11.27</v>
      </c>
      <c r="D590" s="40">
        <v>11.27</v>
      </c>
      <c r="E590" s="40">
        <v>11.27</v>
      </c>
      <c r="G590" s="36">
        <v>44834</v>
      </c>
      <c r="H590" s="40">
        <v>28.81</v>
      </c>
      <c r="I590" s="40">
        <v>12.138999999999999</v>
      </c>
      <c r="J590" s="44"/>
      <c r="K590" s="40"/>
      <c r="L590" s="45">
        <v>28.81</v>
      </c>
      <c r="M590" s="46">
        <v>12.138999999999999</v>
      </c>
      <c r="N590" s="40">
        <f t="shared" si="54"/>
        <v>-3.4456760240155343E-2</v>
      </c>
      <c r="O590" s="40">
        <f t="shared" si="55"/>
        <v>-6.650543827782727E-3</v>
      </c>
      <c r="P590" s="40">
        <f t="shared" si="56"/>
        <v>-6.6284779050737553E-3</v>
      </c>
      <c r="Q590" s="40"/>
      <c r="R590" s="40"/>
      <c r="S590" t="s">
        <v>2538</v>
      </c>
      <c r="T590">
        <v>2.68</v>
      </c>
      <c r="U590" s="40">
        <f t="shared" si="57"/>
        <v>6.9526062648610304E-2</v>
      </c>
      <c r="V590" s="40">
        <f t="shared" si="58"/>
        <v>2.68</v>
      </c>
      <c r="W590" s="40">
        <f t="shared" si="59"/>
        <v>6.9526062648610304E-2</v>
      </c>
    </row>
    <row r="591" spans="1:23" x14ac:dyDescent="0.2">
      <c r="A591" s="41">
        <v>41522</v>
      </c>
      <c r="B591" s="40">
        <v>11.97</v>
      </c>
      <c r="C591" s="40">
        <v>11.97</v>
      </c>
      <c r="D591" s="40">
        <v>11.97</v>
      </c>
      <c r="E591" s="40">
        <v>11.97</v>
      </c>
      <c r="G591" s="36">
        <v>44833</v>
      </c>
      <c r="H591" s="40">
        <v>29.82</v>
      </c>
      <c r="I591" s="40">
        <v>12.22</v>
      </c>
      <c r="J591" s="44"/>
      <c r="K591" s="40"/>
      <c r="L591" s="45">
        <v>29.82</v>
      </c>
      <c r="M591" s="46">
        <v>12.22</v>
      </c>
      <c r="N591" s="40">
        <f t="shared" si="54"/>
        <v>-2.7453353045627953E-2</v>
      </c>
      <c r="O591" s="40">
        <f t="shared" si="55"/>
        <v>-4.135867535857788E-2</v>
      </c>
      <c r="P591" s="40">
        <f t="shared" si="56"/>
        <v>-4.0515075376884424E-2</v>
      </c>
      <c r="Q591" s="40"/>
      <c r="R591" s="40"/>
      <c r="S591" t="s">
        <v>2537</v>
      </c>
      <c r="T591">
        <v>2.5</v>
      </c>
      <c r="U591" s="40">
        <f t="shared" si="57"/>
        <v>-3.9220713153281385E-2</v>
      </c>
      <c r="V591" s="40">
        <f t="shared" si="58"/>
        <v>2.5</v>
      </c>
      <c r="W591" s="40">
        <f t="shared" si="59"/>
        <v>-3.9220713153281385E-2</v>
      </c>
    </row>
    <row r="592" spans="1:23" x14ac:dyDescent="0.2">
      <c r="A592" s="41">
        <v>41552</v>
      </c>
      <c r="B592" s="40">
        <v>11.15</v>
      </c>
      <c r="C592" s="40">
        <v>11.15</v>
      </c>
      <c r="D592" s="40">
        <v>11.15</v>
      </c>
      <c r="E592" s="40">
        <v>11.15</v>
      </c>
      <c r="G592" s="36">
        <v>44832</v>
      </c>
      <c r="H592" s="40">
        <v>30.65</v>
      </c>
      <c r="I592" s="40">
        <v>12.736000000000001</v>
      </c>
      <c r="J592" s="44"/>
      <c r="K592" s="40"/>
      <c r="L592" s="45">
        <v>30.65</v>
      </c>
      <c r="M592" s="46">
        <v>12.736000000000001</v>
      </c>
      <c r="N592" s="40">
        <f t="shared" si="54"/>
        <v>-1.7464868237491604E-2</v>
      </c>
      <c r="O592" s="40">
        <f t="shared" si="55"/>
        <v>2.5688318568216347E-2</v>
      </c>
      <c r="P592" s="40">
        <f t="shared" si="56"/>
        <v>2.6021106904052235E-2</v>
      </c>
      <c r="Q592" s="40"/>
      <c r="R592" s="40"/>
      <c r="S592" t="s">
        <v>2536</v>
      </c>
      <c r="T592">
        <v>2.6</v>
      </c>
      <c r="U592" s="40">
        <f t="shared" si="57"/>
        <v>-1.5267472130788421E-2</v>
      </c>
      <c r="V592" s="40">
        <f t="shared" si="58"/>
        <v>2.6</v>
      </c>
      <c r="W592" s="40">
        <f t="shared" si="59"/>
        <v>-1.5267472130788421E-2</v>
      </c>
    </row>
    <row r="593" spans="1:23" x14ac:dyDescent="0.2">
      <c r="A593" s="40" t="s">
        <v>2899</v>
      </c>
      <c r="B593" s="40">
        <v>13.08</v>
      </c>
      <c r="C593" s="40">
        <v>13.08</v>
      </c>
      <c r="D593" s="40">
        <v>13.08</v>
      </c>
      <c r="E593" s="40">
        <v>13.08</v>
      </c>
      <c r="G593" s="36">
        <v>44831</v>
      </c>
      <c r="H593" s="40">
        <v>31.19</v>
      </c>
      <c r="I593" s="40">
        <v>12.413</v>
      </c>
      <c r="J593" s="44"/>
      <c r="K593" s="40"/>
      <c r="L593" s="45">
        <v>31.19</v>
      </c>
      <c r="M593" s="46">
        <v>12.413</v>
      </c>
      <c r="N593" s="40">
        <f t="shared" si="54"/>
        <v>-4.6359694993266927E-2</v>
      </c>
      <c r="O593" s="40">
        <f t="shared" si="55"/>
        <v>1.5015906505222753E-2</v>
      </c>
      <c r="P593" s="40">
        <f t="shared" si="56"/>
        <v>1.5129211645404032E-2</v>
      </c>
      <c r="Q593" s="40"/>
      <c r="R593" s="40"/>
      <c r="S593" t="s">
        <v>2535</v>
      </c>
      <c r="T593">
        <v>2.64</v>
      </c>
      <c r="U593" s="40">
        <f t="shared" si="57"/>
        <v>1.9121041446778595E-2</v>
      </c>
      <c r="V593" s="40">
        <f t="shared" si="58"/>
        <v>2.64</v>
      </c>
      <c r="W593" s="40">
        <f t="shared" si="59"/>
        <v>1.9121041446778595E-2</v>
      </c>
    </row>
    <row r="594" spans="1:23" x14ac:dyDescent="0.2">
      <c r="A594" s="40" t="s">
        <v>1105</v>
      </c>
      <c r="B594" s="40">
        <v>13.33</v>
      </c>
      <c r="C594" s="40">
        <v>13.33</v>
      </c>
      <c r="D594" s="40">
        <v>13.33</v>
      </c>
      <c r="E594" s="40">
        <v>13.33</v>
      </c>
      <c r="G594" s="36">
        <v>44830</v>
      </c>
      <c r="H594" s="40">
        <v>32.67</v>
      </c>
      <c r="I594" s="40">
        <v>12.228</v>
      </c>
      <c r="J594" s="44"/>
      <c r="K594" s="40"/>
      <c r="L594" s="45">
        <v>32.67</v>
      </c>
      <c r="M594" s="46">
        <v>12.228</v>
      </c>
      <c r="N594" s="40">
        <f t="shared" si="54"/>
        <v>4.7322004610431276E-2</v>
      </c>
      <c r="O594" s="40">
        <f t="shared" si="55"/>
        <v>-2.3279421778047649E-2</v>
      </c>
      <c r="P594" s="40">
        <f t="shared" si="56"/>
        <v>-2.3010546500479408E-2</v>
      </c>
      <c r="Q594" s="40"/>
      <c r="R594" s="40"/>
      <c r="S594" t="s">
        <v>2534</v>
      </c>
      <c r="T594">
        <v>2.59</v>
      </c>
      <c r="U594" s="40">
        <f t="shared" si="57"/>
        <v>-2.2901764286684455E-2</v>
      </c>
      <c r="V594" s="40">
        <f t="shared" si="58"/>
        <v>2.59</v>
      </c>
      <c r="W594" s="40">
        <f t="shared" si="59"/>
        <v>-2.2901764286684455E-2</v>
      </c>
    </row>
    <row r="595" spans="1:23" x14ac:dyDescent="0.2">
      <c r="A595" s="40" t="s">
        <v>1106</v>
      </c>
      <c r="B595" s="40">
        <v>13.63</v>
      </c>
      <c r="C595" s="40">
        <v>13.63</v>
      </c>
      <c r="D595" s="40">
        <v>13.63</v>
      </c>
      <c r="E595" s="40">
        <v>13.63</v>
      </c>
      <c r="G595" s="36">
        <v>44827</v>
      </c>
      <c r="H595" s="40">
        <v>31.16</v>
      </c>
      <c r="I595" s="40">
        <v>12.516</v>
      </c>
      <c r="J595" s="44"/>
      <c r="K595" s="40"/>
      <c r="L595" s="45">
        <v>31.16</v>
      </c>
      <c r="M595" s="46">
        <v>12.516</v>
      </c>
      <c r="N595" s="40">
        <f t="shared" si="54"/>
        <v>-7.2111665803565719E-2</v>
      </c>
      <c r="O595" s="40">
        <f t="shared" si="55"/>
        <v>-3.5889498984802049E-3</v>
      </c>
      <c r="P595" s="40">
        <f t="shared" si="56"/>
        <v>-3.5825173155003527E-3</v>
      </c>
      <c r="Q595" s="40"/>
      <c r="R595" s="40"/>
      <c r="S595" t="s">
        <v>2533</v>
      </c>
      <c r="T595">
        <v>2.65</v>
      </c>
      <c r="U595" s="40">
        <f t="shared" si="57"/>
        <v>7.4398290053859326E-2</v>
      </c>
      <c r="V595" s="40">
        <f t="shared" si="58"/>
        <v>2.65</v>
      </c>
      <c r="W595" s="40">
        <f t="shared" si="59"/>
        <v>7.4398290053859326E-2</v>
      </c>
    </row>
    <row r="596" spans="1:23" x14ac:dyDescent="0.2">
      <c r="A596" s="40" t="s">
        <v>1107</v>
      </c>
      <c r="B596" s="40">
        <v>13.27</v>
      </c>
      <c r="C596" s="40">
        <v>13.27</v>
      </c>
      <c r="D596" s="40">
        <v>13.27</v>
      </c>
      <c r="E596" s="40">
        <v>13.27</v>
      </c>
      <c r="G596" s="36">
        <v>44826</v>
      </c>
      <c r="H596" s="40">
        <v>33.49</v>
      </c>
      <c r="I596" s="40">
        <v>12.561</v>
      </c>
      <c r="J596" s="44"/>
      <c r="K596" s="40"/>
      <c r="L596" s="45">
        <v>33.49</v>
      </c>
      <c r="M596" s="46">
        <v>12.561</v>
      </c>
      <c r="N596" s="40">
        <f t="shared" si="54"/>
        <v>-1.9222830560181252E-2</v>
      </c>
      <c r="O596" s="40">
        <f t="shared" si="55"/>
        <v>-5.4230620990345868E-2</v>
      </c>
      <c r="P596" s="40">
        <f t="shared" si="56"/>
        <v>-5.278636603574386E-2</v>
      </c>
      <c r="Q596" s="40"/>
      <c r="R596" s="40"/>
      <c r="S596" t="s">
        <v>2532</v>
      </c>
      <c r="T596">
        <v>2.46</v>
      </c>
      <c r="U596" s="40">
        <f t="shared" si="57"/>
        <v>-4.0568006956144299E-3</v>
      </c>
      <c r="V596" s="40">
        <f t="shared" si="58"/>
        <v>2.46</v>
      </c>
      <c r="W596" s="40">
        <f t="shared" si="59"/>
        <v>-4.0568006956144299E-3</v>
      </c>
    </row>
    <row r="597" spans="1:23" x14ac:dyDescent="0.2">
      <c r="A597" s="40" t="s">
        <v>1108</v>
      </c>
      <c r="B597" s="40">
        <v>12.6</v>
      </c>
      <c r="C597" s="40">
        <v>12.6</v>
      </c>
      <c r="D597" s="40">
        <v>12.6</v>
      </c>
      <c r="E597" s="40">
        <v>12.6</v>
      </c>
      <c r="G597" s="36">
        <v>44825</v>
      </c>
      <c r="H597" s="40">
        <v>34.14</v>
      </c>
      <c r="I597" s="40">
        <v>13.260999999999999</v>
      </c>
      <c r="J597" s="44"/>
      <c r="K597" s="40"/>
      <c r="L597" s="45">
        <v>34.14</v>
      </c>
      <c r="M597" s="46">
        <v>13.260999999999999</v>
      </c>
      <c r="N597" s="40">
        <f t="shared" si="54"/>
        <v>0.12097353288944407</v>
      </c>
      <c r="O597" s="40">
        <f t="shared" si="55"/>
        <v>6.4304038201225665E-3</v>
      </c>
      <c r="P597" s="40">
        <f t="shared" si="56"/>
        <v>6.4511232544018724E-3</v>
      </c>
      <c r="Q597" s="40"/>
      <c r="R597" s="40"/>
      <c r="S597" t="s">
        <v>2531</v>
      </c>
      <c r="T597">
        <v>2.4700000000000002</v>
      </c>
      <c r="U597" s="40">
        <f t="shared" si="57"/>
        <v>-2.40011520995429E-2</v>
      </c>
      <c r="V597" s="40">
        <f t="shared" si="58"/>
        <v>2.4700000000000002</v>
      </c>
      <c r="W597" s="40">
        <f t="shared" si="59"/>
        <v>-2.40011520995429E-2</v>
      </c>
    </row>
    <row r="598" spans="1:23" x14ac:dyDescent="0.2">
      <c r="A598" s="40" t="s">
        <v>1109</v>
      </c>
      <c r="B598" s="40">
        <v>13.14</v>
      </c>
      <c r="C598" s="40">
        <v>13.14</v>
      </c>
      <c r="D598" s="40">
        <v>13.14</v>
      </c>
      <c r="E598" s="40">
        <v>13.14</v>
      </c>
      <c r="G598" s="36">
        <v>44824</v>
      </c>
      <c r="H598" s="40">
        <v>30.25</v>
      </c>
      <c r="I598" s="40">
        <v>13.176</v>
      </c>
      <c r="J598" s="44"/>
      <c r="K598" s="40"/>
      <c r="L598" s="45">
        <v>30.25</v>
      </c>
      <c r="M598" s="46">
        <v>13.176</v>
      </c>
      <c r="N598" s="40">
        <f t="shared" si="54"/>
        <v>8.9147390678015942E-2</v>
      </c>
      <c r="O598" s="40">
        <f t="shared" si="55"/>
        <v>-1.5513527485285984E-2</v>
      </c>
      <c r="P598" s="40">
        <f t="shared" si="56"/>
        <v>-1.5393812584068115E-2</v>
      </c>
      <c r="Q598" s="40"/>
      <c r="R598" s="40"/>
      <c r="S598" t="s">
        <v>2530</v>
      </c>
      <c r="T598">
        <v>2.5299999999999998</v>
      </c>
      <c r="U598" s="40">
        <f t="shared" si="57"/>
        <v>-2.7292142288007623E-2</v>
      </c>
      <c r="V598" s="40">
        <f t="shared" si="58"/>
        <v>2.5299999999999998</v>
      </c>
      <c r="W598" s="40">
        <f t="shared" si="59"/>
        <v>-2.7292142288007623E-2</v>
      </c>
    </row>
    <row r="599" spans="1:23" x14ac:dyDescent="0.2">
      <c r="A599" s="40" t="s">
        <v>1110</v>
      </c>
      <c r="B599" s="40">
        <v>13.56</v>
      </c>
      <c r="C599" s="40">
        <v>13.56</v>
      </c>
      <c r="D599" s="40">
        <v>13.56</v>
      </c>
      <c r="E599" s="40">
        <v>13.56</v>
      </c>
      <c r="G599" s="36">
        <v>44823</v>
      </c>
      <c r="H599" s="40">
        <v>27.67</v>
      </c>
      <c r="I599" s="40">
        <v>13.382</v>
      </c>
      <c r="J599" s="44"/>
      <c r="K599" s="40"/>
      <c r="L599" s="45">
        <v>27.67</v>
      </c>
      <c r="M599" s="46">
        <v>13.382</v>
      </c>
      <c r="N599" s="40">
        <f t="shared" si="54"/>
        <v>-9.2118180121551527E-2</v>
      </c>
      <c r="O599" s="40">
        <f t="shared" si="55"/>
        <v>1.3845217399395187E-2</v>
      </c>
      <c r="P599" s="40">
        <f t="shared" si="56"/>
        <v>1.3941506288831586E-2</v>
      </c>
      <c r="Q599" s="40"/>
      <c r="R599" s="40"/>
      <c r="S599" t="s">
        <v>2529</v>
      </c>
      <c r="T599">
        <v>2.6</v>
      </c>
      <c r="U599" s="40">
        <f t="shared" si="57"/>
        <v>-3.0305349495328922E-2</v>
      </c>
      <c r="V599" s="40">
        <f t="shared" si="58"/>
        <v>2.6</v>
      </c>
      <c r="W599" s="40">
        <f t="shared" si="59"/>
        <v>-3.0305349495328922E-2</v>
      </c>
    </row>
    <row r="600" spans="1:23" x14ac:dyDescent="0.2">
      <c r="A600" s="40" t="s">
        <v>1111</v>
      </c>
      <c r="B600" s="40">
        <v>14.05</v>
      </c>
      <c r="C600" s="40">
        <v>14.05</v>
      </c>
      <c r="D600" s="40">
        <v>14.05</v>
      </c>
      <c r="E600" s="40">
        <v>14.05</v>
      </c>
      <c r="G600" s="36">
        <v>44820</v>
      </c>
      <c r="H600" s="40">
        <v>30.34</v>
      </c>
      <c r="I600" s="40">
        <v>13.198</v>
      </c>
      <c r="J600" s="44"/>
      <c r="K600" s="40"/>
      <c r="L600" s="45">
        <v>30.34</v>
      </c>
      <c r="M600" s="46">
        <v>13.198</v>
      </c>
      <c r="N600" s="40">
        <f t="shared" si="54"/>
        <v>-1.6466330083155006E-3</v>
      </c>
      <c r="O600" s="40">
        <f t="shared" si="55"/>
        <v>2.059245268881375E-2</v>
      </c>
      <c r="P600" s="40">
        <f t="shared" si="56"/>
        <v>2.0805940134581185E-2</v>
      </c>
      <c r="Q600" s="40"/>
      <c r="R600" s="40"/>
      <c r="S600" t="s">
        <v>2528</v>
      </c>
      <c r="T600">
        <v>2.68</v>
      </c>
      <c r="U600" s="40">
        <f t="shared" si="57"/>
        <v>9.7925537170308302E-2</v>
      </c>
      <c r="V600" s="40">
        <f t="shared" si="58"/>
        <v>2.68</v>
      </c>
      <c r="W600" s="40">
        <f t="shared" si="59"/>
        <v>9.7925537170308302E-2</v>
      </c>
    </row>
    <row r="601" spans="1:23" x14ac:dyDescent="0.2">
      <c r="A601" s="40" t="s">
        <v>1112</v>
      </c>
      <c r="B601" s="40">
        <v>14.07</v>
      </c>
      <c r="C601" s="40">
        <v>14.07</v>
      </c>
      <c r="D601" s="40">
        <v>14.07</v>
      </c>
      <c r="E601" s="40">
        <v>14.07</v>
      </c>
      <c r="G601" s="36">
        <v>44819</v>
      </c>
      <c r="H601" s="40">
        <v>30.39</v>
      </c>
      <c r="I601" s="40">
        <v>12.929</v>
      </c>
      <c r="J601" s="44"/>
      <c r="K601" s="40"/>
      <c r="L601" s="45">
        <v>30.39</v>
      </c>
      <c r="M601" s="46">
        <v>12.929</v>
      </c>
      <c r="N601" s="40">
        <f t="shared" si="54"/>
        <v>8.9797269602504046E-2</v>
      </c>
      <c r="O601" s="40">
        <f t="shared" si="55"/>
        <v>-1.5274503515373544E-2</v>
      </c>
      <c r="P601" s="40">
        <f t="shared" si="56"/>
        <v>-1.5158439975624606E-2</v>
      </c>
      <c r="Q601" s="40"/>
      <c r="R601" s="40"/>
      <c r="S601" t="s">
        <v>2527</v>
      </c>
      <c r="T601">
        <v>2.4300000000000002</v>
      </c>
      <c r="U601" s="40">
        <f t="shared" si="57"/>
        <v>-8.196767204178515E-3</v>
      </c>
      <c r="V601" s="40">
        <f t="shared" si="58"/>
        <v>2.4300000000000002</v>
      </c>
      <c r="W601" s="40">
        <f t="shared" si="59"/>
        <v>-8.196767204178515E-3</v>
      </c>
    </row>
    <row r="602" spans="1:23" x14ac:dyDescent="0.2">
      <c r="A602" s="40" t="s">
        <v>1113</v>
      </c>
      <c r="B602" s="40">
        <v>13.19</v>
      </c>
      <c r="C602" s="40">
        <v>13.19</v>
      </c>
      <c r="D602" s="40">
        <v>13.19</v>
      </c>
      <c r="E602" s="40">
        <v>13.19</v>
      </c>
      <c r="G602" s="36">
        <v>44818</v>
      </c>
      <c r="H602" s="40">
        <v>27.78</v>
      </c>
      <c r="I602" s="40">
        <v>13.128</v>
      </c>
      <c r="J602" s="44"/>
      <c r="K602" s="40"/>
      <c r="L602" s="45">
        <v>27.78</v>
      </c>
      <c r="M602" s="46">
        <v>13.128</v>
      </c>
      <c r="N602" s="40">
        <f t="shared" si="54"/>
        <v>2.6259714583555728E-2</v>
      </c>
      <c r="O602" s="40">
        <f t="shared" si="55"/>
        <v>-2.2849308907821488E-4</v>
      </c>
      <c r="P602" s="40">
        <f t="shared" si="56"/>
        <v>-2.2846698652045645E-4</v>
      </c>
      <c r="Q602" s="40"/>
      <c r="R602" s="40"/>
      <c r="S602" t="s">
        <v>2526</v>
      </c>
      <c r="T602">
        <v>2.4500000000000002</v>
      </c>
      <c r="U602" s="40">
        <f t="shared" si="57"/>
        <v>-3.6076056473809535E-2</v>
      </c>
      <c r="V602" s="40">
        <f t="shared" si="58"/>
        <v>2.4500000000000002</v>
      </c>
      <c r="W602" s="40">
        <f t="shared" si="59"/>
        <v>-3.6076056473809535E-2</v>
      </c>
    </row>
    <row r="603" spans="1:23" x14ac:dyDescent="0.2">
      <c r="A603" s="40" t="s">
        <v>1114</v>
      </c>
      <c r="B603" s="40">
        <v>15.6</v>
      </c>
      <c r="C603" s="40">
        <v>15.6</v>
      </c>
      <c r="D603" s="40">
        <v>15.6</v>
      </c>
      <c r="E603" s="40">
        <v>15.6</v>
      </c>
      <c r="G603" s="36">
        <v>44817</v>
      </c>
      <c r="H603" s="40">
        <v>27.06</v>
      </c>
      <c r="I603" s="40">
        <v>13.131</v>
      </c>
      <c r="J603" s="44"/>
      <c r="K603" s="40"/>
      <c r="L603" s="45">
        <v>27.06</v>
      </c>
      <c r="M603" s="46">
        <v>13.131</v>
      </c>
      <c r="N603" s="40">
        <f t="shared" si="54"/>
        <v>-1.8460407679321753E-3</v>
      </c>
      <c r="O603" s="40">
        <f t="shared" si="55"/>
        <v>-9.9517570696499358E-2</v>
      </c>
      <c r="P603" s="40">
        <f t="shared" si="56"/>
        <v>-9.4725956566701172E-2</v>
      </c>
      <c r="Q603" s="40"/>
      <c r="R603" s="40"/>
      <c r="S603" s="47">
        <v>44904</v>
      </c>
      <c r="T603">
        <v>2.54</v>
      </c>
      <c r="U603" s="40">
        <f t="shared" si="57"/>
        <v>1.5873349156290163E-2</v>
      </c>
      <c r="V603" s="40">
        <f t="shared" si="58"/>
        <v>2.54</v>
      </c>
      <c r="W603" s="40">
        <f t="shared" si="59"/>
        <v>1.5873349156290163E-2</v>
      </c>
    </row>
    <row r="604" spans="1:23" x14ac:dyDescent="0.2">
      <c r="A604" s="40" t="s">
        <v>1115</v>
      </c>
      <c r="B604" s="40">
        <v>15.76</v>
      </c>
      <c r="C604" s="40">
        <v>15.76</v>
      </c>
      <c r="D604" s="40">
        <v>15.76</v>
      </c>
      <c r="E604" s="40">
        <v>15.76</v>
      </c>
      <c r="G604" s="36">
        <v>44816</v>
      </c>
      <c r="H604" s="40">
        <v>27.11</v>
      </c>
      <c r="I604" s="40">
        <v>14.505000000000001</v>
      </c>
      <c r="J604" s="44"/>
      <c r="K604" s="40"/>
      <c r="L604" s="45">
        <v>27.11</v>
      </c>
      <c r="M604" s="46">
        <v>14.505000000000001</v>
      </c>
      <c r="N604" s="40">
        <f t="shared" si="54"/>
        <v>-6.2511694646872991E-3</v>
      </c>
      <c r="O604" s="40">
        <f t="shared" si="55"/>
        <v>8.1683965184713003E-3</v>
      </c>
      <c r="P604" s="40">
        <f t="shared" si="56"/>
        <v>8.2018488913602784E-3</v>
      </c>
      <c r="Q604" s="40"/>
      <c r="R604" s="40"/>
      <c r="S604" s="47">
        <v>44813</v>
      </c>
      <c r="T604">
        <v>2.5</v>
      </c>
      <c r="U604" s="40">
        <f t="shared" si="57"/>
        <v>0</v>
      </c>
      <c r="V604" s="40">
        <f t="shared" si="58"/>
        <v>2.5</v>
      </c>
      <c r="W604" s="40">
        <f t="shared" si="59"/>
        <v>0</v>
      </c>
    </row>
    <row r="605" spans="1:23" x14ac:dyDescent="0.2">
      <c r="A605" s="40" t="s">
        <v>1116</v>
      </c>
      <c r="B605" s="40">
        <v>14.69</v>
      </c>
      <c r="C605" s="40">
        <v>14.69</v>
      </c>
      <c r="D605" s="40">
        <v>14.69</v>
      </c>
      <c r="E605" s="40">
        <v>14.69</v>
      </c>
      <c r="G605" s="36">
        <v>44813</v>
      </c>
      <c r="H605" s="40">
        <v>27.28</v>
      </c>
      <c r="I605" s="40">
        <v>14.387</v>
      </c>
      <c r="J605" s="44"/>
      <c r="K605" s="40"/>
      <c r="L605" s="45">
        <v>27.28</v>
      </c>
      <c r="M605" s="46">
        <v>14.387</v>
      </c>
      <c r="N605" s="40">
        <f t="shared" si="54"/>
        <v>-6.5957967791797398E-2</v>
      </c>
      <c r="O605" s="40">
        <f t="shared" si="55"/>
        <v>2.7982232377506265E-2</v>
      </c>
      <c r="P605" s="40">
        <f t="shared" si="56"/>
        <v>2.837741243745534E-2</v>
      </c>
      <c r="Q605" s="40"/>
      <c r="R605" s="40"/>
      <c r="S605" s="47">
        <v>44782</v>
      </c>
      <c r="T605">
        <v>2.5</v>
      </c>
      <c r="U605" s="40">
        <f t="shared" si="57"/>
        <v>0.13696585507315742</v>
      </c>
      <c r="V605" s="40">
        <f t="shared" si="58"/>
        <v>2.5</v>
      </c>
      <c r="W605" s="40">
        <f t="shared" si="59"/>
        <v>0.13696585507315742</v>
      </c>
    </row>
    <row r="606" spans="1:23" x14ac:dyDescent="0.2">
      <c r="A606" s="40" t="s">
        <v>1117</v>
      </c>
      <c r="B606" s="40">
        <v>16.7</v>
      </c>
      <c r="C606" s="40">
        <v>16.7</v>
      </c>
      <c r="D606" s="40">
        <v>16.7</v>
      </c>
      <c r="E606" s="40">
        <v>16.7</v>
      </c>
      <c r="G606" s="36">
        <v>44812</v>
      </c>
      <c r="H606" s="40">
        <v>29.14</v>
      </c>
      <c r="I606" s="40">
        <v>13.99</v>
      </c>
      <c r="J606" s="44"/>
      <c r="K606" s="40"/>
      <c r="L606" s="45">
        <v>29.14</v>
      </c>
      <c r="M606" s="46">
        <v>13.99</v>
      </c>
      <c r="N606" s="40">
        <f t="shared" si="54"/>
        <v>0.14288968384471365</v>
      </c>
      <c r="O606" s="40">
        <f t="shared" si="55"/>
        <v>1.9925579815217132E-2</v>
      </c>
      <c r="P606" s="40">
        <f t="shared" si="56"/>
        <v>2.0125419279568308E-2</v>
      </c>
      <c r="Q606" s="40"/>
      <c r="R606" s="40"/>
      <c r="S606" s="47">
        <v>44751</v>
      </c>
      <c r="T606">
        <v>2.1800000000000002</v>
      </c>
      <c r="U606" s="40">
        <f t="shared" si="57"/>
        <v>-7.0826052568612283E-2</v>
      </c>
      <c r="V606" s="40">
        <f t="shared" si="58"/>
        <v>2.1800000000000002</v>
      </c>
      <c r="W606" s="40">
        <f t="shared" si="59"/>
        <v>-7.0826052568612283E-2</v>
      </c>
    </row>
    <row r="607" spans="1:23" x14ac:dyDescent="0.2">
      <c r="A607" s="41">
        <v>41339</v>
      </c>
      <c r="B607" s="40">
        <v>17.239999999999998</v>
      </c>
      <c r="C607" s="40">
        <v>17.239999999999998</v>
      </c>
      <c r="D607" s="40">
        <v>17.239999999999998</v>
      </c>
      <c r="E607" s="40">
        <v>17.239999999999998</v>
      </c>
      <c r="G607" s="36">
        <v>44811</v>
      </c>
      <c r="H607" s="40">
        <v>25.26</v>
      </c>
      <c r="I607" s="40">
        <v>13.714</v>
      </c>
      <c r="J607" s="44"/>
      <c r="K607" s="40"/>
      <c r="L607" s="45">
        <v>25.26</v>
      </c>
      <c r="M607" s="46">
        <v>13.714</v>
      </c>
      <c r="N607" s="40">
        <f t="shared" si="54"/>
        <v>0.15144913303214461</v>
      </c>
      <c r="O607" s="40">
        <f t="shared" si="55"/>
        <v>1.8323482598610465E-2</v>
      </c>
      <c r="P607" s="40">
        <f t="shared" si="56"/>
        <v>1.8492387671741592E-2</v>
      </c>
      <c r="Q607" s="40"/>
      <c r="R607" s="40"/>
      <c r="S607" s="47">
        <v>44721</v>
      </c>
      <c r="T607">
        <v>2.34</v>
      </c>
      <c r="U607" s="40">
        <f t="shared" si="57"/>
        <v>-3.3616610798984974E-2</v>
      </c>
      <c r="V607" s="40">
        <f t="shared" si="58"/>
        <v>2.34</v>
      </c>
      <c r="W607" s="40">
        <f t="shared" si="59"/>
        <v>-3.3616610798984974E-2</v>
      </c>
    </row>
    <row r="608" spans="1:23" x14ac:dyDescent="0.2">
      <c r="A608" s="41">
        <v>41370</v>
      </c>
      <c r="B608" s="40">
        <v>16.89</v>
      </c>
      <c r="C608" s="40">
        <v>16.89</v>
      </c>
      <c r="D608" s="40">
        <v>16.89</v>
      </c>
      <c r="E608" s="40">
        <v>16.89</v>
      </c>
      <c r="G608" s="36">
        <v>44810</v>
      </c>
      <c r="H608" s="40">
        <v>21.71</v>
      </c>
      <c r="I608" s="40">
        <v>13.465</v>
      </c>
      <c r="J608" s="44"/>
      <c r="K608" s="40"/>
      <c r="L608" s="45">
        <v>21.71</v>
      </c>
      <c r="M608" s="46">
        <v>13.465</v>
      </c>
      <c r="N608" s="40">
        <f t="shared" si="54"/>
        <v>-5.0740400897608985E-2</v>
      </c>
      <c r="O608" s="40">
        <f t="shared" si="55"/>
        <v>-1.3425990992414571E-2</v>
      </c>
      <c r="P608" s="40">
        <f t="shared" si="56"/>
        <v>-1.3336264380449943E-2</v>
      </c>
      <c r="Q608" s="40"/>
      <c r="R608" s="40"/>
      <c r="S608" s="47">
        <v>44601</v>
      </c>
      <c r="T608">
        <v>2.42</v>
      </c>
      <c r="U608" s="40">
        <f t="shared" si="57"/>
        <v>-1.6393809775676383E-2</v>
      </c>
      <c r="V608" s="40">
        <f t="shared" si="58"/>
        <v>2.42</v>
      </c>
      <c r="W608" s="40">
        <f t="shared" si="59"/>
        <v>-1.6393809775676383E-2</v>
      </c>
    </row>
    <row r="609" spans="1:23" x14ac:dyDescent="0.2">
      <c r="A609" s="41">
        <v>41400</v>
      </c>
      <c r="B609" s="40">
        <v>18.54</v>
      </c>
      <c r="C609" s="40">
        <v>18.54</v>
      </c>
      <c r="D609" s="40">
        <v>18.54</v>
      </c>
      <c r="E609" s="40">
        <v>18.54</v>
      </c>
      <c r="G609" s="36">
        <v>44806</v>
      </c>
      <c r="H609" s="40">
        <v>22.84</v>
      </c>
      <c r="I609" s="40">
        <v>13.647</v>
      </c>
      <c r="J609" s="44"/>
      <c r="K609" s="40"/>
      <c r="L609" s="45">
        <v>22.84</v>
      </c>
      <c r="M609" s="46">
        <v>13.647</v>
      </c>
      <c r="N609" s="40">
        <f t="shared" si="54"/>
        <v>-5.1621611763960781E-2</v>
      </c>
      <c r="O609" s="40">
        <f t="shared" si="55"/>
        <v>-2.1027456881395699E-2</v>
      </c>
      <c r="P609" s="40">
        <f t="shared" si="56"/>
        <v>-2.0807921360407489E-2</v>
      </c>
      <c r="Q609" s="40"/>
      <c r="R609" s="40"/>
      <c r="S609" s="47">
        <v>44570</v>
      </c>
      <c r="T609">
        <v>2.46</v>
      </c>
      <c r="U609" s="40">
        <f t="shared" si="57"/>
        <v>7.1609532378123217E-2</v>
      </c>
      <c r="V609" s="40">
        <f t="shared" si="58"/>
        <v>2.46</v>
      </c>
      <c r="W609" s="40">
        <f t="shared" si="59"/>
        <v>7.1609532378123217E-2</v>
      </c>
    </row>
    <row r="610" spans="1:23" x14ac:dyDescent="0.2">
      <c r="A610" s="41">
        <v>41431</v>
      </c>
      <c r="B610" s="40">
        <v>17.25</v>
      </c>
      <c r="C610" s="40">
        <v>17.25</v>
      </c>
      <c r="D610" s="40">
        <v>17.25</v>
      </c>
      <c r="E610" s="40">
        <v>17.25</v>
      </c>
      <c r="G610" s="36">
        <v>44805</v>
      </c>
      <c r="H610" s="40">
        <v>24.05</v>
      </c>
      <c r="I610" s="40">
        <v>13.936999999999999</v>
      </c>
      <c r="J610" s="44"/>
      <c r="K610" s="40"/>
      <c r="L610" s="45">
        <v>24.05</v>
      </c>
      <c r="M610" s="46">
        <v>13.936999999999999</v>
      </c>
      <c r="N610" s="40">
        <f t="shared" si="54"/>
        <v>-0.11533143047814307</v>
      </c>
      <c r="O610" s="40">
        <f t="shared" si="55"/>
        <v>-7.9750139725304106E-2</v>
      </c>
      <c r="P610" s="40">
        <f t="shared" si="56"/>
        <v>-7.6652974691930567E-2</v>
      </c>
      <c r="Q610" s="40"/>
      <c r="R610" s="40"/>
      <c r="S610" t="s">
        <v>2525</v>
      </c>
      <c r="T610">
        <v>2.29</v>
      </c>
      <c r="U610" s="40">
        <f t="shared" si="57"/>
        <v>-1.3015368112070248E-2</v>
      </c>
      <c r="V610" s="40">
        <f t="shared" si="58"/>
        <v>2.29</v>
      </c>
      <c r="W610" s="40">
        <f t="shared" si="59"/>
        <v>-1.3015368112070248E-2</v>
      </c>
    </row>
    <row r="611" spans="1:23" x14ac:dyDescent="0.2">
      <c r="A611" s="41">
        <v>41461</v>
      </c>
      <c r="B611" s="40">
        <v>14.21</v>
      </c>
      <c r="C611" s="40">
        <v>14.21</v>
      </c>
      <c r="D611" s="40">
        <v>14.21</v>
      </c>
      <c r="E611" s="40">
        <v>14.21</v>
      </c>
      <c r="G611" s="36">
        <v>44804</v>
      </c>
      <c r="H611" s="40">
        <v>26.99</v>
      </c>
      <c r="I611" s="40">
        <v>15.093999999999999</v>
      </c>
      <c r="J611" s="44"/>
      <c r="K611" s="40"/>
      <c r="L611" s="45">
        <v>26.99</v>
      </c>
      <c r="M611" s="46">
        <v>15.093999999999999</v>
      </c>
      <c r="N611" s="40">
        <f t="shared" si="54"/>
        <v>0.16127741032890638</v>
      </c>
      <c r="O611" s="40">
        <f t="shared" si="55"/>
        <v>-2.4476059882374064E-2</v>
      </c>
      <c r="P611" s="40">
        <f t="shared" si="56"/>
        <v>-2.4178950090509476E-2</v>
      </c>
      <c r="Q611" s="40"/>
      <c r="R611" s="40"/>
      <c r="S611" t="s">
        <v>2524</v>
      </c>
      <c r="T611">
        <v>2.3199999999999998</v>
      </c>
      <c r="U611" s="40">
        <f t="shared" si="57"/>
        <v>-1.2848142477849137E-2</v>
      </c>
      <c r="V611" s="40">
        <f t="shared" si="58"/>
        <v>2.3199999999999998</v>
      </c>
      <c r="W611" s="40">
        <f t="shared" si="59"/>
        <v>-1.2848142477849137E-2</v>
      </c>
    </row>
    <row r="612" spans="1:23" x14ac:dyDescent="0.2">
      <c r="A612" s="41">
        <v>41553</v>
      </c>
      <c r="B612" s="40">
        <v>15.16</v>
      </c>
      <c r="C612" s="40">
        <v>15.16</v>
      </c>
      <c r="D612" s="40">
        <v>15.16</v>
      </c>
      <c r="E612" s="40">
        <v>15.16</v>
      </c>
      <c r="G612" s="36">
        <v>44803</v>
      </c>
      <c r="H612" s="40">
        <v>22.97</v>
      </c>
      <c r="I612" s="40">
        <v>15.468</v>
      </c>
      <c r="J612" s="44"/>
      <c r="K612" s="40"/>
      <c r="L612" s="45">
        <v>22.97</v>
      </c>
      <c r="M612" s="46">
        <v>15.468</v>
      </c>
      <c r="N612" s="40">
        <f t="shared" si="54"/>
        <v>-3.3814477793437353E-2</v>
      </c>
      <c r="O612" s="40">
        <f t="shared" si="55"/>
        <v>-2.1299855424311304E-2</v>
      </c>
      <c r="P612" s="40">
        <f t="shared" si="56"/>
        <v>-2.1074615530662626E-2</v>
      </c>
      <c r="Q612" s="40"/>
      <c r="R612" s="40"/>
      <c r="S612" t="s">
        <v>2523</v>
      </c>
      <c r="T612">
        <v>2.35</v>
      </c>
      <c r="U612" s="40">
        <f t="shared" si="57"/>
        <v>1.7167803622365498E-2</v>
      </c>
      <c r="V612" s="40">
        <f t="shared" si="58"/>
        <v>2.35</v>
      </c>
      <c r="W612" s="40">
        <f t="shared" si="59"/>
        <v>1.7167803622365498E-2</v>
      </c>
    </row>
    <row r="613" spans="1:23" x14ac:dyDescent="0.2">
      <c r="A613" s="41">
        <v>41584</v>
      </c>
      <c r="B613" s="40">
        <v>17.47</v>
      </c>
      <c r="C613" s="40">
        <v>17.47</v>
      </c>
      <c r="D613" s="40">
        <v>17.47</v>
      </c>
      <c r="E613" s="40">
        <v>17.47</v>
      </c>
      <c r="G613" s="36">
        <v>44802</v>
      </c>
      <c r="H613" s="40">
        <v>23.76</v>
      </c>
      <c r="I613" s="40">
        <v>15.801</v>
      </c>
      <c r="J613" s="44"/>
      <c r="K613" s="40"/>
      <c r="L613" s="45">
        <v>23.76</v>
      </c>
      <c r="M613" s="46">
        <v>15.801</v>
      </c>
      <c r="N613" s="40">
        <f t="shared" si="54"/>
        <v>2.9504763237499969E-3</v>
      </c>
      <c r="O613" s="40">
        <f t="shared" si="55"/>
        <v>-2.8634874950302674E-2</v>
      </c>
      <c r="P613" s="40">
        <f t="shared" si="56"/>
        <v>-2.8228782287822961E-2</v>
      </c>
      <c r="Q613" s="40"/>
      <c r="R613" s="40"/>
      <c r="S613" t="s">
        <v>2522</v>
      </c>
      <c r="T613">
        <v>2.31</v>
      </c>
      <c r="U613" s="40">
        <f t="shared" si="57"/>
        <v>-1.2903404835907841E-2</v>
      </c>
      <c r="V613" s="40">
        <f t="shared" si="58"/>
        <v>2.31</v>
      </c>
      <c r="W613" s="40">
        <f t="shared" si="59"/>
        <v>-1.2903404835907841E-2</v>
      </c>
    </row>
    <row r="614" spans="1:23" x14ac:dyDescent="0.2">
      <c r="A614" s="41">
        <v>41614</v>
      </c>
      <c r="B614" s="40">
        <v>19.100000000000001</v>
      </c>
      <c r="C614" s="40">
        <v>19.100000000000001</v>
      </c>
      <c r="D614" s="40">
        <v>19.100000000000001</v>
      </c>
      <c r="E614" s="40">
        <v>19.100000000000001</v>
      </c>
      <c r="G614" s="36">
        <v>44799</v>
      </c>
      <c r="H614" s="40">
        <v>23.69</v>
      </c>
      <c r="I614" s="40">
        <v>16.260000000000002</v>
      </c>
      <c r="J614" s="44"/>
      <c r="K614" s="40"/>
      <c r="L614" s="45">
        <v>23.69</v>
      </c>
      <c r="M614" s="46">
        <v>16.260000000000002</v>
      </c>
      <c r="N614" s="40">
        <f t="shared" si="54"/>
        <v>-2.9939866234174609E-2</v>
      </c>
      <c r="O614" s="40">
        <f t="shared" si="55"/>
        <v>-9.6818602113300442E-2</v>
      </c>
      <c r="P614" s="40">
        <f t="shared" si="56"/>
        <v>-9.2279350192597476E-2</v>
      </c>
      <c r="Q614" s="40"/>
      <c r="R614" s="40"/>
      <c r="S614" t="s">
        <v>2521</v>
      </c>
      <c r="T614">
        <v>2.34</v>
      </c>
      <c r="U614" s="40">
        <f t="shared" si="57"/>
        <v>7.5423761817241877E-2</v>
      </c>
      <c r="V614" s="40">
        <f t="shared" si="58"/>
        <v>2.34</v>
      </c>
      <c r="W614" s="40">
        <f t="shared" si="59"/>
        <v>7.5423761817241877E-2</v>
      </c>
    </row>
    <row r="615" spans="1:23" x14ac:dyDescent="0.2">
      <c r="A615" s="40" t="s">
        <v>1118</v>
      </c>
      <c r="B615" s="40">
        <v>15.62</v>
      </c>
      <c r="C615" s="40">
        <v>15.62</v>
      </c>
      <c r="D615" s="40">
        <v>15.62</v>
      </c>
      <c r="E615" s="40">
        <v>15.62</v>
      </c>
      <c r="G615" s="36">
        <v>44798</v>
      </c>
      <c r="H615" s="40">
        <v>24.41</v>
      </c>
      <c r="I615" s="40">
        <v>17.913</v>
      </c>
      <c r="J615" s="44"/>
      <c r="K615" s="40"/>
      <c r="L615" s="45">
        <v>24.41</v>
      </c>
      <c r="M615" s="46">
        <v>17.913</v>
      </c>
      <c r="N615" s="40">
        <f t="shared" si="54"/>
        <v>-1.4236563411526655E-2</v>
      </c>
      <c r="O615" s="40">
        <f t="shared" si="55"/>
        <v>3.9339069958991654E-2</v>
      </c>
      <c r="P615" s="40">
        <f t="shared" si="56"/>
        <v>4.0123098362559451E-2</v>
      </c>
      <c r="Q615" s="40"/>
      <c r="R615" s="40"/>
      <c r="S615" t="s">
        <v>2520</v>
      </c>
      <c r="T615">
        <v>2.17</v>
      </c>
      <c r="U615" s="40">
        <f t="shared" si="57"/>
        <v>0</v>
      </c>
      <c r="V615" s="40">
        <f t="shared" si="58"/>
        <v>2.17</v>
      </c>
      <c r="W615" s="40">
        <f t="shared" si="59"/>
        <v>0</v>
      </c>
    </row>
    <row r="616" spans="1:23" x14ac:dyDescent="0.2">
      <c r="A616" s="40" t="s">
        <v>1119</v>
      </c>
      <c r="B616" s="40">
        <v>16.899999999999999</v>
      </c>
      <c r="C616" s="40">
        <v>16.899999999999999</v>
      </c>
      <c r="D616" s="40">
        <v>16.899999999999999</v>
      </c>
      <c r="E616" s="40">
        <v>16.899999999999999</v>
      </c>
      <c r="G616" s="36">
        <v>44797</v>
      </c>
      <c r="H616" s="40">
        <v>24.76</v>
      </c>
      <c r="I616" s="40">
        <v>17.222000000000001</v>
      </c>
      <c r="J616" s="44"/>
      <c r="K616" s="40"/>
      <c r="L616" s="45">
        <v>24.76</v>
      </c>
      <c r="M616" s="46">
        <v>17.222000000000001</v>
      </c>
      <c r="N616" s="40">
        <f t="shared" si="54"/>
        <v>3.5350988878930387E-2</v>
      </c>
      <c r="O616" s="40">
        <f t="shared" si="55"/>
        <v>2.3835141941436137E-3</v>
      </c>
      <c r="P616" s="40">
        <f t="shared" si="56"/>
        <v>2.3863570222920883E-3</v>
      </c>
      <c r="Q616" s="40"/>
      <c r="R616" s="40"/>
      <c r="S616" t="s">
        <v>2519</v>
      </c>
      <c r="T616">
        <v>2.17</v>
      </c>
      <c r="U616" s="40">
        <f t="shared" si="57"/>
        <v>-4.5977092486295425E-3</v>
      </c>
      <c r="V616" s="40">
        <f t="shared" si="58"/>
        <v>2.17</v>
      </c>
      <c r="W616" s="40">
        <f t="shared" si="59"/>
        <v>-4.5977092486295425E-3</v>
      </c>
    </row>
    <row r="617" spans="1:23" x14ac:dyDescent="0.2">
      <c r="A617" s="40" t="s">
        <v>1120</v>
      </c>
      <c r="B617" s="40">
        <v>17.239999999999998</v>
      </c>
      <c r="C617" s="40">
        <v>17.239999999999998</v>
      </c>
      <c r="D617" s="40">
        <v>17.239999999999998</v>
      </c>
      <c r="E617" s="40">
        <v>17.239999999999998</v>
      </c>
      <c r="G617" s="36">
        <v>44796</v>
      </c>
      <c r="H617" s="40">
        <v>23.9</v>
      </c>
      <c r="I617" s="40">
        <v>17.181000000000001</v>
      </c>
      <c r="J617" s="44"/>
      <c r="K617" s="40"/>
      <c r="L617" s="45">
        <v>23.9</v>
      </c>
      <c r="M617" s="46">
        <v>17.181000000000001</v>
      </c>
      <c r="N617" s="40">
        <f t="shared" si="54"/>
        <v>0.16128906831705098</v>
      </c>
      <c r="O617" s="40">
        <f t="shared" si="55"/>
        <v>8.5927753609410032E-3</v>
      </c>
      <c r="P617" s="40">
        <f t="shared" si="56"/>
        <v>8.6297992250793723E-3</v>
      </c>
      <c r="Q617" s="40"/>
      <c r="R617" s="40"/>
      <c r="S617" t="s">
        <v>2518</v>
      </c>
      <c r="T617">
        <v>2.1800000000000002</v>
      </c>
      <c r="U617" s="40">
        <f t="shared" si="57"/>
        <v>9.2166551049240476E-3</v>
      </c>
      <c r="V617" s="40">
        <f t="shared" si="58"/>
        <v>2.1800000000000002</v>
      </c>
      <c r="W617" s="40">
        <f t="shared" si="59"/>
        <v>9.2166551049240476E-3</v>
      </c>
    </row>
    <row r="618" spans="1:23" x14ac:dyDescent="0.2">
      <c r="A618" s="40" t="s">
        <v>1121</v>
      </c>
      <c r="B618" s="40">
        <v>17.62</v>
      </c>
      <c r="C618" s="40">
        <v>17.62</v>
      </c>
      <c r="D618" s="40">
        <v>17.62</v>
      </c>
      <c r="E618" s="40">
        <v>17.62</v>
      </c>
      <c r="G618" s="36">
        <v>44795</v>
      </c>
      <c r="H618" s="40">
        <v>20.34</v>
      </c>
      <c r="I618" s="40">
        <v>17.033999999999999</v>
      </c>
      <c r="J618" s="44"/>
      <c r="K618" s="40"/>
      <c r="L618" s="45">
        <v>20.34</v>
      </c>
      <c r="M618" s="46">
        <v>17.033999999999999</v>
      </c>
      <c r="N618" s="40">
        <f t="shared" si="54"/>
        <v>-4.1411791057552806E-2</v>
      </c>
      <c r="O618" s="40">
        <f t="shared" si="55"/>
        <v>-4.67361375284817E-2</v>
      </c>
      <c r="P618" s="40">
        <f t="shared" si="56"/>
        <v>-4.5660821334528617E-2</v>
      </c>
      <c r="Q618" s="40"/>
      <c r="R618" s="40"/>
      <c r="S618" t="s">
        <v>2517</v>
      </c>
      <c r="T618">
        <v>2.16</v>
      </c>
      <c r="U618" s="40">
        <f t="shared" si="57"/>
        <v>0</v>
      </c>
      <c r="V618" s="40">
        <f t="shared" si="58"/>
        <v>2.16</v>
      </c>
      <c r="W618" s="40">
        <f t="shared" si="59"/>
        <v>0</v>
      </c>
    </row>
    <row r="619" spans="1:23" x14ac:dyDescent="0.2">
      <c r="A619" s="40" t="s">
        <v>1122</v>
      </c>
      <c r="B619" s="40">
        <v>17.62</v>
      </c>
      <c r="C619" s="40">
        <v>17.62</v>
      </c>
      <c r="D619" s="40">
        <v>17.62</v>
      </c>
      <c r="E619" s="40">
        <v>17.62</v>
      </c>
      <c r="G619" s="36">
        <v>44792</v>
      </c>
      <c r="H619" s="40">
        <v>21.2</v>
      </c>
      <c r="I619" s="40">
        <v>17.849</v>
      </c>
      <c r="J619" s="44"/>
      <c r="K619" s="40"/>
      <c r="L619" s="45">
        <v>21.2</v>
      </c>
      <c r="M619" s="46">
        <v>17.849</v>
      </c>
      <c r="N619" s="40">
        <f t="shared" si="54"/>
        <v>-9.6595802436939701E-2</v>
      </c>
      <c r="O619" s="40">
        <f t="shared" si="55"/>
        <v>-5.0472183094854316E-2</v>
      </c>
      <c r="P619" s="40">
        <f t="shared" si="56"/>
        <v>-4.9219623927981647E-2</v>
      </c>
      <c r="Q619" s="40"/>
      <c r="R619" s="40"/>
      <c r="S619" t="s">
        <v>2516</v>
      </c>
      <c r="T619">
        <v>2.16</v>
      </c>
      <c r="U619" s="40">
        <f t="shared" si="57"/>
        <v>2.3420274208098637E-2</v>
      </c>
      <c r="V619" s="40">
        <f t="shared" si="58"/>
        <v>2.16</v>
      </c>
      <c r="W619" s="40">
        <f t="shared" si="59"/>
        <v>2.3420274208098637E-2</v>
      </c>
    </row>
    <row r="620" spans="1:23" x14ac:dyDescent="0.2">
      <c r="A620" s="40" t="s">
        <v>1123</v>
      </c>
      <c r="B620" s="40">
        <v>23.4</v>
      </c>
      <c r="C620" s="40">
        <v>23.4</v>
      </c>
      <c r="D620" s="40">
        <v>23.4</v>
      </c>
      <c r="E620" s="40">
        <v>23.4</v>
      </c>
      <c r="G620" s="36">
        <v>44791</v>
      </c>
      <c r="H620" s="40">
        <v>23.35</v>
      </c>
      <c r="I620" s="40">
        <v>18.773</v>
      </c>
      <c r="J620" s="44"/>
      <c r="K620" s="40"/>
      <c r="L620" s="45">
        <v>23.35</v>
      </c>
      <c r="M620" s="46">
        <v>18.773</v>
      </c>
      <c r="N620" s="40">
        <f t="shared" si="54"/>
        <v>2.1645866774692508E-2</v>
      </c>
      <c r="O620" s="40">
        <f t="shared" si="55"/>
        <v>2.3607865818935619E-2</v>
      </c>
      <c r="P620" s="40">
        <f t="shared" si="56"/>
        <v>2.3888737387510163E-2</v>
      </c>
      <c r="Q620" s="40"/>
      <c r="R620" s="40"/>
      <c r="S620" t="s">
        <v>2515</v>
      </c>
      <c r="T620">
        <v>2.11</v>
      </c>
      <c r="U620" s="40">
        <f t="shared" si="57"/>
        <v>-2.3420274208098613E-2</v>
      </c>
      <c r="V620" s="40">
        <f t="shared" si="58"/>
        <v>2.11</v>
      </c>
      <c r="W620" s="40">
        <f t="shared" si="59"/>
        <v>-2.3420274208098613E-2</v>
      </c>
    </row>
    <row r="621" spans="1:23" x14ac:dyDescent="0.2">
      <c r="A621" s="40" t="s">
        <v>1124</v>
      </c>
      <c r="B621" s="40">
        <v>20.56</v>
      </c>
      <c r="C621" s="40">
        <v>20.56</v>
      </c>
      <c r="D621" s="40">
        <v>20.56</v>
      </c>
      <c r="E621" s="40">
        <v>20.56</v>
      </c>
      <c r="G621" s="36">
        <v>44790</v>
      </c>
      <c r="H621" s="40">
        <v>22.85</v>
      </c>
      <c r="I621" s="40">
        <v>18.335000000000001</v>
      </c>
      <c r="J621" s="44"/>
      <c r="K621" s="40"/>
      <c r="L621" s="45">
        <v>22.85</v>
      </c>
      <c r="M621" s="46">
        <v>18.335000000000001</v>
      </c>
      <c r="N621" s="40">
        <f t="shared" si="54"/>
        <v>0.22533413269402844</v>
      </c>
      <c r="O621" s="40">
        <f t="shared" si="55"/>
        <v>-2.9238391689616852E-2</v>
      </c>
      <c r="P621" s="40">
        <f t="shared" si="56"/>
        <v>-2.8815085544785235E-2</v>
      </c>
      <c r="Q621" s="40"/>
      <c r="R621" s="40"/>
      <c r="S621" t="s">
        <v>2514</v>
      </c>
      <c r="T621">
        <v>2.16</v>
      </c>
      <c r="U621" s="40">
        <f t="shared" si="57"/>
        <v>-9.2166551049240632E-3</v>
      </c>
      <c r="V621" s="40">
        <f t="shared" si="58"/>
        <v>2.16</v>
      </c>
      <c r="W621" s="40">
        <f t="shared" si="59"/>
        <v>-9.2166551049240632E-3</v>
      </c>
    </row>
    <row r="622" spans="1:23" x14ac:dyDescent="0.2">
      <c r="A622" s="40" t="s">
        <v>1125</v>
      </c>
      <c r="B622" s="40">
        <v>22.32</v>
      </c>
      <c r="C622" s="40">
        <v>22.32</v>
      </c>
      <c r="D622" s="40">
        <v>22.32</v>
      </c>
      <c r="E622" s="40">
        <v>22.32</v>
      </c>
      <c r="G622" s="36">
        <v>44789</v>
      </c>
      <c r="H622" s="40">
        <v>18.239999999999998</v>
      </c>
      <c r="I622" s="40">
        <v>18.879000000000001</v>
      </c>
      <c r="J622" s="44"/>
      <c r="K622" s="40"/>
      <c r="L622" s="45">
        <v>18.239999999999998</v>
      </c>
      <c r="M622" s="46">
        <v>18.879000000000001</v>
      </c>
      <c r="N622" s="40">
        <f t="shared" si="54"/>
        <v>3.1748698314580055E-2</v>
      </c>
      <c r="O622" s="40">
        <f t="shared" si="55"/>
        <v>-8.0715797877503118E-3</v>
      </c>
      <c r="P622" s="40">
        <f t="shared" si="56"/>
        <v>-8.0390920554854299E-3</v>
      </c>
      <c r="Q622" s="40"/>
      <c r="R622" s="40"/>
      <c r="S622" t="s">
        <v>2513</v>
      </c>
      <c r="T622">
        <v>2.1800000000000002</v>
      </c>
      <c r="U622" s="40">
        <f t="shared" si="57"/>
        <v>9.2166551049240476E-3</v>
      </c>
      <c r="V622" s="40">
        <f t="shared" si="58"/>
        <v>2.1800000000000002</v>
      </c>
      <c r="W622" s="40">
        <f t="shared" si="59"/>
        <v>9.2166551049240476E-3</v>
      </c>
    </row>
    <row r="623" spans="1:23" x14ac:dyDescent="0.2">
      <c r="A623" s="40" t="s">
        <v>1126</v>
      </c>
      <c r="B623" s="40">
        <v>18.98</v>
      </c>
      <c r="C623" s="40">
        <v>18.98</v>
      </c>
      <c r="D623" s="40">
        <v>18.98</v>
      </c>
      <c r="E623" s="40">
        <v>18.98</v>
      </c>
      <c r="G623" s="36">
        <v>44788</v>
      </c>
      <c r="H623" s="40">
        <v>17.670000000000002</v>
      </c>
      <c r="I623" s="40">
        <v>19.032</v>
      </c>
      <c r="J623" s="44"/>
      <c r="K623" s="40"/>
      <c r="L623" s="45">
        <v>17.670000000000002</v>
      </c>
      <c r="M623" s="46">
        <v>19.032</v>
      </c>
      <c r="N623" s="40">
        <f t="shared" si="54"/>
        <v>-5.3441522925840063E-2</v>
      </c>
      <c r="O623" s="40">
        <f t="shared" si="55"/>
        <v>1.7117081497375036E-2</v>
      </c>
      <c r="P623" s="40">
        <f t="shared" si="56"/>
        <v>1.7264418194451889E-2</v>
      </c>
      <c r="Q623" s="40"/>
      <c r="R623" s="40"/>
      <c r="S623" s="47">
        <v>44903</v>
      </c>
      <c r="T623">
        <v>2.16</v>
      </c>
      <c r="U623" s="40">
        <f t="shared" si="57"/>
        <v>-4.6189458562944166E-3</v>
      </c>
      <c r="V623" s="40">
        <f t="shared" si="58"/>
        <v>2.16</v>
      </c>
      <c r="W623" s="40">
        <f t="shared" si="59"/>
        <v>-4.6189458562944166E-3</v>
      </c>
    </row>
    <row r="624" spans="1:23" x14ac:dyDescent="0.2">
      <c r="A624" s="40" t="s">
        <v>1127</v>
      </c>
      <c r="B624" s="40">
        <v>17.02</v>
      </c>
      <c r="C624" s="40">
        <v>17.02</v>
      </c>
      <c r="D624" s="40">
        <v>17.02</v>
      </c>
      <c r="E624" s="40">
        <v>17.02</v>
      </c>
      <c r="G624" s="36">
        <v>44785</v>
      </c>
      <c r="H624" s="40">
        <v>18.64</v>
      </c>
      <c r="I624" s="40">
        <v>18.709</v>
      </c>
      <c r="J624" s="44"/>
      <c r="K624" s="40"/>
      <c r="L624" s="45">
        <v>18.64</v>
      </c>
      <c r="M624" s="46">
        <v>18.709</v>
      </c>
      <c r="N624" s="40">
        <f t="shared" si="54"/>
        <v>2.148228538289605E-3</v>
      </c>
      <c r="O624" s="40">
        <f t="shared" si="55"/>
        <v>4.186035836618969E-2</v>
      </c>
      <c r="P624" s="40">
        <f t="shared" si="56"/>
        <v>4.274885742949501E-2</v>
      </c>
      <c r="Q624" s="40"/>
      <c r="R624" s="40"/>
      <c r="S624" s="47">
        <v>44873</v>
      </c>
      <c r="T624">
        <v>2.17</v>
      </c>
      <c r="U624" s="40">
        <f t="shared" si="57"/>
        <v>9.2593254127967262E-3</v>
      </c>
      <c r="V624" s="40">
        <f t="shared" si="58"/>
        <v>2.17</v>
      </c>
      <c r="W624" s="40">
        <f t="shared" si="59"/>
        <v>9.2593254127967262E-3</v>
      </c>
    </row>
    <row r="625" spans="1:23" x14ac:dyDescent="0.2">
      <c r="A625" s="40" t="s">
        <v>1128</v>
      </c>
      <c r="B625" s="40">
        <v>16.100000000000001</v>
      </c>
      <c r="C625" s="40">
        <v>16.100000000000001</v>
      </c>
      <c r="D625" s="40">
        <v>16.100000000000001</v>
      </c>
      <c r="E625" s="40">
        <v>16.100000000000001</v>
      </c>
      <c r="G625" s="36">
        <v>44784</v>
      </c>
      <c r="H625" s="40">
        <v>18.600000000000001</v>
      </c>
      <c r="I625" s="40">
        <v>17.942</v>
      </c>
      <c r="J625" s="44"/>
      <c r="K625" s="40"/>
      <c r="L625" s="45">
        <v>18.600000000000001</v>
      </c>
      <c r="M625" s="46">
        <v>17.942</v>
      </c>
      <c r="N625" s="40">
        <f t="shared" si="54"/>
        <v>3.23102058144654E-3</v>
      </c>
      <c r="O625" s="40">
        <f t="shared" si="55"/>
        <v>-8.601845540972328E-3</v>
      </c>
      <c r="P625" s="40">
        <f t="shared" si="56"/>
        <v>-8.5649555174891496E-3</v>
      </c>
      <c r="Q625" s="40"/>
      <c r="R625" s="40"/>
      <c r="S625" s="47">
        <v>44842</v>
      </c>
      <c r="T625">
        <v>2.15</v>
      </c>
      <c r="U625" s="40">
        <f t="shared" si="57"/>
        <v>4.6620131058111502E-3</v>
      </c>
      <c r="V625" s="40">
        <f t="shared" si="58"/>
        <v>2.15</v>
      </c>
      <c r="W625" s="40">
        <f t="shared" si="59"/>
        <v>4.6620131058111502E-3</v>
      </c>
    </row>
    <row r="626" spans="1:23" x14ac:dyDescent="0.2">
      <c r="A626" s="40" t="s">
        <v>1129</v>
      </c>
      <c r="B626" s="40">
        <v>15.98</v>
      </c>
      <c r="C626" s="40">
        <v>15.98</v>
      </c>
      <c r="D626" s="40">
        <v>15.98</v>
      </c>
      <c r="E626" s="40">
        <v>15.98</v>
      </c>
      <c r="G626" s="36">
        <v>44783</v>
      </c>
      <c r="H626" s="40">
        <v>18.54</v>
      </c>
      <c r="I626" s="40">
        <v>18.097000000000001</v>
      </c>
      <c r="J626" s="44"/>
      <c r="K626" s="40"/>
      <c r="L626" s="45">
        <v>18.54</v>
      </c>
      <c r="M626" s="46">
        <v>18.097000000000001</v>
      </c>
      <c r="N626" s="40">
        <f t="shared" si="54"/>
        <v>9.9742859098648898E-2</v>
      </c>
      <c r="O626" s="40">
        <f t="shared" si="55"/>
        <v>5.7486763948637373E-2</v>
      </c>
      <c r="P626" s="40">
        <f t="shared" si="56"/>
        <v>5.9171251316867776E-2</v>
      </c>
      <c r="Q626" s="40"/>
      <c r="R626" s="40"/>
      <c r="S626" s="47">
        <v>44812</v>
      </c>
      <c r="T626">
        <v>2.14</v>
      </c>
      <c r="U626" s="40">
        <f t="shared" si="57"/>
        <v>0</v>
      </c>
      <c r="V626" s="40">
        <f t="shared" si="58"/>
        <v>2.14</v>
      </c>
      <c r="W626" s="40">
        <f t="shared" si="59"/>
        <v>0</v>
      </c>
    </row>
    <row r="627" spans="1:23" x14ac:dyDescent="0.2">
      <c r="A627" s="41">
        <v>41281</v>
      </c>
      <c r="B627" s="40">
        <v>16.07</v>
      </c>
      <c r="C627" s="40">
        <v>16.07</v>
      </c>
      <c r="D627" s="40">
        <v>16.07</v>
      </c>
      <c r="E627" s="40">
        <v>16.07</v>
      </c>
      <c r="G627" s="36">
        <v>44782</v>
      </c>
      <c r="H627" s="40">
        <v>16.78</v>
      </c>
      <c r="I627" s="40">
        <v>17.085999999999999</v>
      </c>
      <c r="J627" s="44"/>
      <c r="K627" s="40"/>
      <c r="L627" s="45">
        <v>16.78</v>
      </c>
      <c r="M627" s="46">
        <v>17.085999999999999</v>
      </c>
      <c r="N627" s="40">
        <f t="shared" si="54"/>
        <v>-7.1849336176165832E-2</v>
      </c>
      <c r="O627" s="40">
        <f t="shared" si="55"/>
        <v>-4.0545706795272321E-2</v>
      </c>
      <c r="P627" s="40">
        <f t="shared" si="56"/>
        <v>-3.9734727139886517E-2</v>
      </c>
      <c r="Q627" s="40"/>
      <c r="R627" s="40"/>
      <c r="S627" s="47">
        <v>44781</v>
      </c>
      <c r="T627">
        <v>2.14</v>
      </c>
      <c r="U627" s="40">
        <f t="shared" si="57"/>
        <v>0</v>
      </c>
      <c r="V627" s="40">
        <f t="shared" si="58"/>
        <v>2.14</v>
      </c>
      <c r="W627" s="40">
        <f t="shared" si="59"/>
        <v>0</v>
      </c>
    </row>
    <row r="628" spans="1:23" x14ac:dyDescent="0.2">
      <c r="A628" s="41">
        <v>41312</v>
      </c>
      <c r="B628" s="40">
        <v>15.56</v>
      </c>
      <c r="C628" s="40">
        <v>15.56</v>
      </c>
      <c r="D628" s="40">
        <v>15.56</v>
      </c>
      <c r="E628" s="40">
        <v>15.56</v>
      </c>
      <c r="G628" s="36">
        <v>44781</v>
      </c>
      <c r="H628" s="40">
        <v>18.03</v>
      </c>
      <c r="I628" s="40">
        <v>17.792999999999999</v>
      </c>
      <c r="J628" s="44"/>
      <c r="K628" s="40"/>
      <c r="L628" s="45">
        <v>18.03</v>
      </c>
      <c r="M628" s="46">
        <v>17.792999999999999</v>
      </c>
      <c r="N628" s="40">
        <f t="shared" si="54"/>
        <v>2.4706478465759098E-2</v>
      </c>
      <c r="O628" s="40">
        <f t="shared" si="55"/>
        <v>-6.5054742618580561E-2</v>
      </c>
      <c r="P628" s="40">
        <f t="shared" si="56"/>
        <v>-6.2983832745273652E-2</v>
      </c>
      <c r="Q628" s="40"/>
      <c r="R628" s="40"/>
      <c r="S628" s="47">
        <v>44689</v>
      </c>
      <c r="T628">
        <v>2.14</v>
      </c>
      <c r="U628" s="40">
        <f t="shared" si="57"/>
        <v>9.3897403498391374E-3</v>
      </c>
      <c r="V628" s="40">
        <f t="shared" si="58"/>
        <v>2.14</v>
      </c>
      <c r="W628" s="40">
        <f t="shared" si="59"/>
        <v>9.3897403498391374E-3</v>
      </c>
    </row>
    <row r="629" spans="1:23" x14ac:dyDescent="0.2">
      <c r="A629" s="41">
        <v>41340</v>
      </c>
      <c r="B629" s="40">
        <v>15.94</v>
      </c>
      <c r="C629" s="40">
        <v>15.94</v>
      </c>
      <c r="D629" s="40">
        <v>15.94</v>
      </c>
      <c r="E629" s="40">
        <v>15.94</v>
      </c>
      <c r="G629" s="36">
        <v>44778</v>
      </c>
      <c r="H629" s="40">
        <v>17.59</v>
      </c>
      <c r="I629" s="40">
        <v>18.989000000000001</v>
      </c>
      <c r="J629" s="44"/>
      <c r="K629" s="40"/>
      <c r="L629" s="45">
        <v>17.59</v>
      </c>
      <c r="M629" s="46">
        <v>18.989000000000001</v>
      </c>
      <c r="N629" s="40">
        <f t="shared" si="54"/>
        <v>-0.16810308165607621</v>
      </c>
      <c r="O629" s="40">
        <f t="shared" si="55"/>
        <v>-1.1831359873527521E-2</v>
      </c>
      <c r="P629" s="40">
        <f t="shared" si="56"/>
        <v>-1.1761644548529748E-2</v>
      </c>
      <c r="Q629" s="40"/>
      <c r="R629" s="40"/>
      <c r="S629" s="47">
        <v>44659</v>
      </c>
      <c r="T629">
        <v>2.12</v>
      </c>
      <c r="U629" s="40">
        <f t="shared" si="57"/>
        <v>-9.3897403498390316E-3</v>
      </c>
      <c r="V629" s="40">
        <f t="shared" si="58"/>
        <v>2.12</v>
      </c>
      <c r="W629" s="40">
        <f t="shared" si="59"/>
        <v>-9.3897403498390316E-3</v>
      </c>
    </row>
    <row r="630" spans="1:23" x14ac:dyDescent="0.2">
      <c r="A630" s="41">
        <v>41401</v>
      </c>
      <c r="B630" s="40">
        <v>13.08</v>
      </c>
      <c r="C630" s="40">
        <v>13.08</v>
      </c>
      <c r="D630" s="40">
        <v>13.08</v>
      </c>
      <c r="E630" s="40">
        <v>13.08</v>
      </c>
      <c r="G630" s="36">
        <v>44777</v>
      </c>
      <c r="H630" s="40">
        <v>20.81</v>
      </c>
      <c r="I630" s="40">
        <v>19.215</v>
      </c>
      <c r="J630" s="44"/>
      <c r="K630" s="40"/>
      <c r="L630" s="45">
        <v>20.81</v>
      </c>
      <c r="M630" s="46">
        <v>19.215</v>
      </c>
      <c r="N630" s="40">
        <f t="shared" si="54"/>
        <v>4.3207506180839642E-2</v>
      </c>
      <c r="O630" s="40">
        <f t="shared" si="55"/>
        <v>1.6899740925626253E-2</v>
      </c>
      <c r="P630" s="40">
        <f t="shared" si="56"/>
        <v>1.7043349388662424E-2</v>
      </c>
      <c r="Q630" s="40"/>
      <c r="R630" s="40"/>
      <c r="S630" s="47">
        <v>44628</v>
      </c>
      <c r="T630">
        <v>2.14</v>
      </c>
      <c r="U630" s="40">
        <f t="shared" si="57"/>
        <v>-4.6620131058111901E-3</v>
      </c>
      <c r="V630" s="40">
        <f t="shared" si="58"/>
        <v>2.14</v>
      </c>
      <c r="W630" s="40">
        <f t="shared" si="59"/>
        <v>-4.6620131058111901E-3</v>
      </c>
    </row>
    <row r="631" spans="1:23" x14ac:dyDescent="0.2">
      <c r="A631" s="41">
        <v>41493</v>
      </c>
      <c r="B631" s="40">
        <v>14.22</v>
      </c>
      <c r="C631" s="40">
        <v>14.22</v>
      </c>
      <c r="D631" s="40">
        <v>14.22</v>
      </c>
      <c r="E631" s="40">
        <v>14.22</v>
      </c>
      <c r="G631" s="36">
        <v>44776</v>
      </c>
      <c r="H631" s="40">
        <v>19.93</v>
      </c>
      <c r="I631" s="40">
        <v>18.893000000000001</v>
      </c>
      <c r="J631" s="44"/>
      <c r="K631" s="40"/>
      <c r="L631" s="45">
        <v>19.93</v>
      </c>
      <c r="M631" s="46">
        <v>18.893000000000001</v>
      </c>
      <c r="N631" s="40">
        <f t="shared" si="54"/>
        <v>3.1085305440331425E-2</v>
      </c>
      <c r="O631" s="40">
        <f t="shared" si="55"/>
        <v>1.9616332259345275E-2</v>
      </c>
      <c r="P631" s="40">
        <f t="shared" si="56"/>
        <v>1.9809996761308478E-2</v>
      </c>
      <c r="Q631" s="40"/>
      <c r="R631" s="40"/>
      <c r="S631" s="47">
        <v>44600</v>
      </c>
      <c r="T631">
        <v>2.15</v>
      </c>
      <c r="U631" s="40">
        <f t="shared" si="57"/>
        <v>0</v>
      </c>
      <c r="V631" s="40">
        <f t="shared" si="58"/>
        <v>2.15</v>
      </c>
      <c r="W631" s="40">
        <f t="shared" si="59"/>
        <v>0</v>
      </c>
    </row>
    <row r="632" spans="1:23" x14ac:dyDescent="0.2">
      <c r="A632" s="41">
        <v>41524</v>
      </c>
      <c r="B632" s="40">
        <v>13.45</v>
      </c>
      <c r="C632" s="40">
        <v>13.45</v>
      </c>
      <c r="D632" s="40">
        <v>13.45</v>
      </c>
      <c r="E632" s="40">
        <v>13.45</v>
      </c>
      <c r="G632" s="36">
        <v>44775</v>
      </c>
      <c r="H632" s="40">
        <v>19.32</v>
      </c>
      <c r="I632" s="40">
        <v>18.526</v>
      </c>
      <c r="J632" s="44"/>
      <c r="K632" s="40"/>
      <c r="L632" s="45">
        <v>19.32</v>
      </c>
      <c r="M632" s="46">
        <v>18.526</v>
      </c>
      <c r="N632" s="40">
        <f t="shared" si="54"/>
        <v>-1.8970063866662289E-2</v>
      </c>
      <c r="O632" s="40">
        <f t="shared" si="55"/>
        <v>4.5987042388536646E-3</v>
      </c>
      <c r="P632" s="40">
        <f t="shared" si="56"/>
        <v>4.6092945068055341E-3</v>
      </c>
      <c r="Q632" s="40"/>
      <c r="R632" s="40"/>
      <c r="S632" s="47">
        <v>44569</v>
      </c>
      <c r="T632">
        <v>2.15</v>
      </c>
      <c r="U632" s="40">
        <f t="shared" si="57"/>
        <v>-4.6403795565023364E-3</v>
      </c>
      <c r="V632" s="40">
        <f t="shared" si="58"/>
        <v>2.15</v>
      </c>
      <c r="W632" s="40">
        <f t="shared" si="59"/>
        <v>-4.6403795565023364E-3</v>
      </c>
    </row>
    <row r="633" spans="1:23" x14ac:dyDescent="0.2">
      <c r="A633" s="41">
        <v>41554</v>
      </c>
      <c r="B633" s="40">
        <v>13.51</v>
      </c>
      <c r="C633" s="40">
        <v>13.51</v>
      </c>
      <c r="D633" s="40">
        <v>13.51</v>
      </c>
      <c r="E633" s="40">
        <v>13.51</v>
      </c>
      <c r="G633" s="36">
        <v>44774</v>
      </c>
      <c r="H633" s="40">
        <v>19.690000000000001</v>
      </c>
      <c r="I633" s="40">
        <v>18.440999999999999</v>
      </c>
      <c r="J633" s="44"/>
      <c r="K633" s="40"/>
      <c r="L633" s="45">
        <v>19.690000000000001</v>
      </c>
      <c r="M633" s="46">
        <v>18.440999999999999</v>
      </c>
      <c r="N633" s="40">
        <f t="shared" si="54"/>
        <v>-4.3236547935930028E-2</v>
      </c>
      <c r="O633" s="40">
        <f t="shared" si="55"/>
        <v>1.5189888825675705E-2</v>
      </c>
      <c r="P633" s="40">
        <f t="shared" si="56"/>
        <v>1.5305841546000037E-2</v>
      </c>
      <c r="Q633" s="40"/>
      <c r="R633" s="40"/>
      <c r="S633" t="s">
        <v>2512</v>
      </c>
      <c r="T633">
        <v>2.16</v>
      </c>
      <c r="U633" s="40">
        <f t="shared" si="57"/>
        <v>4.6403795565023009E-3</v>
      </c>
      <c r="V633" s="40">
        <f t="shared" si="58"/>
        <v>2.16</v>
      </c>
      <c r="W633" s="40">
        <f t="shared" si="59"/>
        <v>4.6403795565023009E-3</v>
      </c>
    </row>
    <row r="634" spans="1:23" x14ac:dyDescent="0.2">
      <c r="A634" s="41">
        <v>41585</v>
      </c>
      <c r="B634" s="40">
        <v>13.04</v>
      </c>
      <c r="C634" s="40">
        <v>13.04</v>
      </c>
      <c r="D634" s="40">
        <v>13.04</v>
      </c>
      <c r="E634" s="40">
        <v>13.04</v>
      </c>
      <c r="G634" s="36">
        <v>44771</v>
      </c>
      <c r="H634" s="40">
        <v>20.56</v>
      </c>
      <c r="I634" s="40">
        <v>18.163</v>
      </c>
      <c r="J634" s="44"/>
      <c r="K634" s="40"/>
      <c r="L634" s="45">
        <v>20.56</v>
      </c>
      <c r="M634" s="46">
        <v>18.163</v>
      </c>
      <c r="N634" s="40">
        <f t="shared" si="54"/>
        <v>-0.12295769144640098</v>
      </c>
      <c r="O634" s="40">
        <f t="shared" si="55"/>
        <v>9.9040840560257314E-3</v>
      </c>
      <c r="P634" s="40">
        <f t="shared" si="56"/>
        <v>9.9532918149465351E-3</v>
      </c>
      <c r="Q634" s="40"/>
      <c r="R634" s="40"/>
      <c r="S634" t="s">
        <v>2511</v>
      </c>
      <c r="T634">
        <v>2.15</v>
      </c>
      <c r="U634" s="40">
        <f t="shared" si="57"/>
        <v>2.8303776162851724E-2</v>
      </c>
      <c r="V634" s="40">
        <f t="shared" si="58"/>
        <v>2.15</v>
      </c>
      <c r="W634" s="40">
        <f t="shared" si="59"/>
        <v>2.8303776162851724E-2</v>
      </c>
    </row>
    <row r="635" spans="1:23" x14ac:dyDescent="0.2">
      <c r="A635" s="41">
        <v>41615</v>
      </c>
      <c r="B635" s="40">
        <v>12.33</v>
      </c>
      <c r="C635" s="40">
        <v>12.33</v>
      </c>
      <c r="D635" s="40">
        <v>12.33</v>
      </c>
      <c r="E635" s="40">
        <v>12.33</v>
      </c>
      <c r="G635" s="36">
        <v>44770</v>
      </c>
      <c r="H635" s="40">
        <v>23.25</v>
      </c>
      <c r="I635" s="40">
        <v>17.984000000000002</v>
      </c>
      <c r="J635" s="44"/>
      <c r="K635" s="40"/>
      <c r="L635" s="45">
        <v>23.25</v>
      </c>
      <c r="M635" s="46">
        <v>17.984000000000002</v>
      </c>
      <c r="N635" s="40">
        <f t="shared" si="54"/>
        <v>5.7993677186281095E-2</v>
      </c>
      <c r="O635" s="40">
        <f t="shared" si="55"/>
        <v>1.0845972033537E-2</v>
      </c>
      <c r="P635" s="40">
        <f t="shared" si="56"/>
        <v>1.0905002810567882E-2</v>
      </c>
      <c r="Q635" s="40"/>
      <c r="R635" s="40"/>
      <c r="S635" t="s">
        <v>2510</v>
      </c>
      <c r="T635">
        <v>2.09</v>
      </c>
      <c r="U635" s="40">
        <f t="shared" si="57"/>
        <v>-1.4252022707201615E-2</v>
      </c>
      <c r="V635" s="40">
        <f t="shared" si="58"/>
        <v>2.09</v>
      </c>
      <c r="W635" s="40">
        <f t="shared" si="59"/>
        <v>-1.4252022707201615E-2</v>
      </c>
    </row>
    <row r="636" spans="1:23" x14ac:dyDescent="0.2">
      <c r="A636" s="40" t="s">
        <v>1130</v>
      </c>
      <c r="B636" s="40">
        <v>13.05</v>
      </c>
      <c r="C636" s="40">
        <v>13.05</v>
      </c>
      <c r="D636" s="40">
        <v>13.05</v>
      </c>
      <c r="E636" s="40">
        <v>13.05</v>
      </c>
      <c r="G636" s="36">
        <v>44769</v>
      </c>
      <c r="H636" s="40">
        <v>21.94</v>
      </c>
      <c r="I636" s="40">
        <v>17.79</v>
      </c>
      <c r="J636" s="44"/>
      <c r="K636" s="40"/>
      <c r="L636" s="45">
        <v>21.94</v>
      </c>
      <c r="M636" s="46">
        <v>17.79</v>
      </c>
      <c r="N636" s="40">
        <f t="shared" si="54"/>
        <v>0.16676407948246988</v>
      </c>
      <c r="O636" s="40">
        <f t="shared" si="55"/>
        <v>7.3278118108535725E-2</v>
      </c>
      <c r="P636" s="40">
        <f t="shared" si="56"/>
        <v>7.6029758664489064E-2</v>
      </c>
      <c r="Q636" s="40"/>
      <c r="R636" s="40"/>
      <c r="S636" t="s">
        <v>2509</v>
      </c>
      <c r="T636">
        <v>2.12</v>
      </c>
      <c r="U636" s="40">
        <f t="shared" si="57"/>
        <v>9.4787439545437387E-3</v>
      </c>
      <c r="V636" s="40">
        <f t="shared" si="58"/>
        <v>2.12</v>
      </c>
      <c r="W636" s="40">
        <f t="shared" si="59"/>
        <v>9.4787439545437387E-3</v>
      </c>
    </row>
    <row r="637" spans="1:23" x14ac:dyDescent="0.2">
      <c r="A637" s="40" t="s">
        <v>1131</v>
      </c>
      <c r="B637" s="40">
        <v>13.62</v>
      </c>
      <c r="C637" s="40">
        <v>13.62</v>
      </c>
      <c r="D637" s="40">
        <v>13.62</v>
      </c>
      <c r="E637" s="40">
        <v>13.62</v>
      </c>
      <c r="G637" s="36">
        <v>44768</v>
      </c>
      <c r="H637" s="40">
        <v>18.57</v>
      </c>
      <c r="I637" s="40">
        <v>16.533000000000001</v>
      </c>
      <c r="J637" s="44"/>
      <c r="K637" s="40"/>
      <c r="L637" s="45">
        <v>18.57</v>
      </c>
      <c r="M637" s="46">
        <v>16.533000000000001</v>
      </c>
      <c r="N637" s="40">
        <f t="shared" si="54"/>
        <v>-0.11388626504092862</v>
      </c>
      <c r="O637" s="40">
        <f t="shared" si="55"/>
        <v>-2.9265729590025859E-2</v>
      </c>
      <c r="P637" s="40">
        <f t="shared" si="56"/>
        <v>-2.8841635338345842E-2</v>
      </c>
      <c r="Q637" s="40"/>
      <c r="R637" s="40"/>
      <c r="S637" t="s">
        <v>2508</v>
      </c>
      <c r="T637">
        <v>2.1</v>
      </c>
      <c r="U637" s="40">
        <f t="shared" si="57"/>
        <v>-9.47874395454377E-3</v>
      </c>
      <c r="V637" s="40">
        <f t="shared" si="58"/>
        <v>2.1</v>
      </c>
      <c r="W637" s="40">
        <f t="shared" si="59"/>
        <v>-9.47874395454377E-3</v>
      </c>
    </row>
    <row r="638" spans="1:23" x14ac:dyDescent="0.2">
      <c r="A638" s="40" t="s">
        <v>1132</v>
      </c>
      <c r="B638" s="40">
        <v>12.57</v>
      </c>
      <c r="C638" s="40">
        <v>12.57</v>
      </c>
      <c r="D638" s="40">
        <v>12.57</v>
      </c>
      <c r="E638" s="40">
        <v>12.57</v>
      </c>
      <c r="G638" s="36">
        <v>44767</v>
      </c>
      <c r="H638" s="40">
        <v>20.81</v>
      </c>
      <c r="I638" s="40">
        <v>17.024000000000001</v>
      </c>
      <c r="J638" s="44"/>
      <c r="K638" s="40"/>
      <c r="L638" s="45">
        <v>20.81</v>
      </c>
      <c r="M638" s="46">
        <v>17.024000000000001</v>
      </c>
      <c r="N638" s="40">
        <f t="shared" si="54"/>
        <v>-6.1952286874947894E-2</v>
      </c>
      <c r="O638" s="40">
        <f t="shared" si="55"/>
        <v>-1.7180051587672253E-2</v>
      </c>
      <c r="P638" s="40">
        <f t="shared" si="56"/>
        <v>-1.7033316011316944E-2</v>
      </c>
      <c r="Q638" s="40"/>
      <c r="R638" s="40"/>
      <c r="S638" t="s">
        <v>2507</v>
      </c>
      <c r="T638">
        <v>2.12</v>
      </c>
      <c r="U638" s="40">
        <f t="shared" si="57"/>
        <v>0</v>
      </c>
      <c r="V638" s="40">
        <f t="shared" si="58"/>
        <v>2.12</v>
      </c>
      <c r="W638" s="40">
        <f t="shared" si="59"/>
        <v>0</v>
      </c>
    </row>
    <row r="639" spans="1:23" x14ac:dyDescent="0.2">
      <c r="A639" s="40" t="s">
        <v>1133</v>
      </c>
      <c r="B639" s="40">
        <v>12.48</v>
      </c>
      <c r="C639" s="40">
        <v>12.48</v>
      </c>
      <c r="D639" s="40">
        <v>12.48</v>
      </c>
      <c r="E639" s="40">
        <v>12.48</v>
      </c>
      <c r="G639" s="36">
        <v>44764</v>
      </c>
      <c r="H639" s="40">
        <v>22.14</v>
      </c>
      <c r="I639" s="40">
        <v>17.318999999999999</v>
      </c>
      <c r="J639" s="44"/>
      <c r="K639" s="40"/>
      <c r="L639" s="45">
        <v>22.14</v>
      </c>
      <c r="M639" s="46">
        <v>17.318999999999999</v>
      </c>
      <c r="N639" s="40">
        <f t="shared" si="54"/>
        <v>-0.11948789491703675</v>
      </c>
      <c r="O639" s="40">
        <f t="shared" si="55"/>
        <v>-4.1341520031983825E-2</v>
      </c>
      <c r="P639" s="40">
        <f t="shared" si="56"/>
        <v>-4.0498614958448843E-2</v>
      </c>
      <c r="Q639" s="40"/>
      <c r="R639" s="40"/>
      <c r="S639" t="s">
        <v>2506</v>
      </c>
      <c r="T639">
        <v>2.12</v>
      </c>
      <c r="U639" s="40">
        <f t="shared" si="57"/>
        <v>0.14165051706302684</v>
      </c>
      <c r="V639" s="40">
        <f t="shared" si="58"/>
        <v>2.12</v>
      </c>
      <c r="W639" s="40">
        <f t="shared" si="59"/>
        <v>0.14165051706302684</v>
      </c>
    </row>
    <row r="640" spans="1:23" x14ac:dyDescent="0.2">
      <c r="A640" s="40" t="s">
        <v>1134</v>
      </c>
      <c r="B640" s="40">
        <v>11.61</v>
      </c>
      <c r="C640" s="40">
        <v>11.61</v>
      </c>
      <c r="D640" s="40">
        <v>11.61</v>
      </c>
      <c r="E640" s="40">
        <v>11.61</v>
      </c>
      <c r="G640" s="36">
        <v>44763</v>
      </c>
      <c r="H640" s="40">
        <v>24.95</v>
      </c>
      <c r="I640" s="40">
        <v>18.05</v>
      </c>
      <c r="J640" s="44"/>
      <c r="K640" s="40"/>
      <c r="L640" s="45">
        <v>24.95</v>
      </c>
      <c r="M640" s="46">
        <v>18.05</v>
      </c>
      <c r="N640" s="40">
        <f t="shared" si="54"/>
        <v>7.747419883112372E-2</v>
      </c>
      <c r="O640" s="40">
        <f t="shared" si="55"/>
        <v>1.3554046359712663E-2</v>
      </c>
      <c r="P640" s="40">
        <f t="shared" si="56"/>
        <v>1.3646318863368458E-2</v>
      </c>
      <c r="Q640" s="40"/>
      <c r="R640" s="40"/>
      <c r="S640" t="s">
        <v>2505</v>
      </c>
      <c r="T640">
        <v>1.84</v>
      </c>
      <c r="U640" s="40">
        <f t="shared" si="57"/>
        <v>-1.6172859245601072E-2</v>
      </c>
      <c r="V640" s="40">
        <f t="shared" si="58"/>
        <v>1.84</v>
      </c>
      <c r="W640" s="40">
        <f t="shared" si="59"/>
        <v>-1.6172859245601072E-2</v>
      </c>
    </row>
    <row r="641" spans="1:23" x14ac:dyDescent="0.2">
      <c r="A641" s="40" t="s">
        <v>1135</v>
      </c>
      <c r="B641" s="40">
        <v>11.79</v>
      </c>
      <c r="C641" s="40">
        <v>11.79</v>
      </c>
      <c r="D641" s="40">
        <v>11.79</v>
      </c>
      <c r="E641" s="40">
        <v>11.79</v>
      </c>
      <c r="G641" s="36">
        <v>44762</v>
      </c>
      <c r="H641" s="40">
        <v>23.09</v>
      </c>
      <c r="I641" s="40">
        <v>17.806999999999999</v>
      </c>
      <c r="J641" s="44"/>
      <c r="K641" s="40"/>
      <c r="L641" s="45">
        <v>23.09</v>
      </c>
      <c r="M641" s="46">
        <v>17.806999999999999</v>
      </c>
      <c r="N641" s="40">
        <f t="shared" si="54"/>
        <v>4.4274605934378104E-2</v>
      </c>
      <c r="O641" s="40">
        <f t="shared" si="55"/>
        <v>4.6848993359648892E-2</v>
      </c>
      <c r="P641" s="40">
        <f t="shared" si="56"/>
        <v>4.7963747645950898E-2</v>
      </c>
      <c r="Q641" s="40"/>
      <c r="R641" s="40"/>
      <c r="S641" t="s">
        <v>2504</v>
      </c>
      <c r="T641">
        <v>1.87</v>
      </c>
      <c r="U641" s="40">
        <f t="shared" si="57"/>
        <v>-2.1164811192043158E-2</v>
      </c>
      <c r="V641" s="40">
        <f t="shared" si="58"/>
        <v>1.87</v>
      </c>
      <c r="W641" s="40">
        <f t="shared" si="59"/>
        <v>-2.1164811192043158E-2</v>
      </c>
    </row>
    <row r="642" spans="1:23" x14ac:dyDescent="0.2">
      <c r="A642" s="40" t="s">
        <v>1136</v>
      </c>
      <c r="B642" s="40">
        <v>12.58</v>
      </c>
      <c r="C642" s="40">
        <v>12.58</v>
      </c>
      <c r="D642" s="40">
        <v>12.58</v>
      </c>
      <c r="E642" s="40">
        <v>12.58</v>
      </c>
      <c r="G642" s="36">
        <v>44761</v>
      </c>
      <c r="H642" s="40">
        <v>22.09</v>
      </c>
      <c r="I642" s="40">
        <v>16.992000000000001</v>
      </c>
      <c r="J642" s="44"/>
      <c r="K642" s="40"/>
      <c r="L642" s="45">
        <v>22.09</v>
      </c>
      <c r="M642" s="46">
        <v>16.992000000000001</v>
      </c>
      <c r="N642" s="40">
        <f t="shared" si="54"/>
        <v>-5.9318947276786119E-2</v>
      </c>
      <c r="O642" s="40">
        <f t="shared" si="55"/>
        <v>5.3861263196726933E-2</v>
      </c>
      <c r="P642" s="40">
        <f t="shared" si="56"/>
        <v>5.5338177752934717E-2</v>
      </c>
      <c r="Q642" s="40"/>
      <c r="R642" s="40"/>
      <c r="S642" t="s">
        <v>2503</v>
      </c>
      <c r="T642">
        <v>1.91</v>
      </c>
      <c r="U642" s="40">
        <f t="shared" si="57"/>
        <v>-2.072613051711697E-2</v>
      </c>
      <c r="V642" s="40">
        <f t="shared" si="58"/>
        <v>1.91</v>
      </c>
      <c r="W642" s="40">
        <f t="shared" si="59"/>
        <v>-2.072613051711697E-2</v>
      </c>
    </row>
    <row r="643" spans="1:23" x14ac:dyDescent="0.2">
      <c r="A643" s="40" t="s">
        <v>1137</v>
      </c>
      <c r="B643" s="40">
        <v>13.13</v>
      </c>
      <c r="C643" s="40">
        <v>13.13</v>
      </c>
      <c r="D643" s="40">
        <v>13.13</v>
      </c>
      <c r="E643" s="40">
        <v>13.13</v>
      </c>
      <c r="G643" s="36">
        <v>44760</v>
      </c>
      <c r="H643" s="40">
        <v>23.44</v>
      </c>
      <c r="I643" s="40">
        <v>16.100999999999999</v>
      </c>
      <c r="J643" s="44"/>
      <c r="K643" s="40"/>
      <c r="L643" s="45">
        <v>23.44</v>
      </c>
      <c r="M643" s="46">
        <v>16.100999999999999</v>
      </c>
      <c r="N643" s="40">
        <f t="shared" ref="N643:N706" si="60">LN(L643/L644)</f>
        <v>-7.1606063907389148E-2</v>
      </c>
      <c r="O643" s="40">
        <f t="shared" ref="O643:O706" si="61">LN(M643/M644)</f>
        <v>2.1279401931343655E-2</v>
      </c>
      <c r="P643" s="40">
        <f t="shared" ref="P643:P706" si="62">(M643-M644)/M644</f>
        <v>2.1507422915873532E-2</v>
      </c>
      <c r="Q643" s="40"/>
      <c r="R643" s="40"/>
      <c r="S643" t="s">
        <v>2502</v>
      </c>
      <c r="T643">
        <v>1.95</v>
      </c>
      <c r="U643" s="40">
        <f t="shared" ref="U643:U706" si="63">LN(T643/T644)</f>
        <v>-5.1151006667703768E-3</v>
      </c>
      <c r="V643" s="40">
        <f t="shared" ref="V643:V706" si="64">IF(T643=0, 0.001,T643)</f>
        <v>1.95</v>
      </c>
      <c r="W643" s="40">
        <f t="shared" ref="W643:W706" si="65">LN(V643/V644)</f>
        <v>-5.1151006667703768E-3</v>
      </c>
    </row>
    <row r="644" spans="1:23" x14ac:dyDescent="0.2">
      <c r="A644" s="40" t="s">
        <v>1138</v>
      </c>
      <c r="B644" s="40">
        <v>12.82</v>
      </c>
      <c r="C644" s="40">
        <v>12.82</v>
      </c>
      <c r="D644" s="40">
        <v>12.82</v>
      </c>
      <c r="E644" s="40">
        <v>12.82</v>
      </c>
      <c r="G644" s="36">
        <v>44757</v>
      </c>
      <c r="H644" s="40">
        <v>25.18</v>
      </c>
      <c r="I644" s="40">
        <v>15.762</v>
      </c>
      <c r="J644" s="44"/>
      <c r="K644" s="40"/>
      <c r="L644" s="45">
        <v>25.18</v>
      </c>
      <c r="M644" s="46">
        <v>15.762</v>
      </c>
      <c r="N644" s="40">
        <f t="shared" si="60"/>
        <v>-3.9709382150850049E-2</v>
      </c>
      <c r="O644" s="40">
        <f t="shared" si="61"/>
        <v>2.5054307228860446E-2</v>
      </c>
      <c r="P644" s="40">
        <f t="shared" si="62"/>
        <v>2.5370804059328688E-2</v>
      </c>
      <c r="Q644" s="40"/>
      <c r="R644" s="40"/>
      <c r="S644" t="s">
        <v>2501</v>
      </c>
      <c r="T644">
        <v>1.96</v>
      </c>
      <c r="U644" s="40">
        <f t="shared" si="63"/>
        <v>0.15415067982725836</v>
      </c>
      <c r="V644" s="40">
        <f t="shared" si="64"/>
        <v>1.96</v>
      </c>
      <c r="W644" s="40">
        <f t="shared" si="65"/>
        <v>0.15415067982725836</v>
      </c>
    </row>
    <row r="645" spans="1:23" x14ac:dyDescent="0.2">
      <c r="A645" s="40" t="s">
        <v>1139</v>
      </c>
      <c r="B645" s="40">
        <v>11.97</v>
      </c>
      <c r="C645" s="40">
        <v>11.97</v>
      </c>
      <c r="D645" s="40">
        <v>11.97</v>
      </c>
      <c r="E645" s="40">
        <v>11.97</v>
      </c>
      <c r="G645" s="36">
        <v>44756</v>
      </c>
      <c r="H645" s="40">
        <v>26.2</v>
      </c>
      <c r="I645" s="40">
        <v>15.372</v>
      </c>
      <c r="J645" s="44"/>
      <c r="K645" s="40"/>
      <c r="L645" s="45">
        <v>26.2</v>
      </c>
      <c r="M645" s="46">
        <v>15.372</v>
      </c>
      <c r="N645" s="40">
        <f t="shared" si="60"/>
        <v>2.3167059281534379E-2</v>
      </c>
      <c r="O645" s="40">
        <f t="shared" si="61"/>
        <v>1.3623475048509059E-2</v>
      </c>
      <c r="P645" s="40">
        <f t="shared" si="62"/>
        <v>1.3716697441308375E-2</v>
      </c>
      <c r="Q645" s="40"/>
      <c r="R645" s="40"/>
      <c r="S645" t="s">
        <v>2500</v>
      </c>
      <c r="T645">
        <v>1.68</v>
      </c>
      <c r="U645" s="40">
        <f t="shared" si="63"/>
        <v>6.7718174054950855E-2</v>
      </c>
      <c r="V645" s="40">
        <f t="shared" si="64"/>
        <v>1.68</v>
      </c>
      <c r="W645" s="40">
        <f t="shared" si="65"/>
        <v>6.7718174054950855E-2</v>
      </c>
    </row>
    <row r="646" spans="1:23" x14ac:dyDescent="0.2">
      <c r="A646" s="40" t="s">
        <v>1140</v>
      </c>
      <c r="B646" s="40">
        <v>13.23</v>
      </c>
      <c r="C646" s="40">
        <v>13.23</v>
      </c>
      <c r="D646" s="40">
        <v>13.23</v>
      </c>
      <c r="E646" s="40">
        <v>13.23</v>
      </c>
      <c r="G646" s="36">
        <v>44755</v>
      </c>
      <c r="H646" s="40">
        <v>25.6</v>
      </c>
      <c r="I646" s="40">
        <v>15.164</v>
      </c>
      <c r="J646" s="44"/>
      <c r="K646" s="40"/>
      <c r="L646" s="45">
        <v>25.6</v>
      </c>
      <c r="M646" s="46">
        <v>15.164</v>
      </c>
      <c r="N646" s="40">
        <f t="shared" si="60"/>
        <v>0.14520642420502591</v>
      </c>
      <c r="O646" s="40">
        <f t="shared" si="61"/>
        <v>5.4222178736331684E-3</v>
      </c>
      <c r="P646" s="40">
        <f t="shared" si="62"/>
        <v>5.4369447022940562E-3</v>
      </c>
      <c r="Q646" s="40"/>
      <c r="R646" s="40"/>
      <c r="S646" s="47">
        <v>44902</v>
      </c>
      <c r="T646">
        <v>1.57</v>
      </c>
      <c r="U646" s="40">
        <f t="shared" si="63"/>
        <v>2.5807883955872721E-2</v>
      </c>
      <c r="V646" s="40">
        <f t="shared" si="64"/>
        <v>1.57</v>
      </c>
      <c r="W646" s="40">
        <f t="shared" si="65"/>
        <v>2.5807883955872721E-2</v>
      </c>
    </row>
    <row r="647" spans="1:23" x14ac:dyDescent="0.2">
      <c r="A647" s="40" t="s">
        <v>1141</v>
      </c>
      <c r="B647" s="40">
        <v>13.53</v>
      </c>
      <c r="C647" s="40">
        <v>13.53</v>
      </c>
      <c r="D647" s="40">
        <v>13.53</v>
      </c>
      <c r="E647" s="40">
        <v>13.53</v>
      </c>
      <c r="G647" s="36">
        <v>44754</v>
      </c>
      <c r="H647" s="40">
        <v>22.14</v>
      </c>
      <c r="I647" s="40">
        <v>15.082000000000001</v>
      </c>
      <c r="J647" s="44"/>
      <c r="K647" s="40"/>
      <c r="L647" s="45">
        <v>22.14</v>
      </c>
      <c r="M647" s="46">
        <v>15.082000000000001</v>
      </c>
      <c r="N647" s="40">
        <f t="shared" si="60"/>
        <v>-0.13025140325628257</v>
      </c>
      <c r="O647" s="40">
        <f t="shared" si="61"/>
        <v>-4.6305566632670204E-3</v>
      </c>
      <c r="P647" s="40">
        <f t="shared" si="62"/>
        <v>-4.61985216473063E-3</v>
      </c>
      <c r="Q647" s="40"/>
      <c r="R647" s="40"/>
      <c r="S647" s="47">
        <v>44872</v>
      </c>
      <c r="T647">
        <v>1.53</v>
      </c>
      <c r="U647" s="40">
        <f t="shared" si="63"/>
        <v>-1.298719552681119E-2</v>
      </c>
      <c r="V647" s="40">
        <f t="shared" si="64"/>
        <v>1.53</v>
      </c>
      <c r="W647" s="40">
        <f t="shared" si="65"/>
        <v>-1.298719552681119E-2</v>
      </c>
    </row>
    <row r="648" spans="1:23" x14ac:dyDescent="0.2">
      <c r="A648" s="40" t="s">
        <v>1142</v>
      </c>
      <c r="B648" s="40">
        <v>13.33</v>
      </c>
      <c r="C648" s="40">
        <v>13.33</v>
      </c>
      <c r="D648" s="40">
        <v>13.33</v>
      </c>
      <c r="E648" s="40">
        <v>13.33</v>
      </c>
      <c r="G648" s="36">
        <v>44753</v>
      </c>
      <c r="H648" s="40">
        <v>25.22</v>
      </c>
      <c r="I648" s="40">
        <v>15.151999999999999</v>
      </c>
      <c r="J648" s="44"/>
      <c r="K648" s="40"/>
      <c r="L648" s="45">
        <v>25.22</v>
      </c>
      <c r="M648" s="46">
        <v>15.151999999999999</v>
      </c>
      <c r="N648" s="40">
        <f t="shared" si="60"/>
        <v>-2.8148848351524453E-2</v>
      </c>
      <c r="O648" s="40">
        <f t="shared" si="61"/>
        <v>-4.4279579344498325E-2</v>
      </c>
      <c r="P648" s="40">
        <f t="shared" si="62"/>
        <v>-4.33135496906175E-2</v>
      </c>
      <c r="Q648" s="40"/>
      <c r="R648" s="40"/>
      <c r="S648" s="47">
        <v>44780</v>
      </c>
      <c r="T648">
        <v>1.55</v>
      </c>
      <c r="U648" s="40">
        <f t="shared" si="63"/>
        <v>1.2987195526811112E-2</v>
      </c>
      <c r="V648" s="40">
        <f t="shared" si="64"/>
        <v>1.55</v>
      </c>
      <c r="W648" s="40">
        <f t="shared" si="65"/>
        <v>1.2987195526811112E-2</v>
      </c>
    </row>
    <row r="649" spans="1:23" x14ac:dyDescent="0.2">
      <c r="A649" s="41">
        <v>41282</v>
      </c>
      <c r="B649" s="40">
        <v>12.25</v>
      </c>
      <c r="C649" s="40">
        <v>12.25</v>
      </c>
      <c r="D649" s="40">
        <v>12.25</v>
      </c>
      <c r="E649" s="40">
        <v>12.25</v>
      </c>
      <c r="G649" s="36">
        <v>44750</v>
      </c>
      <c r="H649" s="40">
        <v>25.94</v>
      </c>
      <c r="I649" s="40">
        <v>15.837999999999999</v>
      </c>
      <c r="J649" s="44"/>
      <c r="K649" s="40"/>
      <c r="L649" s="45">
        <v>25.94</v>
      </c>
      <c r="M649" s="46">
        <v>15.837999999999999</v>
      </c>
      <c r="N649" s="40">
        <f t="shared" si="60"/>
        <v>-4.4853947782542494E-2</v>
      </c>
      <c r="O649" s="40">
        <f t="shared" si="61"/>
        <v>-1.2619890619864382E-3</v>
      </c>
      <c r="P649" s="40">
        <f t="shared" si="62"/>
        <v>-1.2611930886619591E-3</v>
      </c>
      <c r="Q649" s="40"/>
      <c r="R649" s="40"/>
      <c r="S649" s="47">
        <v>44749</v>
      </c>
      <c r="T649">
        <v>1.53</v>
      </c>
      <c r="U649" s="40">
        <f t="shared" si="63"/>
        <v>0.17062551703076326</v>
      </c>
      <c r="V649" s="40">
        <f t="shared" si="64"/>
        <v>1.53</v>
      </c>
      <c r="W649" s="40">
        <f t="shared" si="65"/>
        <v>0.17062551703076326</v>
      </c>
    </row>
    <row r="650" spans="1:23" x14ac:dyDescent="0.2">
      <c r="A650" s="41">
        <v>41313</v>
      </c>
      <c r="B650" s="40">
        <v>10.199999999999999</v>
      </c>
      <c r="C650" s="40">
        <v>10.199999999999999</v>
      </c>
      <c r="D650" s="40">
        <v>10.199999999999999</v>
      </c>
      <c r="E650" s="40">
        <v>10.199999999999999</v>
      </c>
      <c r="G650" s="36">
        <v>44749</v>
      </c>
      <c r="H650" s="40">
        <v>27.13</v>
      </c>
      <c r="I650" s="40">
        <v>15.858000000000001</v>
      </c>
      <c r="J650" s="44"/>
      <c r="K650" s="40"/>
      <c r="L650" s="45">
        <v>27.13</v>
      </c>
      <c r="M650" s="46">
        <v>15.858000000000001</v>
      </c>
      <c r="N650" s="40">
        <f t="shared" si="60"/>
        <v>0.10360099641181392</v>
      </c>
      <c r="O650" s="40">
        <f t="shared" si="61"/>
        <v>4.6994577049942518E-2</v>
      </c>
      <c r="P650" s="40">
        <f t="shared" si="62"/>
        <v>4.8116325181758075E-2</v>
      </c>
      <c r="Q650" s="40"/>
      <c r="R650" s="40"/>
      <c r="S650" s="47">
        <v>44719</v>
      </c>
      <c r="T650">
        <v>1.29</v>
      </c>
      <c r="U650" s="40">
        <f t="shared" si="63"/>
        <v>1.5625317903080815E-2</v>
      </c>
      <c r="V650" s="40">
        <f t="shared" si="64"/>
        <v>1.29</v>
      </c>
      <c r="W650" s="40">
        <f t="shared" si="65"/>
        <v>1.5625317903080815E-2</v>
      </c>
    </row>
    <row r="651" spans="1:23" x14ac:dyDescent="0.2">
      <c r="A651" s="41">
        <v>41402</v>
      </c>
      <c r="B651" s="40">
        <v>10.61</v>
      </c>
      <c r="C651" s="40">
        <v>10.61</v>
      </c>
      <c r="D651" s="40">
        <v>10.61</v>
      </c>
      <c r="E651" s="40">
        <v>10.61</v>
      </c>
      <c r="G651" s="36">
        <v>44748</v>
      </c>
      <c r="H651" s="40">
        <v>24.46</v>
      </c>
      <c r="I651" s="40">
        <v>15.13</v>
      </c>
      <c r="J651" s="44"/>
      <c r="K651" s="40"/>
      <c r="L651" s="45">
        <v>24.46</v>
      </c>
      <c r="M651" s="46">
        <v>15.13</v>
      </c>
      <c r="N651" s="40">
        <f t="shared" si="60"/>
        <v>0.11009597665165115</v>
      </c>
      <c r="O651" s="40">
        <f t="shared" si="61"/>
        <v>1.1032211314364944E-2</v>
      </c>
      <c r="P651" s="40">
        <f t="shared" si="62"/>
        <v>1.109329056402034E-2</v>
      </c>
      <c r="Q651" s="40"/>
      <c r="R651" s="40"/>
      <c r="S651" s="47">
        <v>44688</v>
      </c>
      <c r="T651">
        <v>1.27</v>
      </c>
      <c r="U651" s="40">
        <f t="shared" si="63"/>
        <v>7.9051795071132473E-3</v>
      </c>
      <c r="V651" s="40">
        <f t="shared" si="64"/>
        <v>1.27</v>
      </c>
      <c r="W651" s="40">
        <f t="shared" si="65"/>
        <v>7.9051795071132473E-3</v>
      </c>
    </row>
    <row r="652" spans="1:23" x14ac:dyDescent="0.2">
      <c r="A652" s="41">
        <v>41433</v>
      </c>
      <c r="B652" s="40">
        <v>11.8</v>
      </c>
      <c r="C652" s="40">
        <v>11.8</v>
      </c>
      <c r="D652" s="40">
        <v>11.8</v>
      </c>
      <c r="E652" s="40">
        <v>11.8</v>
      </c>
      <c r="G652" s="36">
        <v>44747</v>
      </c>
      <c r="H652" s="40">
        <v>21.91</v>
      </c>
      <c r="I652" s="40">
        <v>14.964</v>
      </c>
      <c r="J652" s="44"/>
      <c r="K652" s="40"/>
      <c r="L652" s="45">
        <v>21.91</v>
      </c>
      <c r="M652" s="46">
        <v>14.964</v>
      </c>
      <c r="N652" s="40">
        <f t="shared" si="60"/>
        <v>-0.12349719243972396</v>
      </c>
      <c r="O652" s="40">
        <f t="shared" si="61"/>
        <v>2.9913716860232867E-2</v>
      </c>
      <c r="P652" s="40">
        <f t="shared" si="62"/>
        <v>3.0365626936583401E-2</v>
      </c>
      <c r="Q652" s="40"/>
      <c r="R652" s="40"/>
      <c r="S652" s="47">
        <v>44568</v>
      </c>
      <c r="T652">
        <v>1.26</v>
      </c>
      <c r="U652" s="40">
        <f t="shared" si="63"/>
        <v>0</v>
      </c>
      <c r="V652" s="40">
        <f t="shared" si="64"/>
        <v>1.26</v>
      </c>
      <c r="W652" s="40">
        <f t="shared" si="65"/>
        <v>0</v>
      </c>
    </row>
    <row r="653" spans="1:23" x14ac:dyDescent="0.2">
      <c r="A653" s="41">
        <v>41463</v>
      </c>
      <c r="B653" s="40">
        <v>11.95</v>
      </c>
      <c r="C653" s="40">
        <v>11.95</v>
      </c>
      <c r="D653" s="40">
        <v>11.95</v>
      </c>
      <c r="E653" s="40">
        <v>11.95</v>
      </c>
      <c r="G653" s="36">
        <v>44743</v>
      </c>
      <c r="H653" s="40">
        <v>24.79</v>
      </c>
      <c r="I653" s="40">
        <v>14.523</v>
      </c>
      <c r="J653" s="44"/>
      <c r="K653" s="40"/>
      <c r="L653" s="45">
        <v>24.79</v>
      </c>
      <c r="M653" s="46">
        <v>14.523</v>
      </c>
      <c r="N653" s="40">
        <f t="shared" si="60"/>
        <v>-4.5731263564798563E-2</v>
      </c>
      <c r="O653" s="40">
        <f t="shared" si="61"/>
        <v>-4.2860815352214275E-2</v>
      </c>
      <c r="P653" s="40">
        <f t="shared" si="62"/>
        <v>-4.1955274094597331E-2</v>
      </c>
      <c r="Q653" s="40"/>
      <c r="R653" s="40"/>
      <c r="S653" t="s">
        <v>2499</v>
      </c>
      <c r="T653">
        <v>1.26</v>
      </c>
      <c r="U653" s="40">
        <f t="shared" si="63"/>
        <v>0.17284281283941083</v>
      </c>
      <c r="V653" s="40">
        <f t="shared" si="64"/>
        <v>1.26</v>
      </c>
      <c r="W653" s="40">
        <f t="shared" si="65"/>
        <v>0.17284281283941083</v>
      </c>
    </row>
    <row r="654" spans="1:23" x14ac:dyDescent="0.2">
      <c r="A654" s="41">
        <v>41494</v>
      </c>
      <c r="B654" s="40">
        <v>11.52</v>
      </c>
      <c r="C654" s="40">
        <v>11.52</v>
      </c>
      <c r="D654" s="40">
        <v>11.52</v>
      </c>
      <c r="E654" s="40">
        <v>11.52</v>
      </c>
      <c r="G654" s="36">
        <v>44742</v>
      </c>
      <c r="H654" s="40">
        <v>25.95</v>
      </c>
      <c r="I654" s="40">
        <v>15.159000000000001</v>
      </c>
      <c r="J654" s="44"/>
      <c r="K654" s="40"/>
      <c r="L654" s="45">
        <v>25.95</v>
      </c>
      <c r="M654" s="46">
        <v>15.159000000000001</v>
      </c>
      <c r="N654" s="40">
        <f t="shared" si="60"/>
        <v>-5.2179221683905874E-2</v>
      </c>
      <c r="O654" s="40">
        <f t="shared" si="61"/>
        <v>-2.4951621809169204E-2</v>
      </c>
      <c r="P654" s="40">
        <f t="shared" si="62"/>
        <v>-2.464290310127391E-2</v>
      </c>
      <c r="Q654" s="40"/>
      <c r="R654" s="40"/>
      <c r="S654" t="s">
        <v>2498</v>
      </c>
      <c r="T654">
        <v>1.06</v>
      </c>
      <c r="U654" s="40">
        <f t="shared" si="63"/>
        <v>-9.3897403498390316E-3</v>
      </c>
      <c r="V654" s="40">
        <f t="shared" si="64"/>
        <v>1.06</v>
      </c>
      <c r="W654" s="40">
        <f t="shared" si="65"/>
        <v>-9.3897403498390316E-3</v>
      </c>
    </row>
    <row r="655" spans="1:23" x14ac:dyDescent="0.2">
      <c r="A655" s="41">
        <v>41525</v>
      </c>
      <c r="B655" s="40">
        <v>13.23</v>
      </c>
      <c r="C655" s="40">
        <v>13.23</v>
      </c>
      <c r="D655" s="40">
        <v>13.23</v>
      </c>
      <c r="E655" s="40">
        <v>13.23</v>
      </c>
      <c r="G655" s="36">
        <v>44741</v>
      </c>
      <c r="H655" s="40">
        <v>27.34</v>
      </c>
      <c r="I655" s="40">
        <v>15.542</v>
      </c>
      <c r="J655" s="44"/>
      <c r="K655" s="40"/>
      <c r="L655" s="45">
        <v>27.34</v>
      </c>
      <c r="M655" s="46">
        <v>15.542</v>
      </c>
      <c r="N655" s="40">
        <f t="shared" si="60"/>
        <v>0.14880047251241765</v>
      </c>
      <c r="O655" s="40">
        <f t="shared" si="61"/>
        <v>-2.7917052165220509E-2</v>
      </c>
      <c r="P655" s="40">
        <f t="shared" si="62"/>
        <v>-2.7530972343886843E-2</v>
      </c>
      <c r="Q655" s="40"/>
      <c r="R655" s="40"/>
      <c r="S655" t="s">
        <v>2497</v>
      </c>
      <c r="T655">
        <v>1.07</v>
      </c>
      <c r="U655" s="40">
        <f t="shared" si="63"/>
        <v>-5.4558984250434248E-2</v>
      </c>
      <c r="V655" s="40">
        <f t="shared" si="64"/>
        <v>1.07</v>
      </c>
      <c r="W655" s="40">
        <f t="shared" si="65"/>
        <v>-5.4558984250434248E-2</v>
      </c>
    </row>
    <row r="656" spans="1:23" x14ac:dyDescent="0.2">
      <c r="A656" s="41">
        <v>41616</v>
      </c>
      <c r="B656" s="40">
        <v>13.68</v>
      </c>
      <c r="C656" s="40">
        <v>13.68</v>
      </c>
      <c r="D656" s="40">
        <v>13.68</v>
      </c>
      <c r="E656" s="40">
        <v>13.68</v>
      </c>
      <c r="G656" s="36">
        <v>44740</v>
      </c>
      <c r="H656" s="40">
        <v>23.56</v>
      </c>
      <c r="I656" s="40">
        <v>15.981999999999999</v>
      </c>
      <c r="J656" s="44"/>
      <c r="K656" s="40"/>
      <c r="L656" s="45">
        <v>23.56</v>
      </c>
      <c r="M656" s="46">
        <v>15.981999999999999</v>
      </c>
      <c r="N656" s="40">
        <f t="shared" si="60"/>
        <v>-0.13108783231170559</v>
      </c>
      <c r="O656" s="40">
        <f t="shared" si="61"/>
        <v>-5.4014529025903334E-2</v>
      </c>
      <c r="P656" s="40">
        <f t="shared" si="62"/>
        <v>-5.2581658663821237E-2</v>
      </c>
      <c r="Q656" s="40"/>
      <c r="R656" s="40"/>
      <c r="S656" t="s">
        <v>2496</v>
      </c>
      <c r="T656">
        <v>1.1299999999999999</v>
      </c>
      <c r="U656" s="40">
        <f t="shared" si="63"/>
        <v>-4.3296805753324188E-2</v>
      </c>
      <c r="V656" s="40">
        <f t="shared" si="64"/>
        <v>1.1299999999999999</v>
      </c>
      <c r="W656" s="40">
        <f t="shared" si="65"/>
        <v>-4.3296805753324188E-2</v>
      </c>
    </row>
    <row r="657" spans="1:23" x14ac:dyDescent="0.2">
      <c r="A657" s="40" t="s">
        <v>1143</v>
      </c>
      <c r="B657" s="40">
        <v>12.67</v>
      </c>
      <c r="C657" s="40">
        <v>12.67</v>
      </c>
      <c r="D657" s="40">
        <v>12.67</v>
      </c>
      <c r="E657" s="40">
        <v>12.67</v>
      </c>
      <c r="G657" s="36">
        <v>44739</v>
      </c>
      <c r="H657" s="40">
        <v>26.86</v>
      </c>
      <c r="I657" s="40">
        <v>16.869</v>
      </c>
      <c r="J657" s="44"/>
      <c r="K657" s="40"/>
      <c r="L657" s="45">
        <v>26.86</v>
      </c>
      <c r="M657" s="46">
        <v>16.869</v>
      </c>
      <c r="N657" s="40">
        <f t="shared" si="60"/>
        <v>1.1231866486858443E-2</v>
      </c>
      <c r="O657" s="40">
        <f t="shared" si="61"/>
        <v>-1.5120158625826092E-2</v>
      </c>
      <c r="P657" s="40">
        <f t="shared" si="62"/>
        <v>-1.5006422982599639E-2</v>
      </c>
      <c r="Q657" s="40"/>
      <c r="R657" s="40"/>
      <c r="S657" t="s">
        <v>2495</v>
      </c>
      <c r="T657">
        <v>1.18</v>
      </c>
      <c r="U657" s="40">
        <f t="shared" si="63"/>
        <v>6.1154423153330438E-2</v>
      </c>
      <c r="V657" s="40">
        <f t="shared" si="64"/>
        <v>1.18</v>
      </c>
      <c r="W657" s="40">
        <f t="shared" si="65"/>
        <v>6.1154423153330438E-2</v>
      </c>
    </row>
    <row r="658" spans="1:23" x14ac:dyDescent="0.2">
      <c r="A658" s="40" t="s">
        <v>1144</v>
      </c>
      <c r="B658" s="40">
        <v>13.28</v>
      </c>
      <c r="C658" s="40">
        <v>13.28</v>
      </c>
      <c r="D658" s="40">
        <v>13.28</v>
      </c>
      <c r="E658" s="40">
        <v>13.28</v>
      </c>
      <c r="G658" s="36">
        <v>44736</v>
      </c>
      <c r="H658" s="40">
        <v>26.56</v>
      </c>
      <c r="I658" s="40">
        <v>17.126000000000001</v>
      </c>
      <c r="J658" s="44"/>
      <c r="K658" s="40"/>
      <c r="L658" s="45">
        <v>26.56</v>
      </c>
      <c r="M658" s="46">
        <v>17.126000000000001</v>
      </c>
      <c r="N658" s="40">
        <f t="shared" si="60"/>
        <v>-2.3075084114764593E-2</v>
      </c>
      <c r="O658" s="40">
        <f t="shared" si="61"/>
        <v>5.4044514013846606E-2</v>
      </c>
      <c r="P658" s="40">
        <f t="shared" si="62"/>
        <v>5.5531587057010771E-2</v>
      </c>
      <c r="Q658" s="40"/>
      <c r="R658" s="40"/>
      <c r="S658" t="s">
        <v>2494</v>
      </c>
      <c r="T658">
        <v>1.1100000000000001</v>
      </c>
      <c r="U658" s="40">
        <f t="shared" si="63"/>
        <v>0.18774162426329385</v>
      </c>
      <c r="V658" s="40">
        <f t="shared" si="64"/>
        <v>1.1100000000000001</v>
      </c>
      <c r="W658" s="40">
        <f t="shared" si="65"/>
        <v>0.18774162426329385</v>
      </c>
    </row>
    <row r="659" spans="1:23" x14ac:dyDescent="0.2">
      <c r="A659" s="40" t="s">
        <v>1145</v>
      </c>
      <c r="B659" s="40">
        <v>16.43</v>
      </c>
      <c r="C659" s="40">
        <v>16.43</v>
      </c>
      <c r="D659" s="40">
        <v>16.43</v>
      </c>
      <c r="E659" s="40">
        <v>16.43</v>
      </c>
      <c r="G659" s="36">
        <v>44735</v>
      </c>
      <c r="H659" s="40">
        <v>27.18</v>
      </c>
      <c r="I659" s="40">
        <v>16.225000000000001</v>
      </c>
      <c r="J659" s="44"/>
      <c r="K659" s="40"/>
      <c r="L659" s="45">
        <v>27.18</v>
      </c>
      <c r="M659" s="46">
        <v>16.225000000000001</v>
      </c>
      <c r="N659" s="40">
        <f t="shared" si="60"/>
        <v>5.1719394992475125E-2</v>
      </c>
      <c r="O659" s="40">
        <f t="shared" si="61"/>
        <v>-8.2860685844471683E-3</v>
      </c>
      <c r="P659" s="40">
        <f t="shared" si="62"/>
        <v>-8.2518337408311743E-3</v>
      </c>
      <c r="Q659" s="40"/>
      <c r="R659" s="40"/>
      <c r="S659" t="s">
        <v>2493</v>
      </c>
      <c r="T659">
        <v>0.92</v>
      </c>
      <c r="U659" s="40">
        <f t="shared" si="63"/>
        <v>-0.12260232209233239</v>
      </c>
      <c r="V659" s="40">
        <f t="shared" si="64"/>
        <v>0.92</v>
      </c>
      <c r="W659" s="40">
        <f t="shared" si="65"/>
        <v>-0.12260232209233239</v>
      </c>
    </row>
    <row r="660" spans="1:23" x14ac:dyDescent="0.2">
      <c r="A660" s="40" t="s">
        <v>1146</v>
      </c>
      <c r="B660" s="40">
        <v>15.71</v>
      </c>
      <c r="C660" s="40">
        <v>15.71</v>
      </c>
      <c r="D660" s="40">
        <v>15.71</v>
      </c>
      <c r="E660" s="40">
        <v>15.71</v>
      </c>
      <c r="G660" s="36">
        <v>44734</v>
      </c>
      <c r="H660" s="40">
        <v>25.81</v>
      </c>
      <c r="I660" s="40">
        <v>16.36</v>
      </c>
      <c r="J660" s="44"/>
      <c r="K660" s="40"/>
      <c r="L660" s="45">
        <v>25.81</v>
      </c>
      <c r="M660" s="46">
        <v>16.36</v>
      </c>
      <c r="N660" s="40">
        <f t="shared" si="60"/>
        <v>-8.8718036098460046E-3</v>
      </c>
      <c r="O660" s="40">
        <f t="shared" si="61"/>
        <v>-1.2513071001471371E-2</v>
      </c>
      <c r="P660" s="40">
        <f t="shared" si="62"/>
        <v>-1.2435108052637905E-2</v>
      </c>
      <c r="Q660" s="40"/>
      <c r="R660" s="40"/>
      <c r="S660" t="s">
        <v>2492</v>
      </c>
      <c r="T660">
        <v>1.04</v>
      </c>
      <c r="U660" s="40">
        <f t="shared" si="63"/>
        <v>-8.2996919570967803E-2</v>
      </c>
      <c r="V660" s="40">
        <f t="shared" si="64"/>
        <v>1.04</v>
      </c>
      <c r="W660" s="40">
        <f t="shared" si="65"/>
        <v>-8.2996919570967803E-2</v>
      </c>
    </row>
    <row r="661" spans="1:23" x14ac:dyDescent="0.2">
      <c r="A661" s="40" t="s">
        <v>1147</v>
      </c>
      <c r="B661" s="40">
        <v>15.49</v>
      </c>
      <c r="C661" s="40">
        <v>15.49</v>
      </c>
      <c r="D661" s="40">
        <v>15.49</v>
      </c>
      <c r="E661" s="40">
        <v>15.49</v>
      </c>
      <c r="G661" s="36">
        <v>44733</v>
      </c>
      <c r="H661" s="40">
        <v>26.04</v>
      </c>
      <c r="I661" s="40">
        <v>16.565999999999999</v>
      </c>
      <c r="J661" s="44"/>
      <c r="K661" s="40"/>
      <c r="L661" s="45">
        <v>26.04</v>
      </c>
      <c r="M661" s="46">
        <v>16.565999999999999</v>
      </c>
      <c r="N661" s="40">
        <f t="shared" si="60"/>
        <v>-8.2874567973107299E-2</v>
      </c>
      <c r="O661" s="40">
        <f t="shared" si="61"/>
        <v>4.2291946357082701E-2</v>
      </c>
      <c r="P661" s="40">
        <f t="shared" si="62"/>
        <v>4.319899244332482E-2</v>
      </c>
      <c r="Q661" s="40"/>
      <c r="R661" s="40"/>
      <c r="S661" t="s">
        <v>2491</v>
      </c>
      <c r="T661">
        <v>1.1299999999999999</v>
      </c>
      <c r="U661" s="40">
        <f t="shared" si="63"/>
        <v>-4.3296805753324188E-2</v>
      </c>
      <c r="V661" s="40">
        <f t="shared" si="64"/>
        <v>1.1299999999999999</v>
      </c>
      <c r="W661" s="40">
        <f t="shared" si="65"/>
        <v>-4.3296805753324188E-2</v>
      </c>
    </row>
    <row r="662" spans="1:23" x14ac:dyDescent="0.2">
      <c r="A662" s="40" t="s">
        <v>1148</v>
      </c>
      <c r="B662" s="40">
        <v>14.27</v>
      </c>
      <c r="C662" s="40">
        <v>14.27</v>
      </c>
      <c r="D662" s="40">
        <v>14.27</v>
      </c>
      <c r="E662" s="40">
        <v>14.27</v>
      </c>
      <c r="G662" s="36">
        <v>44729</v>
      </c>
      <c r="H662" s="40">
        <v>28.29</v>
      </c>
      <c r="I662" s="40">
        <v>15.88</v>
      </c>
      <c r="J662" s="44"/>
      <c r="K662" s="40"/>
      <c r="L662" s="45">
        <v>28.29</v>
      </c>
      <c r="M662" s="46">
        <v>15.88</v>
      </c>
      <c r="N662" s="40">
        <f t="shared" si="60"/>
        <v>-3.5341933571621394E-4</v>
      </c>
      <c r="O662" s="40">
        <f t="shared" si="61"/>
        <v>1.7725441053877283E-2</v>
      </c>
      <c r="P662" s="40">
        <f t="shared" si="62"/>
        <v>1.788346900839689E-2</v>
      </c>
      <c r="Q662" s="40"/>
      <c r="R662" s="40"/>
      <c r="S662" t="s">
        <v>2490</v>
      </c>
      <c r="T662">
        <v>1.18</v>
      </c>
      <c r="U662" s="40">
        <f t="shared" si="63"/>
        <v>1.709443335930004E-2</v>
      </c>
      <c r="V662" s="40">
        <f t="shared" si="64"/>
        <v>1.18</v>
      </c>
      <c r="W662" s="40">
        <f t="shared" si="65"/>
        <v>1.709443335930004E-2</v>
      </c>
    </row>
    <row r="663" spans="1:23" x14ac:dyDescent="0.2">
      <c r="A663" s="40" t="s">
        <v>1149</v>
      </c>
      <c r="B663" s="40">
        <v>15.21</v>
      </c>
      <c r="C663" s="40">
        <v>15.21</v>
      </c>
      <c r="D663" s="40">
        <v>15.21</v>
      </c>
      <c r="E663" s="40">
        <v>15.21</v>
      </c>
      <c r="G663" s="36">
        <v>44728</v>
      </c>
      <c r="H663" s="40">
        <v>28.3</v>
      </c>
      <c r="I663" s="40">
        <v>15.601000000000001</v>
      </c>
      <c r="J663" s="44"/>
      <c r="K663" s="40"/>
      <c r="L663" s="45">
        <v>28.3</v>
      </c>
      <c r="M663" s="46">
        <v>15.601000000000001</v>
      </c>
      <c r="N663" s="40">
        <f t="shared" si="60"/>
        <v>-7.0922692518434777E-2</v>
      </c>
      <c r="O663" s="40">
        <f t="shared" si="61"/>
        <v>-5.7660392393576766E-2</v>
      </c>
      <c r="P663" s="40">
        <f t="shared" si="62"/>
        <v>-5.6029527439946762E-2</v>
      </c>
      <c r="Q663" s="40"/>
      <c r="R663" s="40"/>
      <c r="S663" t="s">
        <v>2489</v>
      </c>
      <c r="T663">
        <v>1.1599999999999999</v>
      </c>
      <c r="U663" s="40">
        <f t="shared" si="63"/>
        <v>8.6580627431145311E-3</v>
      </c>
      <c r="V663" s="40">
        <f t="shared" si="64"/>
        <v>1.1599999999999999</v>
      </c>
      <c r="W663" s="40">
        <f t="shared" si="65"/>
        <v>8.6580627431145311E-3</v>
      </c>
    </row>
    <row r="664" spans="1:23" x14ac:dyDescent="0.2">
      <c r="A664" s="40" t="s">
        <v>1150</v>
      </c>
      <c r="B664" s="40">
        <v>12.99</v>
      </c>
      <c r="C664" s="40">
        <v>12.99</v>
      </c>
      <c r="D664" s="40">
        <v>12.99</v>
      </c>
      <c r="E664" s="40">
        <v>12.99</v>
      </c>
      <c r="G664" s="36">
        <v>44727</v>
      </c>
      <c r="H664" s="40">
        <v>30.38</v>
      </c>
      <c r="I664" s="40">
        <v>16.527000000000001</v>
      </c>
      <c r="J664" s="44"/>
      <c r="K664" s="40"/>
      <c r="L664" s="45">
        <v>30.38</v>
      </c>
      <c r="M664" s="46">
        <v>16.527000000000001</v>
      </c>
      <c r="N664" s="40">
        <f t="shared" si="60"/>
        <v>-6.5811124454919043E-4</v>
      </c>
      <c r="O664" s="40">
        <f t="shared" si="61"/>
        <v>4.2709577914804953E-2</v>
      </c>
      <c r="P664" s="40">
        <f t="shared" si="62"/>
        <v>4.3634756251578727E-2</v>
      </c>
      <c r="Q664" s="40"/>
      <c r="R664" s="40"/>
      <c r="S664" t="s">
        <v>2488</v>
      </c>
      <c r="T664">
        <v>1.1499999999999999</v>
      </c>
      <c r="U664" s="40">
        <f t="shared" si="63"/>
        <v>3.5401927050915792E-2</v>
      </c>
      <c r="V664" s="40">
        <f t="shared" si="64"/>
        <v>1.1499999999999999</v>
      </c>
      <c r="W664" s="40">
        <f t="shared" si="65"/>
        <v>3.5401927050915792E-2</v>
      </c>
    </row>
    <row r="665" spans="1:23" x14ac:dyDescent="0.2">
      <c r="A665" s="40" t="s">
        <v>1151</v>
      </c>
      <c r="B665" s="40">
        <v>11.82</v>
      </c>
      <c r="C665" s="40">
        <v>11.82</v>
      </c>
      <c r="D665" s="40">
        <v>11.82</v>
      </c>
      <c r="E665" s="40">
        <v>11.82</v>
      </c>
      <c r="G665" s="36">
        <v>44726</v>
      </c>
      <c r="H665" s="40">
        <v>30.4</v>
      </c>
      <c r="I665" s="40">
        <v>15.836</v>
      </c>
      <c r="J665" s="44"/>
      <c r="K665" s="40"/>
      <c r="L665" s="45">
        <v>30.4</v>
      </c>
      <c r="M665" s="46">
        <v>15.836</v>
      </c>
      <c r="N665" s="40">
        <f t="shared" si="60"/>
        <v>-0.18505903455054359</v>
      </c>
      <c r="O665" s="40">
        <f t="shared" si="61"/>
        <v>1.2006623923964021E-2</v>
      </c>
      <c r="P665" s="40">
        <f t="shared" si="62"/>
        <v>1.2078992778168342E-2</v>
      </c>
      <c r="Q665" s="40"/>
      <c r="R665" s="40"/>
      <c r="S665" t="s">
        <v>2487</v>
      </c>
      <c r="T665">
        <v>1.1100000000000001</v>
      </c>
      <c r="U665" s="40">
        <f t="shared" si="63"/>
        <v>1.8182319083190547E-2</v>
      </c>
      <c r="V665" s="40">
        <f t="shared" si="64"/>
        <v>1.1100000000000001</v>
      </c>
      <c r="W665" s="40">
        <f t="shared" si="65"/>
        <v>1.8182319083190547E-2</v>
      </c>
    </row>
    <row r="666" spans="1:23" x14ac:dyDescent="0.2">
      <c r="A666" s="40" t="s">
        <v>1152</v>
      </c>
      <c r="B666" s="40">
        <v>13.93</v>
      </c>
      <c r="C666" s="40">
        <v>13.93</v>
      </c>
      <c r="D666" s="40">
        <v>13.93</v>
      </c>
      <c r="E666" s="40">
        <v>13.93</v>
      </c>
      <c r="G666" s="36">
        <v>44725</v>
      </c>
      <c r="H666" s="40">
        <v>36.58</v>
      </c>
      <c r="I666" s="40">
        <v>15.647</v>
      </c>
      <c r="J666" s="44"/>
      <c r="K666" s="40"/>
      <c r="L666" s="45">
        <v>36.58</v>
      </c>
      <c r="M666" s="46">
        <v>15.647</v>
      </c>
      <c r="N666" s="40">
        <f t="shared" si="60"/>
        <v>0.1173389024774595</v>
      </c>
      <c r="O666" s="40">
        <f t="shared" si="61"/>
        <v>-8.1403556227564955E-2</v>
      </c>
      <c r="P666" s="40">
        <f t="shared" si="62"/>
        <v>-7.8178390479556964E-2</v>
      </c>
      <c r="Q666" s="40"/>
      <c r="R666" s="40"/>
      <c r="S666" s="47">
        <v>44840</v>
      </c>
      <c r="T666">
        <v>1.0900000000000001</v>
      </c>
      <c r="U666" s="40">
        <f t="shared" si="63"/>
        <v>4.6956983087771083E-2</v>
      </c>
      <c r="V666" s="40">
        <f t="shared" si="64"/>
        <v>1.0900000000000001</v>
      </c>
      <c r="W666" s="40">
        <f t="shared" si="65"/>
        <v>4.6956983087771083E-2</v>
      </c>
    </row>
    <row r="667" spans="1:23" x14ac:dyDescent="0.2">
      <c r="A667" s="40" t="s">
        <v>1153</v>
      </c>
      <c r="B667" s="40">
        <v>16.04</v>
      </c>
      <c r="C667" s="40">
        <v>16.04</v>
      </c>
      <c r="D667" s="40">
        <v>16.04</v>
      </c>
      <c r="E667" s="40">
        <v>16.04</v>
      </c>
      <c r="G667" s="36">
        <v>44722</v>
      </c>
      <c r="H667" s="40">
        <v>32.53</v>
      </c>
      <c r="I667" s="40">
        <v>16.974</v>
      </c>
      <c r="J667" s="44"/>
      <c r="K667" s="40"/>
      <c r="L667" s="45">
        <v>32.53</v>
      </c>
      <c r="M667" s="46">
        <v>16.974</v>
      </c>
      <c r="N667" s="40">
        <f t="shared" si="60"/>
        <v>-0.12740290690895079</v>
      </c>
      <c r="O667" s="40">
        <f t="shared" si="61"/>
        <v>-6.1352113768163186E-2</v>
      </c>
      <c r="P667" s="40">
        <f t="shared" si="62"/>
        <v>-5.9507978723404152E-2</v>
      </c>
      <c r="Q667" s="40"/>
      <c r="R667" s="40"/>
      <c r="S667" s="47">
        <v>44810</v>
      </c>
      <c r="T667">
        <v>1.04</v>
      </c>
      <c r="U667" s="40">
        <f t="shared" si="63"/>
        <v>0.19004360288786507</v>
      </c>
      <c r="V667" s="40">
        <f t="shared" si="64"/>
        <v>1.04</v>
      </c>
      <c r="W667" s="40">
        <f t="shared" si="65"/>
        <v>0.19004360288786507</v>
      </c>
    </row>
    <row r="668" spans="1:23" x14ac:dyDescent="0.2">
      <c r="A668" s="40" t="s">
        <v>1154</v>
      </c>
      <c r="B668" s="40">
        <v>15.47</v>
      </c>
      <c r="C668" s="40">
        <v>15.47</v>
      </c>
      <c r="D668" s="40">
        <v>15.47</v>
      </c>
      <c r="E668" s="40">
        <v>15.47</v>
      </c>
      <c r="G668" s="36">
        <v>44721</v>
      </c>
      <c r="H668" s="40">
        <v>36.950000000000003</v>
      </c>
      <c r="I668" s="40">
        <v>18.047999999999998</v>
      </c>
      <c r="J668" s="44"/>
      <c r="K668" s="40"/>
      <c r="L668" s="45">
        <v>36.950000000000003</v>
      </c>
      <c r="M668" s="46">
        <v>18.047999999999998</v>
      </c>
      <c r="N668" s="40">
        <f t="shared" si="60"/>
        <v>-5.0399796555083108E-2</v>
      </c>
      <c r="O668" s="40">
        <f t="shared" si="61"/>
        <v>-3.2704026417807702E-2</v>
      </c>
      <c r="P668" s="40">
        <f t="shared" si="62"/>
        <v>-3.2175032175032252E-2</v>
      </c>
      <c r="Q668" s="40"/>
      <c r="R668" s="40"/>
      <c r="S668" s="47">
        <v>44779</v>
      </c>
      <c r="T668">
        <v>0.86</v>
      </c>
      <c r="U668" s="40">
        <f t="shared" si="63"/>
        <v>1.1696039763191236E-2</v>
      </c>
      <c r="V668" s="40">
        <f t="shared" si="64"/>
        <v>0.86</v>
      </c>
      <c r="W668" s="40">
        <f t="shared" si="65"/>
        <v>1.1696039763191236E-2</v>
      </c>
    </row>
    <row r="669" spans="1:23" x14ac:dyDescent="0.2">
      <c r="A669" s="40" t="s">
        <v>1155</v>
      </c>
      <c r="B669" s="40">
        <v>15.41</v>
      </c>
      <c r="C669" s="40">
        <v>15.41</v>
      </c>
      <c r="D669" s="40">
        <v>15.41</v>
      </c>
      <c r="E669" s="40">
        <v>15.41</v>
      </c>
      <c r="G669" s="36">
        <v>44720</v>
      </c>
      <c r="H669" s="40">
        <v>38.86</v>
      </c>
      <c r="I669" s="40">
        <v>18.648</v>
      </c>
      <c r="J669" s="44"/>
      <c r="K669" s="40"/>
      <c r="L669" s="45">
        <v>38.86</v>
      </c>
      <c r="M669" s="46">
        <v>18.648</v>
      </c>
      <c r="N669" s="40">
        <f t="shared" si="60"/>
        <v>0.30028474249007225</v>
      </c>
      <c r="O669" s="40">
        <f t="shared" si="61"/>
        <v>-1.4797736352584821E-2</v>
      </c>
      <c r="P669" s="40">
        <f t="shared" si="62"/>
        <v>-1.4688787910810457E-2</v>
      </c>
      <c r="Q669" s="40"/>
      <c r="R669" s="40"/>
      <c r="S669" s="47">
        <v>44748</v>
      </c>
      <c r="T669">
        <v>0.85</v>
      </c>
      <c r="U669" s="40">
        <f t="shared" si="63"/>
        <v>-2.3256862164267235E-2</v>
      </c>
      <c r="V669" s="40">
        <f t="shared" si="64"/>
        <v>0.85</v>
      </c>
      <c r="W669" s="40">
        <f t="shared" si="65"/>
        <v>-2.3256862164267235E-2</v>
      </c>
    </row>
    <row r="670" spans="1:23" x14ac:dyDescent="0.2">
      <c r="A670" s="40" t="s">
        <v>1156</v>
      </c>
      <c r="B670" s="40">
        <v>15.87</v>
      </c>
      <c r="C670" s="40">
        <v>15.87</v>
      </c>
      <c r="D670" s="40">
        <v>15.87</v>
      </c>
      <c r="E670" s="40">
        <v>15.87</v>
      </c>
      <c r="G670" s="36">
        <v>44719</v>
      </c>
      <c r="H670" s="40">
        <v>28.78</v>
      </c>
      <c r="I670" s="40">
        <v>18.925999999999998</v>
      </c>
      <c r="J670" s="44"/>
      <c r="K670" s="40"/>
      <c r="L670" s="45">
        <v>28.78</v>
      </c>
      <c r="M670" s="46">
        <v>18.925999999999998</v>
      </c>
      <c r="N670" s="40">
        <f t="shared" si="60"/>
        <v>4.4041208158713124E-2</v>
      </c>
      <c r="O670" s="40">
        <f t="shared" si="61"/>
        <v>7.4247265137171439E-3</v>
      </c>
      <c r="P670" s="40">
        <f t="shared" si="62"/>
        <v>7.4523581390395508E-3</v>
      </c>
      <c r="Q670" s="40"/>
      <c r="R670" s="40"/>
      <c r="S670" s="47">
        <v>44718</v>
      </c>
      <c r="T670">
        <v>0.87</v>
      </c>
      <c r="U670" s="40">
        <f t="shared" si="63"/>
        <v>1.1560822401076006E-2</v>
      </c>
      <c r="V670" s="40">
        <f t="shared" si="64"/>
        <v>0.87</v>
      </c>
      <c r="W670" s="40">
        <f t="shared" si="65"/>
        <v>1.1560822401076006E-2</v>
      </c>
    </row>
    <row r="671" spans="1:23" x14ac:dyDescent="0.2">
      <c r="A671" s="41">
        <v>41342</v>
      </c>
      <c r="B671" s="40">
        <v>15.97</v>
      </c>
      <c r="C671" s="40">
        <v>15.97</v>
      </c>
      <c r="D671" s="40">
        <v>15.97</v>
      </c>
      <c r="E671" s="40">
        <v>15.97</v>
      </c>
      <c r="G671" s="36">
        <v>44718</v>
      </c>
      <c r="H671" s="40">
        <v>27.54</v>
      </c>
      <c r="I671" s="40">
        <v>18.786000000000001</v>
      </c>
      <c r="J671" s="44"/>
      <c r="K671" s="40"/>
      <c r="L671" s="45">
        <v>27.54</v>
      </c>
      <c r="M671" s="46">
        <v>18.786000000000001</v>
      </c>
      <c r="N671" s="40">
        <f t="shared" si="60"/>
        <v>0.14134271183027547</v>
      </c>
      <c r="O671" s="40">
        <f t="shared" si="61"/>
        <v>3.519440522877866E-3</v>
      </c>
      <c r="P671" s="40">
        <f t="shared" si="62"/>
        <v>3.5256410256411593E-3</v>
      </c>
      <c r="Q671" s="40"/>
      <c r="R671" s="40"/>
      <c r="S671" s="47">
        <v>44626</v>
      </c>
      <c r="T671">
        <v>0.86</v>
      </c>
      <c r="U671" s="40">
        <f t="shared" si="63"/>
        <v>2.3530497410194036E-2</v>
      </c>
      <c r="V671" s="40">
        <f t="shared" si="64"/>
        <v>0.86</v>
      </c>
      <c r="W671" s="40">
        <f t="shared" si="65"/>
        <v>2.3530497410194036E-2</v>
      </c>
    </row>
    <row r="672" spans="1:23" x14ac:dyDescent="0.2">
      <c r="A672" s="41">
        <v>41373</v>
      </c>
      <c r="B672" s="40">
        <v>14.28</v>
      </c>
      <c r="C672" s="40">
        <v>14.28</v>
      </c>
      <c r="D672" s="40">
        <v>14.28</v>
      </c>
      <c r="E672" s="40">
        <v>14.28</v>
      </c>
      <c r="G672" s="36">
        <v>44715</v>
      </c>
      <c r="H672" s="40">
        <v>23.91</v>
      </c>
      <c r="I672" s="40">
        <v>18.72</v>
      </c>
      <c r="J672" s="44"/>
      <c r="K672" s="40"/>
      <c r="L672" s="45">
        <v>23.91</v>
      </c>
      <c r="M672" s="46">
        <v>18.72</v>
      </c>
      <c r="N672" s="40">
        <f t="shared" si="60"/>
        <v>-1.3294753358201001E-2</v>
      </c>
      <c r="O672" s="40">
        <f t="shared" si="61"/>
        <v>-4.5528848600420654E-2</v>
      </c>
      <c r="P672" s="40">
        <f t="shared" si="62"/>
        <v>-4.4507962433646381E-2</v>
      </c>
      <c r="Q672" s="40"/>
      <c r="R672" s="40"/>
      <c r="S672" s="47">
        <v>44598</v>
      </c>
      <c r="T672">
        <v>0.84</v>
      </c>
      <c r="U672" s="40">
        <f t="shared" si="63"/>
        <v>0.11332868530700307</v>
      </c>
      <c r="V672" s="40">
        <f t="shared" si="64"/>
        <v>0.84</v>
      </c>
      <c r="W672" s="40">
        <f t="shared" si="65"/>
        <v>0.11332868530700307</v>
      </c>
    </row>
    <row r="673" spans="1:23" x14ac:dyDescent="0.2">
      <c r="A673" s="41">
        <v>41403</v>
      </c>
      <c r="B673" s="40">
        <v>14.38</v>
      </c>
      <c r="C673" s="40">
        <v>14.38</v>
      </c>
      <c r="D673" s="40">
        <v>14.38</v>
      </c>
      <c r="E673" s="40">
        <v>14.38</v>
      </c>
      <c r="G673" s="36">
        <v>44714</v>
      </c>
      <c r="H673" s="40">
        <v>24.23</v>
      </c>
      <c r="I673" s="40">
        <v>19.591999999999999</v>
      </c>
      <c r="J673" s="44"/>
      <c r="K673" s="40"/>
      <c r="L673" s="45">
        <v>24.23</v>
      </c>
      <c r="M673" s="46">
        <v>19.591999999999999</v>
      </c>
      <c r="N673" s="40">
        <f t="shared" si="60"/>
        <v>-5.38282544746609E-2</v>
      </c>
      <c r="O673" s="40">
        <f t="shared" si="61"/>
        <v>6.7127960403882317E-2</v>
      </c>
      <c r="P673" s="40">
        <f t="shared" si="62"/>
        <v>6.943231441048027E-2</v>
      </c>
      <c r="Q673" s="40"/>
      <c r="R673" s="40"/>
      <c r="S673" s="47">
        <v>44567</v>
      </c>
      <c r="T673">
        <v>0.75</v>
      </c>
      <c r="U673" s="40">
        <f t="shared" si="63"/>
        <v>5.4808236494995159E-2</v>
      </c>
      <c r="V673" s="40">
        <f t="shared" si="64"/>
        <v>0.75</v>
      </c>
      <c r="W673" s="40">
        <f t="shared" si="65"/>
        <v>5.4808236494995159E-2</v>
      </c>
    </row>
    <row r="674" spans="1:23" x14ac:dyDescent="0.2">
      <c r="A674" s="41">
        <v>41434</v>
      </c>
      <c r="B674" s="40">
        <v>14.57</v>
      </c>
      <c r="C674" s="40">
        <v>14.57</v>
      </c>
      <c r="D674" s="40">
        <v>14.57</v>
      </c>
      <c r="E674" s="40">
        <v>14.57</v>
      </c>
      <c r="G674" s="36">
        <v>44713</v>
      </c>
      <c r="H674" s="40">
        <v>25.57</v>
      </c>
      <c r="I674" s="40">
        <v>18.32</v>
      </c>
      <c r="J674" s="44"/>
      <c r="K674" s="40"/>
      <c r="L674" s="45">
        <v>25.57</v>
      </c>
      <c r="M674" s="46">
        <v>18.32</v>
      </c>
      <c r="N674" s="40">
        <f t="shared" si="60"/>
        <v>0.1037540198604377</v>
      </c>
      <c r="O674" s="40">
        <f t="shared" si="61"/>
        <v>-1.9031716298215963E-2</v>
      </c>
      <c r="P674" s="40">
        <f t="shared" si="62"/>
        <v>-1.8851756640959741E-2</v>
      </c>
      <c r="Q674" s="40"/>
      <c r="R674" s="40"/>
      <c r="S674" t="s">
        <v>2486</v>
      </c>
      <c r="T674">
        <v>0.71</v>
      </c>
      <c r="U674" s="40">
        <f t="shared" si="63"/>
        <v>4.3172171865208574E-2</v>
      </c>
      <c r="V674" s="40">
        <f t="shared" si="64"/>
        <v>0.71</v>
      </c>
      <c r="W674" s="40">
        <f t="shared" si="65"/>
        <v>4.3172171865208574E-2</v>
      </c>
    </row>
    <row r="675" spans="1:23" x14ac:dyDescent="0.2">
      <c r="A675" s="41">
        <v>41526</v>
      </c>
      <c r="B675" s="40">
        <v>15.01</v>
      </c>
      <c r="C675" s="40">
        <v>15.01</v>
      </c>
      <c r="D675" s="40">
        <v>15.01</v>
      </c>
      <c r="E675" s="40">
        <v>15.01</v>
      </c>
      <c r="G675" s="36">
        <v>44712</v>
      </c>
      <c r="H675" s="40">
        <v>23.05</v>
      </c>
      <c r="I675" s="40">
        <v>18.672000000000001</v>
      </c>
      <c r="J675" s="44"/>
      <c r="K675" s="40"/>
      <c r="L675" s="45">
        <v>23.05</v>
      </c>
      <c r="M675" s="46">
        <v>18.672000000000001</v>
      </c>
      <c r="N675" s="40">
        <f t="shared" si="60"/>
        <v>-2.2308947505382169E-2</v>
      </c>
      <c r="O675" s="40">
        <f t="shared" si="61"/>
        <v>-7.4167295666833855E-3</v>
      </c>
      <c r="P675" s="40">
        <f t="shared" si="62"/>
        <v>-7.3892934984848939E-3</v>
      </c>
      <c r="Q675" s="40"/>
      <c r="R675" s="40"/>
      <c r="S675" t="s">
        <v>2485</v>
      </c>
      <c r="T675">
        <v>0.68</v>
      </c>
      <c r="U675" s="40">
        <f t="shared" si="63"/>
        <v>-2.8987536873252187E-2</v>
      </c>
      <c r="V675" s="40">
        <f t="shared" si="64"/>
        <v>0.68</v>
      </c>
      <c r="W675" s="40">
        <f t="shared" si="65"/>
        <v>-2.8987536873252187E-2</v>
      </c>
    </row>
    <row r="676" spans="1:23" x14ac:dyDescent="0.2">
      <c r="A676" s="41">
        <v>41556</v>
      </c>
      <c r="B676" s="40">
        <v>13.35</v>
      </c>
      <c r="C676" s="40">
        <v>13.35</v>
      </c>
      <c r="D676" s="40">
        <v>13.35</v>
      </c>
      <c r="E676" s="40">
        <v>13.35</v>
      </c>
      <c r="G676" s="36">
        <v>44708</v>
      </c>
      <c r="H676" s="40">
        <v>23.57</v>
      </c>
      <c r="I676" s="40">
        <v>18.811</v>
      </c>
      <c r="J676" s="44"/>
      <c r="K676" s="40"/>
      <c r="L676" s="45">
        <v>23.57</v>
      </c>
      <c r="M676" s="46">
        <v>18.811</v>
      </c>
      <c r="N676" s="40">
        <f t="shared" si="60"/>
        <v>-6.3689624651958154E-2</v>
      </c>
      <c r="O676" s="40">
        <f t="shared" si="61"/>
        <v>5.2382276045468433E-2</v>
      </c>
      <c r="P676" s="40">
        <f t="shared" si="62"/>
        <v>5.3778499803932601E-2</v>
      </c>
      <c r="Q676" s="40"/>
      <c r="R676" s="40"/>
      <c r="S676" t="s">
        <v>2484</v>
      </c>
      <c r="T676">
        <v>0.7</v>
      </c>
      <c r="U676" s="40">
        <f t="shared" si="63"/>
        <v>0.29725152346793154</v>
      </c>
      <c r="V676" s="40">
        <f t="shared" si="64"/>
        <v>0.7</v>
      </c>
      <c r="W676" s="40">
        <f t="shared" si="65"/>
        <v>0.29725152346793154</v>
      </c>
    </row>
    <row r="677" spans="1:23" x14ac:dyDescent="0.2">
      <c r="A677" s="41">
        <v>41587</v>
      </c>
      <c r="B677" s="40">
        <v>12.31</v>
      </c>
      <c r="C677" s="40">
        <v>12.31</v>
      </c>
      <c r="D677" s="40">
        <v>12.31</v>
      </c>
      <c r="E677" s="40">
        <v>12.31</v>
      </c>
      <c r="G677" s="36">
        <v>44707</v>
      </c>
      <c r="H677" s="40">
        <v>25.12</v>
      </c>
      <c r="I677" s="40">
        <v>17.850999999999999</v>
      </c>
      <c r="J677" s="44"/>
      <c r="K677" s="40"/>
      <c r="L677" s="45">
        <v>25.12</v>
      </c>
      <c r="M677" s="46">
        <v>17.850999999999999</v>
      </c>
      <c r="N677" s="40">
        <f t="shared" si="60"/>
        <v>-3.0964652974020661E-2</v>
      </c>
      <c r="O677" s="40">
        <f t="shared" si="61"/>
        <v>5.0317855620655168E-2</v>
      </c>
      <c r="P677" s="40">
        <f t="shared" si="62"/>
        <v>5.1605301914580126E-2</v>
      </c>
      <c r="Q677" s="40"/>
      <c r="R677" s="40"/>
      <c r="S677" t="s">
        <v>2483</v>
      </c>
      <c r="T677">
        <v>0.52</v>
      </c>
      <c r="U677" s="40">
        <f t="shared" si="63"/>
        <v>1.9418085857101516E-2</v>
      </c>
      <c r="V677" s="40">
        <f t="shared" si="64"/>
        <v>0.52</v>
      </c>
      <c r="W677" s="40">
        <f t="shared" si="65"/>
        <v>1.9418085857101516E-2</v>
      </c>
    </row>
    <row r="678" spans="1:23" x14ac:dyDescent="0.2">
      <c r="A678" s="41">
        <v>41617</v>
      </c>
      <c r="B678" s="40">
        <v>13.03</v>
      </c>
      <c r="C678" s="40">
        <v>13.03</v>
      </c>
      <c r="D678" s="40">
        <v>13.03</v>
      </c>
      <c r="E678" s="40">
        <v>13.03</v>
      </c>
      <c r="G678" s="36">
        <v>44706</v>
      </c>
      <c r="H678" s="40">
        <v>25.91</v>
      </c>
      <c r="I678" s="40">
        <v>16.975000000000001</v>
      </c>
      <c r="J678" s="44"/>
      <c r="K678" s="40"/>
      <c r="L678" s="45">
        <v>25.91</v>
      </c>
      <c r="M678" s="46">
        <v>16.975000000000001</v>
      </c>
      <c r="N678" s="40">
        <f t="shared" si="60"/>
        <v>0.1134985183306708</v>
      </c>
      <c r="O678" s="40">
        <f t="shared" si="61"/>
        <v>4.9573976424655282E-2</v>
      </c>
      <c r="P678" s="40">
        <f t="shared" si="62"/>
        <v>5.0823325492138263E-2</v>
      </c>
      <c r="Q678" s="40"/>
      <c r="R678" s="40"/>
      <c r="S678" t="s">
        <v>2482</v>
      </c>
      <c r="T678">
        <v>0.51</v>
      </c>
      <c r="U678" s="40">
        <f t="shared" si="63"/>
        <v>-1.9418085857101627E-2</v>
      </c>
      <c r="V678" s="40">
        <f t="shared" si="64"/>
        <v>0.51</v>
      </c>
      <c r="W678" s="40">
        <f t="shared" si="65"/>
        <v>-1.9418085857101627E-2</v>
      </c>
    </row>
    <row r="679" spans="1:23" x14ac:dyDescent="0.2">
      <c r="A679" s="40" t="s">
        <v>1157</v>
      </c>
      <c r="B679" s="40">
        <v>12.6</v>
      </c>
      <c r="C679" s="40">
        <v>12.6</v>
      </c>
      <c r="D679" s="40">
        <v>12.6</v>
      </c>
      <c r="E679" s="40">
        <v>12.6</v>
      </c>
      <c r="G679" s="36">
        <v>44705</v>
      </c>
      <c r="H679" s="40">
        <v>23.13</v>
      </c>
      <c r="I679" s="40">
        <v>16.154</v>
      </c>
      <c r="J679" s="44"/>
      <c r="K679" s="40"/>
      <c r="L679" s="45">
        <v>23.13</v>
      </c>
      <c r="M679" s="46">
        <v>16.154</v>
      </c>
      <c r="N679" s="40">
        <f t="shared" si="60"/>
        <v>-0.10419251863970139</v>
      </c>
      <c r="O679" s="40">
        <f t="shared" si="61"/>
        <v>-4.5027574710548468E-2</v>
      </c>
      <c r="P679" s="40">
        <f t="shared" si="62"/>
        <v>-4.402887915729671E-2</v>
      </c>
      <c r="Q679" s="40"/>
      <c r="R679" s="40"/>
      <c r="S679" t="s">
        <v>2481</v>
      </c>
      <c r="T679">
        <v>0.52</v>
      </c>
      <c r="U679" s="40">
        <f t="shared" si="63"/>
        <v>-0.17589066646366416</v>
      </c>
      <c r="V679" s="40">
        <f t="shared" si="64"/>
        <v>0.52</v>
      </c>
      <c r="W679" s="40">
        <f t="shared" si="65"/>
        <v>-0.17589066646366416</v>
      </c>
    </row>
    <row r="680" spans="1:23" x14ac:dyDescent="0.2">
      <c r="A680" s="40" t="s">
        <v>1158</v>
      </c>
      <c r="B680" s="40">
        <v>14.04</v>
      </c>
      <c r="C680" s="40">
        <v>14.04</v>
      </c>
      <c r="D680" s="40">
        <v>14.04</v>
      </c>
      <c r="E680" s="40">
        <v>14.04</v>
      </c>
      <c r="G680" s="36">
        <v>44704</v>
      </c>
      <c r="H680" s="40">
        <v>25.67</v>
      </c>
      <c r="I680" s="40">
        <v>16.898</v>
      </c>
      <c r="J680" s="44"/>
      <c r="K680" s="40"/>
      <c r="L680" s="45">
        <v>25.67</v>
      </c>
      <c r="M680" s="46">
        <v>16.898</v>
      </c>
      <c r="N680" s="40">
        <f t="shared" si="60"/>
        <v>-6.4124528169538675E-2</v>
      </c>
      <c r="O680" s="40">
        <f t="shared" si="61"/>
        <v>1.214589830210812E-2</v>
      </c>
      <c r="P680" s="40">
        <f t="shared" si="62"/>
        <v>1.2219959266802482E-2</v>
      </c>
      <c r="Q680" s="40"/>
      <c r="R680" s="40"/>
      <c r="S680" t="s">
        <v>2480</v>
      </c>
      <c r="T680">
        <v>0.62</v>
      </c>
      <c r="U680" s="40">
        <f t="shared" si="63"/>
        <v>-4.7252884850545615E-2</v>
      </c>
      <c r="V680" s="40">
        <f t="shared" si="64"/>
        <v>0.62</v>
      </c>
      <c r="W680" s="40">
        <f t="shared" si="65"/>
        <v>-4.7252884850545615E-2</v>
      </c>
    </row>
    <row r="681" spans="1:23" x14ac:dyDescent="0.2">
      <c r="A681" s="40" t="s">
        <v>1159</v>
      </c>
      <c r="B681" s="40">
        <v>14.49</v>
      </c>
      <c r="C681" s="40">
        <v>14.49</v>
      </c>
      <c r="D681" s="40">
        <v>14.49</v>
      </c>
      <c r="E681" s="40">
        <v>14.49</v>
      </c>
      <c r="G681" s="36">
        <v>44701</v>
      </c>
      <c r="H681" s="40">
        <v>27.37</v>
      </c>
      <c r="I681" s="40">
        <v>16.693999999999999</v>
      </c>
      <c r="J681" s="44"/>
      <c r="K681" s="40"/>
      <c r="L681" s="45">
        <v>27.37</v>
      </c>
      <c r="M681" s="46">
        <v>16.693999999999999</v>
      </c>
      <c r="N681" s="40">
        <f t="shared" si="60"/>
        <v>-7.426454426854813E-2</v>
      </c>
      <c r="O681" s="40">
        <f t="shared" si="61"/>
        <v>-2.5431614854154749E-2</v>
      </c>
      <c r="P681" s="40">
        <f t="shared" si="62"/>
        <v>-2.5110955384255999E-2</v>
      </c>
      <c r="Q681" s="40"/>
      <c r="R681" s="40"/>
      <c r="S681" t="s">
        <v>2479</v>
      </c>
      <c r="T681">
        <v>0.65</v>
      </c>
      <c r="U681" s="40">
        <f t="shared" si="63"/>
        <v>0.26236426446749106</v>
      </c>
      <c r="V681" s="40">
        <f t="shared" si="64"/>
        <v>0.65</v>
      </c>
      <c r="W681" s="40">
        <f t="shared" si="65"/>
        <v>0.26236426446749106</v>
      </c>
    </row>
    <row r="682" spans="1:23" x14ac:dyDescent="0.2">
      <c r="A682" s="40" t="s">
        <v>1160</v>
      </c>
      <c r="B682" s="40">
        <v>13.4</v>
      </c>
      <c r="C682" s="40">
        <v>13.4</v>
      </c>
      <c r="D682" s="40">
        <v>13.4</v>
      </c>
      <c r="E682" s="40">
        <v>13.4</v>
      </c>
      <c r="G682" s="36">
        <v>44700</v>
      </c>
      <c r="H682" s="40">
        <v>29.48</v>
      </c>
      <c r="I682" s="40">
        <v>17.123999999999999</v>
      </c>
      <c r="J682" s="44"/>
      <c r="K682" s="40"/>
      <c r="L682" s="45">
        <v>29.48</v>
      </c>
      <c r="M682" s="46">
        <v>17.123999999999999</v>
      </c>
      <c r="N682" s="40">
        <f t="shared" si="60"/>
        <v>1.710613042859958E-2</v>
      </c>
      <c r="O682" s="40">
        <f t="shared" si="61"/>
        <v>1.0921369783292431E-2</v>
      </c>
      <c r="P682" s="40">
        <f t="shared" si="62"/>
        <v>1.0981225646475377E-2</v>
      </c>
      <c r="Q682" s="40"/>
      <c r="R682" s="40"/>
      <c r="S682" t="s">
        <v>2478</v>
      </c>
      <c r="T682">
        <v>0.5</v>
      </c>
      <c r="U682" s="40">
        <f t="shared" si="63"/>
        <v>-0.14842000511827322</v>
      </c>
      <c r="V682" s="40">
        <f t="shared" si="64"/>
        <v>0.5</v>
      </c>
      <c r="W682" s="40">
        <f t="shared" si="65"/>
        <v>-0.14842000511827322</v>
      </c>
    </row>
    <row r="683" spans="1:23" x14ac:dyDescent="0.2">
      <c r="A683" s="40" t="s">
        <v>1161</v>
      </c>
      <c r="B683" s="40">
        <v>12.03</v>
      </c>
      <c r="C683" s="40">
        <v>12.03</v>
      </c>
      <c r="D683" s="40">
        <v>12.03</v>
      </c>
      <c r="E683" s="40">
        <v>12.03</v>
      </c>
      <c r="G683" s="36">
        <v>44699</v>
      </c>
      <c r="H683" s="40">
        <v>28.98</v>
      </c>
      <c r="I683" s="40">
        <v>16.937999999999999</v>
      </c>
      <c r="J683" s="44"/>
      <c r="K683" s="40"/>
      <c r="L683" s="45">
        <v>28.98</v>
      </c>
      <c r="M683" s="46">
        <v>16.937999999999999</v>
      </c>
      <c r="N683" s="40">
        <f t="shared" si="60"/>
        <v>-7.220247973487132E-3</v>
      </c>
      <c r="O683" s="40">
        <f t="shared" si="61"/>
        <v>-7.0597440131554445E-2</v>
      </c>
      <c r="P683" s="40">
        <f t="shared" si="62"/>
        <v>-6.8163063211751154E-2</v>
      </c>
      <c r="Q683" s="40"/>
      <c r="R683" s="40"/>
      <c r="S683" t="s">
        <v>2477</v>
      </c>
      <c r="T683">
        <v>0.57999999999999996</v>
      </c>
      <c r="U683" s="40">
        <f t="shared" si="63"/>
        <v>-6.6691374498672282E-2</v>
      </c>
      <c r="V683" s="40">
        <f t="shared" si="64"/>
        <v>0.57999999999999996</v>
      </c>
      <c r="W683" s="40">
        <f t="shared" si="65"/>
        <v>-6.6691374498672282E-2</v>
      </c>
    </row>
    <row r="684" spans="1:23" x14ac:dyDescent="0.2">
      <c r="A684" s="40" t="s">
        <v>1162</v>
      </c>
      <c r="B684" s="40">
        <v>12.42</v>
      </c>
      <c r="C684" s="40">
        <v>12.42</v>
      </c>
      <c r="D684" s="40">
        <v>12.42</v>
      </c>
      <c r="E684" s="40">
        <v>12.42</v>
      </c>
      <c r="G684" s="36">
        <v>44698</v>
      </c>
      <c r="H684" s="40">
        <v>29.19</v>
      </c>
      <c r="I684" s="40">
        <v>18.177</v>
      </c>
      <c r="J684" s="44"/>
      <c r="K684" s="40"/>
      <c r="L684" s="45">
        <v>29.19</v>
      </c>
      <c r="M684" s="46">
        <v>18.177</v>
      </c>
      <c r="N684" s="40">
        <f t="shared" si="60"/>
        <v>-5.0110683765621375E-2</v>
      </c>
      <c r="O684" s="40">
        <f t="shared" si="61"/>
        <v>5.1533650115182877E-2</v>
      </c>
      <c r="P684" s="40">
        <f t="shared" si="62"/>
        <v>5.2884615384615405E-2</v>
      </c>
      <c r="Q684" s="40"/>
      <c r="R684" s="40"/>
      <c r="S684" t="s">
        <v>2476</v>
      </c>
      <c r="T684">
        <v>0.62</v>
      </c>
      <c r="U684" s="40">
        <f t="shared" si="63"/>
        <v>-6.2520356981334055E-2</v>
      </c>
      <c r="V684" s="40">
        <f t="shared" si="64"/>
        <v>0.62</v>
      </c>
      <c r="W684" s="40">
        <f t="shared" si="65"/>
        <v>-6.2520356981334055E-2</v>
      </c>
    </row>
    <row r="685" spans="1:23" x14ac:dyDescent="0.2">
      <c r="A685" s="40" t="s">
        <v>1163</v>
      </c>
      <c r="B685" s="40">
        <v>13.97</v>
      </c>
      <c r="C685" s="40">
        <v>13.97</v>
      </c>
      <c r="D685" s="40">
        <v>13.97</v>
      </c>
      <c r="E685" s="40">
        <v>13.97</v>
      </c>
      <c r="G685" s="36">
        <v>44697</v>
      </c>
      <c r="H685" s="40">
        <v>30.69</v>
      </c>
      <c r="I685" s="40">
        <v>17.263999999999999</v>
      </c>
      <c r="J685" s="44"/>
      <c r="K685" s="40"/>
      <c r="L685" s="45">
        <v>30.69</v>
      </c>
      <c r="M685" s="46">
        <v>17.263999999999999</v>
      </c>
      <c r="N685" s="40">
        <f t="shared" si="60"/>
        <v>-5.1130361596965934E-2</v>
      </c>
      <c r="O685" s="40">
        <f t="shared" si="61"/>
        <v>-2.5280156673078487E-2</v>
      </c>
      <c r="P685" s="40">
        <f t="shared" si="62"/>
        <v>-2.4963289280469907E-2</v>
      </c>
      <c r="Q685" s="40"/>
      <c r="R685" s="40"/>
      <c r="S685" t="s">
        <v>2475</v>
      </c>
      <c r="T685">
        <v>0.66</v>
      </c>
      <c r="U685" s="40">
        <f t="shared" si="63"/>
        <v>9.5310179804324935E-2</v>
      </c>
      <c r="V685" s="40">
        <f t="shared" si="64"/>
        <v>0.66</v>
      </c>
      <c r="W685" s="40">
        <f t="shared" si="65"/>
        <v>9.5310179804324935E-2</v>
      </c>
    </row>
    <row r="686" spans="1:23" x14ac:dyDescent="0.2">
      <c r="A686" s="40" t="s">
        <v>1164</v>
      </c>
      <c r="B686" s="40">
        <v>13.75</v>
      </c>
      <c r="C686" s="40">
        <v>13.75</v>
      </c>
      <c r="D686" s="40">
        <v>13.75</v>
      </c>
      <c r="E686" s="40">
        <v>13.75</v>
      </c>
      <c r="G686" s="36">
        <v>44694</v>
      </c>
      <c r="H686" s="40">
        <v>32.299999999999997</v>
      </c>
      <c r="I686" s="40">
        <v>17.706</v>
      </c>
      <c r="J686" s="44"/>
      <c r="K686" s="40"/>
      <c r="L686" s="45">
        <v>32.299999999999997</v>
      </c>
      <c r="M686" s="46">
        <v>17.706</v>
      </c>
      <c r="N686" s="40">
        <f t="shared" si="60"/>
        <v>0.18219772545208357</v>
      </c>
      <c r="O686" s="40">
        <f t="shared" si="61"/>
        <v>9.0436724801892993E-2</v>
      </c>
      <c r="P686" s="40">
        <f t="shared" si="62"/>
        <v>9.4652241112828356E-2</v>
      </c>
      <c r="Q686" s="40"/>
      <c r="R686" s="40"/>
      <c r="S686" s="47">
        <v>44900</v>
      </c>
      <c r="T686">
        <v>0.6</v>
      </c>
      <c r="U686" s="40">
        <f t="shared" si="63"/>
        <v>6.8992871486951421E-2</v>
      </c>
      <c r="V686" s="40">
        <f t="shared" si="64"/>
        <v>0.6</v>
      </c>
      <c r="W686" s="40">
        <f t="shared" si="65"/>
        <v>6.8992871486951421E-2</v>
      </c>
    </row>
    <row r="687" spans="1:23" x14ac:dyDescent="0.2">
      <c r="A687" s="40" t="s">
        <v>1165</v>
      </c>
      <c r="B687" s="40">
        <v>13.79</v>
      </c>
      <c r="C687" s="40">
        <v>13.79</v>
      </c>
      <c r="D687" s="40">
        <v>13.79</v>
      </c>
      <c r="E687" s="40">
        <v>13.79</v>
      </c>
      <c r="G687" s="36">
        <v>44693</v>
      </c>
      <c r="H687" s="40">
        <v>26.92</v>
      </c>
      <c r="I687" s="40">
        <v>16.175000000000001</v>
      </c>
      <c r="J687" s="44"/>
      <c r="K687" s="40"/>
      <c r="L687" s="45">
        <v>26.92</v>
      </c>
      <c r="M687" s="46">
        <v>16.175000000000001</v>
      </c>
      <c r="N687" s="40">
        <f t="shared" si="60"/>
        <v>-5.773609076956801E-2</v>
      </c>
      <c r="O687" s="40">
        <f t="shared" si="61"/>
        <v>-2.7741452817871923E-2</v>
      </c>
      <c r="P687" s="40">
        <f t="shared" si="62"/>
        <v>-2.736019242333123E-2</v>
      </c>
      <c r="Q687" s="40"/>
      <c r="R687" s="40"/>
      <c r="S687" s="47">
        <v>44870</v>
      </c>
      <c r="T687">
        <v>0.56000000000000005</v>
      </c>
      <c r="U687" s="40">
        <f t="shared" si="63"/>
        <v>1.8018505502678431E-2</v>
      </c>
      <c r="V687" s="40">
        <f t="shared" si="64"/>
        <v>0.56000000000000005</v>
      </c>
      <c r="W687" s="40">
        <f t="shared" si="65"/>
        <v>1.8018505502678431E-2</v>
      </c>
    </row>
    <row r="688" spans="1:23" x14ac:dyDescent="0.2">
      <c r="A688" s="40" t="s">
        <v>1166</v>
      </c>
      <c r="B688" s="40">
        <v>14.12</v>
      </c>
      <c r="C688" s="40">
        <v>14.12</v>
      </c>
      <c r="D688" s="40">
        <v>14.12</v>
      </c>
      <c r="E688" s="40">
        <v>14.12</v>
      </c>
      <c r="G688" s="36">
        <v>44692</v>
      </c>
      <c r="H688" s="40">
        <v>28.52</v>
      </c>
      <c r="I688" s="40">
        <v>16.63</v>
      </c>
      <c r="J688" s="44"/>
      <c r="K688" s="40"/>
      <c r="L688" s="45">
        <v>28.52</v>
      </c>
      <c r="M688" s="46">
        <v>16.63</v>
      </c>
      <c r="N688" s="40">
        <f t="shared" si="60"/>
        <v>-2.9708575199636052E-2</v>
      </c>
      <c r="O688" s="40">
        <f t="shared" si="61"/>
        <v>-5.6406477568712136E-2</v>
      </c>
      <c r="P688" s="40">
        <f t="shared" si="62"/>
        <v>-5.484512645637965E-2</v>
      </c>
      <c r="Q688" s="40"/>
      <c r="R688" s="40"/>
      <c r="S688" s="47">
        <v>44839</v>
      </c>
      <c r="T688">
        <v>0.55000000000000004</v>
      </c>
      <c r="U688" s="40">
        <f t="shared" si="63"/>
        <v>0.11551288712184443</v>
      </c>
      <c r="V688" s="40">
        <f t="shared" si="64"/>
        <v>0.55000000000000004</v>
      </c>
      <c r="W688" s="40">
        <f t="shared" si="65"/>
        <v>0.11551288712184443</v>
      </c>
    </row>
    <row r="689" spans="1:23" x14ac:dyDescent="0.2">
      <c r="A689" s="40" t="s">
        <v>1167</v>
      </c>
      <c r="B689" s="40">
        <v>16.22</v>
      </c>
      <c r="C689" s="40">
        <v>16.22</v>
      </c>
      <c r="D689" s="40">
        <v>16.22</v>
      </c>
      <c r="E689" s="40">
        <v>16.22</v>
      </c>
      <c r="G689" s="36">
        <v>44691</v>
      </c>
      <c r="H689" s="40">
        <v>29.38</v>
      </c>
      <c r="I689" s="40">
        <v>17.594999999999999</v>
      </c>
      <c r="J689" s="44"/>
      <c r="K689" s="40"/>
      <c r="L689" s="45">
        <v>29.38</v>
      </c>
      <c r="M689" s="46">
        <v>17.594999999999999</v>
      </c>
      <c r="N689" s="40">
        <f t="shared" si="60"/>
        <v>-0.12584364655291075</v>
      </c>
      <c r="O689" s="40">
        <f t="shared" si="61"/>
        <v>3.7346936947089203E-2</v>
      </c>
      <c r="P689" s="40">
        <f t="shared" si="62"/>
        <v>3.8053097345132722E-2</v>
      </c>
      <c r="Q689" s="40"/>
      <c r="R689" s="40"/>
      <c r="S689" s="47">
        <v>44809</v>
      </c>
      <c r="T689">
        <v>0.49</v>
      </c>
      <c r="U689" s="40">
        <f t="shared" si="63"/>
        <v>2.061928720273561E-2</v>
      </c>
      <c r="V689" s="40">
        <f t="shared" si="64"/>
        <v>0.49</v>
      </c>
      <c r="W689" s="40">
        <f t="shared" si="65"/>
        <v>2.061928720273561E-2</v>
      </c>
    </row>
    <row r="690" spans="1:23" x14ac:dyDescent="0.2">
      <c r="A690" s="40" t="s">
        <v>1168</v>
      </c>
      <c r="B690" s="40">
        <v>17.73</v>
      </c>
      <c r="C690" s="40">
        <v>17.73</v>
      </c>
      <c r="D690" s="40">
        <v>17.73</v>
      </c>
      <c r="E690" s="40">
        <v>17.73</v>
      </c>
      <c r="G690" s="36">
        <v>44690</v>
      </c>
      <c r="H690" s="40">
        <v>33.32</v>
      </c>
      <c r="I690" s="40">
        <v>16.95</v>
      </c>
      <c r="J690" s="44"/>
      <c r="K690" s="40"/>
      <c r="L690" s="45">
        <v>33.32</v>
      </c>
      <c r="M690" s="46">
        <v>16.95</v>
      </c>
      <c r="N690" s="40">
        <f t="shared" si="60"/>
        <v>-1.7846993625060419E-2</v>
      </c>
      <c r="O690" s="40">
        <f t="shared" si="61"/>
        <v>-9.6917897192421776E-2</v>
      </c>
      <c r="P690" s="40">
        <f t="shared" si="62"/>
        <v>-9.2369477911646652E-2</v>
      </c>
      <c r="Q690" s="40"/>
      <c r="R690" s="40"/>
      <c r="S690" s="47">
        <v>44717</v>
      </c>
      <c r="T690">
        <v>0.48</v>
      </c>
      <c r="U690" s="40">
        <f t="shared" si="63"/>
        <v>-2.0619287202735703E-2</v>
      </c>
      <c r="V690" s="40">
        <f t="shared" si="64"/>
        <v>0.48</v>
      </c>
      <c r="W690" s="40">
        <f t="shared" si="65"/>
        <v>-2.0619287202735703E-2</v>
      </c>
    </row>
    <row r="691" spans="1:23" x14ac:dyDescent="0.2">
      <c r="A691" s="41">
        <v>41284</v>
      </c>
      <c r="B691" s="40">
        <v>14.67</v>
      </c>
      <c r="C691" s="40">
        <v>14.67</v>
      </c>
      <c r="D691" s="40">
        <v>14.67</v>
      </c>
      <c r="E691" s="40">
        <v>14.67</v>
      </c>
      <c r="G691" s="36">
        <v>44687</v>
      </c>
      <c r="H691" s="40">
        <v>33.92</v>
      </c>
      <c r="I691" s="40">
        <v>18.675000000000001</v>
      </c>
      <c r="J691" s="44"/>
      <c r="K691" s="40"/>
      <c r="L691" s="45">
        <v>33.92</v>
      </c>
      <c r="M691" s="46">
        <v>18.675000000000001</v>
      </c>
      <c r="N691" s="40">
        <f t="shared" si="60"/>
        <v>-2.2734876029111249E-2</v>
      </c>
      <c r="O691" s="40">
        <f t="shared" si="61"/>
        <v>-9.0088298189137522E-3</v>
      </c>
      <c r="P691" s="40">
        <f t="shared" si="62"/>
        <v>-8.9683718955636E-3</v>
      </c>
      <c r="Q691" s="40"/>
      <c r="R691" s="40"/>
      <c r="S691" s="47">
        <v>44686</v>
      </c>
      <c r="T691">
        <v>0.49</v>
      </c>
      <c r="U691" s="40">
        <f t="shared" si="63"/>
        <v>8.515780834030677E-2</v>
      </c>
      <c r="V691" s="40">
        <f t="shared" si="64"/>
        <v>0.49</v>
      </c>
      <c r="W691" s="40">
        <f t="shared" si="65"/>
        <v>8.515780834030677E-2</v>
      </c>
    </row>
    <row r="692" spans="1:23" x14ac:dyDescent="0.2">
      <c r="A692" s="41">
        <v>41315</v>
      </c>
      <c r="B692" s="40">
        <v>15.81</v>
      </c>
      <c r="C692" s="40">
        <v>15.81</v>
      </c>
      <c r="D692" s="40">
        <v>15.81</v>
      </c>
      <c r="E692" s="40">
        <v>15.81</v>
      </c>
      <c r="G692" s="36">
        <v>44686</v>
      </c>
      <c r="H692" s="40">
        <v>34.700000000000003</v>
      </c>
      <c r="I692" s="40">
        <v>18.844000000000001</v>
      </c>
      <c r="J692" s="44"/>
      <c r="K692" s="40"/>
      <c r="L692" s="45">
        <v>34.700000000000003</v>
      </c>
      <c r="M692" s="46">
        <v>18.844000000000001</v>
      </c>
      <c r="N692" s="40">
        <f t="shared" si="60"/>
        <v>-5.467374137984686E-2</v>
      </c>
      <c r="O692" s="40">
        <f t="shared" si="61"/>
        <v>-7.6099801015174495E-2</v>
      </c>
      <c r="P692" s="40">
        <f t="shared" si="62"/>
        <v>-7.3276286023408993E-2</v>
      </c>
      <c r="Q692" s="40"/>
      <c r="R692" s="40"/>
      <c r="S692" s="47">
        <v>44656</v>
      </c>
      <c r="T692">
        <v>0.45</v>
      </c>
      <c r="U692" s="40">
        <f t="shared" si="63"/>
        <v>2.2472855852058576E-2</v>
      </c>
      <c r="V692" s="40">
        <f t="shared" si="64"/>
        <v>0.45</v>
      </c>
      <c r="W692" s="40">
        <f t="shared" si="65"/>
        <v>2.2472855852058576E-2</v>
      </c>
    </row>
    <row r="693" spans="1:23" x14ac:dyDescent="0.2">
      <c r="A693" s="41">
        <v>41343</v>
      </c>
      <c r="B693" s="40">
        <v>17.579999999999998</v>
      </c>
      <c r="C693" s="40">
        <v>17.579999999999998</v>
      </c>
      <c r="D693" s="40">
        <v>17.579999999999998</v>
      </c>
      <c r="E693" s="40">
        <v>17.579999999999998</v>
      </c>
      <c r="G693" s="36">
        <v>44685</v>
      </c>
      <c r="H693" s="40">
        <v>36.65</v>
      </c>
      <c r="I693" s="40">
        <v>20.334</v>
      </c>
      <c r="J693" s="44"/>
      <c r="K693" s="40"/>
      <c r="L693" s="45">
        <v>36.65</v>
      </c>
      <c r="M693" s="46">
        <v>20.334</v>
      </c>
      <c r="N693" s="40">
        <f t="shared" si="60"/>
        <v>0.20724066160746948</v>
      </c>
      <c r="O693" s="40">
        <f t="shared" si="61"/>
        <v>3.6662760005981204E-2</v>
      </c>
      <c r="P693" s="40">
        <f t="shared" si="62"/>
        <v>3.7343128252219124E-2</v>
      </c>
      <c r="Q693" s="40"/>
      <c r="R693" s="40"/>
      <c r="S693" s="47">
        <v>44625</v>
      </c>
      <c r="T693">
        <v>0.44</v>
      </c>
      <c r="U693" s="40">
        <f t="shared" si="63"/>
        <v>0.14660347419187544</v>
      </c>
      <c r="V693" s="40">
        <f t="shared" si="64"/>
        <v>0.44</v>
      </c>
      <c r="W693" s="40">
        <f t="shared" si="65"/>
        <v>0.14660347419187544</v>
      </c>
    </row>
    <row r="694" spans="1:23" x14ac:dyDescent="0.2">
      <c r="A694" s="41">
        <v>41374</v>
      </c>
      <c r="B694" s="40">
        <v>16.62</v>
      </c>
      <c r="C694" s="40">
        <v>16.62</v>
      </c>
      <c r="D694" s="40">
        <v>16.62</v>
      </c>
      <c r="E694" s="40">
        <v>16.62</v>
      </c>
      <c r="G694" s="36">
        <v>44684</v>
      </c>
      <c r="H694" s="40">
        <v>29.79</v>
      </c>
      <c r="I694" s="40">
        <v>19.602</v>
      </c>
      <c r="J694" s="44"/>
      <c r="K694" s="40"/>
      <c r="L694" s="45">
        <v>29.79</v>
      </c>
      <c r="M694" s="46">
        <v>19.602</v>
      </c>
      <c r="N694" s="40">
        <f t="shared" si="60"/>
        <v>-0.10988200037667223</v>
      </c>
      <c r="O694" s="40">
        <f t="shared" si="61"/>
        <v>3.5262589241532695E-3</v>
      </c>
      <c r="P694" s="40">
        <f t="shared" si="62"/>
        <v>3.5324834894792942E-3</v>
      </c>
      <c r="Q694" s="40"/>
      <c r="R694" s="40"/>
      <c r="S694" s="47">
        <v>44597</v>
      </c>
      <c r="T694">
        <v>0.38</v>
      </c>
      <c r="U694" s="40">
        <f t="shared" si="63"/>
        <v>2.6668247082161273E-2</v>
      </c>
      <c r="V694" s="40">
        <f t="shared" si="64"/>
        <v>0.38</v>
      </c>
      <c r="W694" s="40">
        <f t="shared" si="65"/>
        <v>2.6668247082161273E-2</v>
      </c>
    </row>
    <row r="695" spans="1:23" x14ac:dyDescent="0.2">
      <c r="A695" s="41">
        <v>41465</v>
      </c>
      <c r="B695" s="40">
        <v>20.95</v>
      </c>
      <c r="C695" s="40">
        <v>20.95</v>
      </c>
      <c r="D695" s="40">
        <v>20.18</v>
      </c>
      <c r="E695" s="40">
        <v>20.18</v>
      </c>
      <c r="G695" s="36">
        <v>44683</v>
      </c>
      <c r="H695" s="40">
        <v>33.25</v>
      </c>
      <c r="I695" s="40">
        <v>19.533000000000001</v>
      </c>
      <c r="J695" s="44"/>
      <c r="K695" s="40"/>
      <c r="L695" s="45">
        <v>33.25</v>
      </c>
      <c r="M695" s="46">
        <v>19.533000000000001</v>
      </c>
      <c r="N695" s="40">
        <f t="shared" si="60"/>
        <v>0.23982324051286522</v>
      </c>
      <c r="O695" s="40">
        <f t="shared" si="61"/>
        <v>5.1797292015684837E-2</v>
      </c>
      <c r="P695" s="40">
        <f t="shared" si="62"/>
        <v>5.3162236480293341E-2</v>
      </c>
      <c r="Q695" s="40"/>
      <c r="R695" s="40"/>
      <c r="S695" t="s">
        <v>2474</v>
      </c>
      <c r="T695">
        <v>0.37</v>
      </c>
      <c r="U695" s="40">
        <f t="shared" si="63"/>
        <v>0</v>
      </c>
      <c r="V695" s="40">
        <f t="shared" si="64"/>
        <v>0.37</v>
      </c>
      <c r="W695" s="40">
        <f t="shared" si="65"/>
        <v>0</v>
      </c>
    </row>
    <row r="696" spans="1:23" x14ac:dyDescent="0.2">
      <c r="A696" s="41">
        <v>41496</v>
      </c>
      <c r="B696" s="40">
        <v>21.87</v>
      </c>
      <c r="C696" s="40">
        <v>21.87</v>
      </c>
      <c r="D696" s="40">
        <v>21.87</v>
      </c>
      <c r="E696" s="40">
        <v>21.87</v>
      </c>
      <c r="G696" s="36">
        <v>44680</v>
      </c>
      <c r="H696" s="40">
        <v>26.16</v>
      </c>
      <c r="I696" s="40">
        <v>18.547000000000001</v>
      </c>
      <c r="J696" s="44"/>
      <c r="K696" s="40"/>
      <c r="L696" s="45">
        <v>26.16</v>
      </c>
      <c r="M696" s="46">
        <v>18.547000000000001</v>
      </c>
      <c r="N696" s="40">
        <f t="shared" si="60"/>
        <v>-0.18924199963852842</v>
      </c>
      <c r="O696" s="40">
        <f t="shared" si="61"/>
        <v>-6.4464382410499149E-2</v>
      </c>
      <c r="P696" s="40">
        <f t="shared" si="62"/>
        <v>-6.2430492366798068E-2</v>
      </c>
      <c r="Q696" s="40"/>
      <c r="R696" s="40"/>
      <c r="S696" t="s">
        <v>2473</v>
      </c>
      <c r="T696">
        <v>0.37</v>
      </c>
      <c r="U696" s="40">
        <f t="shared" si="63"/>
        <v>5.5569851154810786E-2</v>
      </c>
      <c r="V696" s="40">
        <f t="shared" si="64"/>
        <v>0.37</v>
      </c>
      <c r="W696" s="40">
        <f t="shared" si="65"/>
        <v>5.5569851154810786E-2</v>
      </c>
    </row>
    <row r="697" spans="1:23" x14ac:dyDescent="0.2">
      <c r="A697" s="41">
        <v>41527</v>
      </c>
      <c r="B697" s="40">
        <v>20.39</v>
      </c>
      <c r="C697" s="40">
        <v>20.39</v>
      </c>
      <c r="D697" s="40">
        <v>20.39</v>
      </c>
      <c r="E697" s="40">
        <v>20.39</v>
      </c>
      <c r="G697" s="36">
        <v>44679</v>
      </c>
      <c r="H697" s="40">
        <v>31.61</v>
      </c>
      <c r="I697" s="40">
        <v>19.782</v>
      </c>
      <c r="J697" s="44"/>
      <c r="K697" s="40"/>
      <c r="L697" s="45">
        <v>31.61</v>
      </c>
      <c r="M697" s="46">
        <v>19.782</v>
      </c>
      <c r="N697" s="40">
        <f t="shared" si="60"/>
        <v>-0.1132382939122024</v>
      </c>
      <c r="O697" s="40">
        <f t="shared" si="61"/>
        <v>7.1606883420620493E-2</v>
      </c>
      <c r="P697" s="40">
        <f t="shared" si="62"/>
        <v>7.4232962259028021E-2</v>
      </c>
      <c r="Q697" s="40"/>
      <c r="R697" s="40"/>
      <c r="S697" t="s">
        <v>2472</v>
      </c>
      <c r="T697">
        <v>0.35</v>
      </c>
      <c r="U697" s="40">
        <f t="shared" si="63"/>
        <v>-2.8170876966696335E-2</v>
      </c>
      <c r="V697" s="40">
        <f t="shared" si="64"/>
        <v>0.35</v>
      </c>
      <c r="W697" s="40">
        <f t="shared" si="65"/>
        <v>-2.8170876966696335E-2</v>
      </c>
    </row>
    <row r="698" spans="1:23" x14ac:dyDescent="0.2">
      <c r="A698" s="41">
        <v>41557</v>
      </c>
      <c r="B698" s="40">
        <v>17.34</v>
      </c>
      <c r="C698" s="40">
        <v>17.34</v>
      </c>
      <c r="D698" s="40">
        <v>17.34</v>
      </c>
      <c r="E698" s="40">
        <v>17.34</v>
      </c>
      <c r="G698" s="36">
        <v>44678</v>
      </c>
      <c r="H698" s="40">
        <v>35.4</v>
      </c>
      <c r="I698" s="40">
        <v>18.414999999999999</v>
      </c>
      <c r="J698" s="44"/>
      <c r="K698" s="40"/>
      <c r="L698" s="45">
        <v>35.4</v>
      </c>
      <c r="M698" s="46">
        <v>18.414999999999999</v>
      </c>
      <c r="N698" s="40">
        <f t="shared" si="60"/>
        <v>-1.9858015149637618E-2</v>
      </c>
      <c r="O698" s="40">
        <f t="shared" si="61"/>
        <v>-2.0052818267720068E-2</v>
      </c>
      <c r="P698" s="40">
        <f t="shared" si="62"/>
        <v>-1.9853097721950239E-2</v>
      </c>
      <c r="Q698" s="40"/>
      <c r="R698" s="40"/>
      <c r="S698" t="s">
        <v>2471</v>
      </c>
      <c r="T698">
        <v>0.36</v>
      </c>
      <c r="U698" s="40">
        <f t="shared" si="63"/>
        <v>-8.0042707673536495E-2</v>
      </c>
      <c r="V698" s="40">
        <f t="shared" si="64"/>
        <v>0.36</v>
      </c>
      <c r="W698" s="40">
        <f t="shared" si="65"/>
        <v>-8.0042707673536495E-2</v>
      </c>
    </row>
    <row r="699" spans="1:23" x14ac:dyDescent="0.2">
      <c r="A699" s="41">
        <v>41588</v>
      </c>
      <c r="B699" s="40">
        <v>16.8</v>
      </c>
      <c r="C699" s="40">
        <v>16.8</v>
      </c>
      <c r="D699" s="40">
        <v>16.8</v>
      </c>
      <c r="E699" s="40">
        <v>16.8</v>
      </c>
      <c r="G699" s="36">
        <v>44677</v>
      </c>
      <c r="H699" s="40">
        <v>36.11</v>
      </c>
      <c r="I699" s="40">
        <v>18.788</v>
      </c>
      <c r="J699" s="44"/>
      <c r="K699" s="40"/>
      <c r="L699" s="45">
        <v>36.11</v>
      </c>
      <c r="M699" s="46">
        <v>18.788</v>
      </c>
      <c r="N699" s="40">
        <f t="shared" si="60"/>
        <v>0.1130517920475848</v>
      </c>
      <c r="O699" s="40">
        <f t="shared" si="61"/>
        <v>-5.76018610282217E-2</v>
      </c>
      <c r="P699" s="40">
        <f t="shared" si="62"/>
        <v>-5.5974273942317389E-2</v>
      </c>
      <c r="Q699" s="40"/>
      <c r="R699" s="40"/>
      <c r="S699" t="s">
        <v>2470</v>
      </c>
      <c r="T699">
        <v>0.39</v>
      </c>
      <c r="U699" s="40">
        <f t="shared" si="63"/>
        <v>-0.16507975035944858</v>
      </c>
      <c r="V699" s="40">
        <f t="shared" si="64"/>
        <v>0.39</v>
      </c>
      <c r="W699" s="40">
        <f t="shared" si="65"/>
        <v>-0.16507975035944858</v>
      </c>
    </row>
    <row r="700" spans="1:23" x14ac:dyDescent="0.2">
      <c r="A700" s="40" t="s">
        <v>1169</v>
      </c>
      <c r="B700" s="40">
        <v>19.100000000000001</v>
      </c>
      <c r="C700" s="40">
        <v>19.100000000000001</v>
      </c>
      <c r="D700" s="40">
        <v>19.100000000000001</v>
      </c>
      <c r="E700" s="40">
        <v>19.100000000000001</v>
      </c>
      <c r="G700" s="36">
        <v>44676</v>
      </c>
      <c r="H700" s="40">
        <v>32.25</v>
      </c>
      <c r="I700" s="40">
        <v>19.902000000000001</v>
      </c>
      <c r="J700" s="44"/>
      <c r="K700" s="40"/>
      <c r="L700" s="45">
        <v>32.25</v>
      </c>
      <c r="M700" s="46">
        <v>19.902000000000001</v>
      </c>
      <c r="N700" s="40">
        <f t="shared" si="60"/>
        <v>-7.6673891098261449E-2</v>
      </c>
      <c r="O700" s="40">
        <f t="shared" si="61"/>
        <v>1.9636828560392203E-2</v>
      </c>
      <c r="P700" s="40">
        <f t="shared" si="62"/>
        <v>1.9830899308224466E-2</v>
      </c>
      <c r="Q700" s="40"/>
      <c r="R700" s="40"/>
      <c r="S700" t="s">
        <v>2469</v>
      </c>
      <c r="T700">
        <v>0.46</v>
      </c>
      <c r="U700" s="40">
        <f t="shared" si="63"/>
        <v>-8.3381608939051013E-2</v>
      </c>
      <c r="V700" s="40">
        <f t="shared" si="64"/>
        <v>0.46</v>
      </c>
      <c r="W700" s="40">
        <f t="shared" si="65"/>
        <v>-8.3381608939051013E-2</v>
      </c>
    </row>
    <row r="701" spans="1:23" x14ac:dyDescent="0.2">
      <c r="A701" s="40" t="s">
        <v>1170</v>
      </c>
      <c r="B701" s="40">
        <v>23.54</v>
      </c>
      <c r="C701" s="40">
        <v>23.54</v>
      </c>
      <c r="D701" s="40">
        <v>23.54</v>
      </c>
      <c r="E701" s="40">
        <v>23.54</v>
      </c>
      <c r="G701" s="36">
        <v>44673</v>
      </c>
      <c r="H701" s="40">
        <v>34.82</v>
      </c>
      <c r="I701" s="40">
        <v>19.515000000000001</v>
      </c>
      <c r="J701" s="44"/>
      <c r="K701" s="40"/>
      <c r="L701" s="45">
        <v>34.82</v>
      </c>
      <c r="M701" s="46">
        <v>19.515000000000001</v>
      </c>
      <c r="N701" s="40">
        <f t="shared" si="60"/>
        <v>-8.0528605600361236E-2</v>
      </c>
      <c r="O701" s="40">
        <f t="shared" si="61"/>
        <v>-3.3657265285403644E-2</v>
      </c>
      <c r="P701" s="40">
        <f t="shared" si="62"/>
        <v>-3.3097160977059864E-2</v>
      </c>
      <c r="Q701" s="40"/>
      <c r="R701" s="40"/>
      <c r="S701" t="s">
        <v>2468</v>
      </c>
      <c r="T701">
        <v>0.5</v>
      </c>
      <c r="U701" s="40">
        <f t="shared" si="63"/>
        <v>0.41551544396166579</v>
      </c>
      <c r="V701" s="40">
        <f t="shared" si="64"/>
        <v>0.5</v>
      </c>
      <c r="W701" s="40">
        <f t="shared" si="65"/>
        <v>0.41551544396166579</v>
      </c>
    </row>
    <row r="702" spans="1:23" x14ac:dyDescent="0.2">
      <c r="A702" s="40" t="s">
        <v>1171</v>
      </c>
      <c r="B702" s="40">
        <v>16.18</v>
      </c>
      <c r="C702" s="40">
        <v>16.18</v>
      </c>
      <c r="D702" s="40">
        <v>16.18</v>
      </c>
      <c r="E702" s="40">
        <v>16.18</v>
      </c>
      <c r="G702" s="36">
        <v>44672</v>
      </c>
      <c r="H702" s="40">
        <v>37.74</v>
      </c>
      <c r="I702" s="40">
        <v>20.183</v>
      </c>
      <c r="J702" s="44"/>
      <c r="K702" s="40"/>
      <c r="L702" s="45">
        <v>37.74</v>
      </c>
      <c r="M702" s="46">
        <v>20.183</v>
      </c>
      <c r="N702" s="40">
        <f t="shared" si="60"/>
        <v>0.26515033592139997</v>
      </c>
      <c r="O702" s="40">
        <f t="shared" si="61"/>
        <v>-6.2374709257873279E-2</v>
      </c>
      <c r="P702" s="40">
        <f t="shared" si="62"/>
        <v>-6.046923005306766E-2</v>
      </c>
      <c r="Q702" s="40"/>
      <c r="R702" s="40"/>
      <c r="S702" t="s">
        <v>2467</v>
      </c>
      <c r="T702">
        <v>0.33</v>
      </c>
      <c r="U702" s="40">
        <f t="shared" si="63"/>
        <v>-5.8840500022933347E-2</v>
      </c>
      <c r="V702" s="40">
        <f t="shared" si="64"/>
        <v>0.33</v>
      </c>
      <c r="W702" s="40">
        <f t="shared" si="65"/>
        <v>-5.8840500022933347E-2</v>
      </c>
    </row>
    <row r="703" spans="1:23" x14ac:dyDescent="0.2">
      <c r="A703" s="40" t="s">
        <v>1172</v>
      </c>
      <c r="B703" s="40">
        <v>12.93</v>
      </c>
      <c r="C703" s="40">
        <v>12.93</v>
      </c>
      <c r="D703" s="40">
        <v>12.93</v>
      </c>
      <c r="E703" s="40">
        <v>12.93</v>
      </c>
      <c r="G703" s="36">
        <v>44671</v>
      </c>
      <c r="H703" s="40">
        <v>28.95</v>
      </c>
      <c r="I703" s="40">
        <v>21.481999999999999</v>
      </c>
      <c r="J703" s="44"/>
      <c r="K703" s="40"/>
      <c r="L703" s="45">
        <v>28.95</v>
      </c>
      <c r="M703" s="46">
        <v>21.481999999999999</v>
      </c>
      <c r="N703" s="40">
        <f t="shared" si="60"/>
        <v>-4.13651055178039E-3</v>
      </c>
      <c r="O703" s="40">
        <f t="shared" si="61"/>
        <v>-3.2786819553932603E-2</v>
      </c>
      <c r="P703" s="40">
        <f t="shared" si="62"/>
        <v>-3.2255158122353411E-2</v>
      </c>
      <c r="Q703" s="40"/>
      <c r="R703" s="40"/>
      <c r="S703" t="s">
        <v>2466</v>
      </c>
      <c r="T703">
        <v>0.35</v>
      </c>
      <c r="U703" s="40">
        <f t="shared" si="63"/>
        <v>-5.5569851154810765E-2</v>
      </c>
      <c r="V703" s="40">
        <f t="shared" si="64"/>
        <v>0.35</v>
      </c>
      <c r="W703" s="40">
        <f t="shared" si="65"/>
        <v>-5.5569851154810765E-2</v>
      </c>
    </row>
    <row r="704" spans="1:23" x14ac:dyDescent="0.2">
      <c r="A704" s="40" t="s">
        <v>1173</v>
      </c>
      <c r="B704" s="40">
        <v>12.91</v>
      </c>
      <c r="C704" s="40">
        <v>12.91</v>
      </c>
      <c r="D704" s="40">
        <v>12.91</v>
      </c>
      <c r="E704" s="40">
        <v>12.91</v>
      </c>
      <c r="G704" s="36">
        <v>44670</v>
      </c>
      <c r="H704" s="40">
        <v>29.07</v>
      </c>
      <c r="I704" s="40">
        <v>22.198</v>
      </c>
      <c r="J704" s="44"/>
      <c r="K704" s="40"/>
      <c r="L704" s="45">
        <v>29.07</v>
      </c>
      <c r="M704" s="46">
        <v>22.198</v>
      </c>
      <c r="N704" s="40">
        <f t="shared" si="60"/>
        <v>0.26916407666444853</v>
      </c>
      <c r="O704" s="40">
        <f t="shared" si="61"/>
        <v>1.8872345663568223E-2</v>
      </c>
      <c r="P704" s="40">
        <f t="shared" si="62"/>
        <v>1.9051553964100406E-2</v>
      </c>
      <c r="Q704" s="40"/>
      <c r="R704" s="40"/>
      <c r="S704" t="s">
        <v>2465</v>
      </c>
      <c r="T704">
        <v>0.37</v>
      </c>
      <c r="U704" s="40">
        <f t="shared" si="63"/>
        <v>0</v>
      </c>
      <c r="V704" s="40">
        <f t="shared" si="64"/>
        <v>0.37</v>
      </c>
      <c r="W704" s="40">
        <f t="shared" si="65"/>
        <v>0</v>
      </c>
    </row>
    <row r="705" spans="1:23" x14ac:dyDescent="0.2">
      <c r="A705" s="40" t="s">
        <v>1174</v>
      </c>
      <c r="B705" s="40">
        <v>12.79</v>
      </c>
      <c r="C705" s="40">
        <v>12.79</v>
      </c>
      <c r="D705" s="40">
        <v>12.79</v>
      </c>
      <c r="E705" s="40">
        <v>12.79</v>
      </c>
      <c r="G705" s="36">
        <v>44669</v>
      </c>
      <c r="H705" s="40">
        <v>22.21</v>
      </c>
      <c r="I705" s="40">
        <v>21.783000000000001</v>
      </c>
      <c r="J705" s="44"/>
      <c r="K705" s="40"/>
      <c r="L705" s="45">
        <v>22.21</v>
      </c>
      <c r="M705" s="46">
        <v>21.783000000000001</v>
      </c>
      <c r="N705" s="40">
        <f t="shared" si="60"/>
        <v>0.14043754199549621</v>
      </c>
      <c r="O705" s="40">
        <f t="shared" si="61"/>
        <v>2.4396553954829613E-2</v>
      </c>
      <c r="P705" s="40">
        <f t="shared" si="62"/>
        <v>2.4696584815128524E-2</v>
      </c>
      <c r="Q705" s="40"/>
      <c r="R705" s="40"/>
      <c r="S705" t="s">
        <v>2464</v>
      </c>
      <c r="T705">
        <v>0.37</v>
      </c>
      <c r="U705" s="40">
        <f t="shared" si="63"/>
        <v>0.47542369671507462</v>
      </c>
      <c r="V705" s="40">
        <f t="shared" si="64"/>
        <v>0.37</v>
      </c>
      <c r="W705" s="40">
        <f t="shared" si="65"/>
        <v>0.47542369671507462</v>
      </c>
    </row>
    <row r="706" spans="1:23" x14ac:dyDescent="0.2">
      <c r="A706" s="40" t="s">
        <v>1175</v>
      </c>
      <c r="B706" s="40">
        <v>12.73</v>
      </c>
      <c r="C706" s="40">
        <v>12.73</v>
      </c>
      <c r="D706" s="40">
        <v>12.73</v>
      </c>
      <c r="E706" s="40">
        <v>12.73</v>
      </c>
      <c r="G706" s="36">
        <v>44665</v>
      </c>
      <c r="H706" s="40">
        <v>19.3</v>
      </c>
      <c r="I706" s="40">
        <v>21.257999999999999</v>
      </c>
      <c r="J706" s="44"/>
      <c r="K706" s="40"/>
      <c r="L706" s="45">
        <v>19.3</v>
      </c>
      <c r="M706" s="46">
        <v>21.257999999999999</v>
      </c>
      <c r="N706" s="40">
        <f t="shared" si="60"/>
        <v>-7.0028604360483485E-2</v>
      </c>
      <c r="O706" s="40">
        <f t="shared" si="61"/>
        <v>-4.3494119772049096E-2</v>
      </c>
      <c r="P706" s="40">
        <f t="shared" si="62"/>
        <v>-4.2561815970814772E-2</v>
      </c>
      <c r="Q706" s="40"/>
      <c r="R706" s="40"/>
      <c r="S706" t="s">
        <v>2463</v>
      </c>
      <c r="T706">
        <v>0.23</v>
      </c>
      <c r="U706" s="40">
        <f t="shared" si="63"/>
        <v>0.19105523676270922</v>
      </c>
      <c r="V706" s="40">
        <f t="shared" si="64"/>
        <v>0.23</v>
      </c>
      <c r="W706" s="40">
        <f t="shared" si="65"/>
        <v>0.19105523676270922</v>
      </c>
    </row>
    <row r="707" spans="1:23" x14ac:dyDescent="0.2">
      <c r="A707" s="40" t="s">
        <v>1176</v>
      </c>
      <c r="B707" s="40">
        <v>12.37</v>
      </c>
      <c r="C707" s="40">
        <v>12.37</v>
      </c>
      <c r="D707" s="40">
        <v>12.37</v>
      </c>
      <c r="E707" s="40">
        <v>12.37</v>
      </c>
      <c r="G707" s="36">
        <v>44664</v>
      </c>
      <c r="H707" s="40">
        <v>20.7</v>
      </c>
      <c r="I707" s="40">
        <v>22.202999999999999</v>
      </c>
      <c r="J707" s="44"/>
      <c r="K707" s="40"/>
      <c r="L707" s="45">
        <v>20.7</v>
      </c>
      <c r="M707" s="46">
        <v>22.202999999999999</v>
      </c>
      <c r="N707" s="40">
        <f t="shared" ref="N707:N770" si="66">LN(L707/L708)</f>
        <v>-8.6580627431145415E-3</v>
      </c>
      <c r="O707" s="40">
        <f t="shared" ref="O707:O770" si="67">LN(M707/M708)</f>
        <v>3.1988450542699928E-2</v>
      </c>
      <c r="P707" s="40">
        <f t="shared" ref="P707:P770" si="68">(M707-M708)/M708</f>
        <v>3.2505580357142766E-2</v>
      </c>
      <c r="Q707" s="40"/>
      <c r="R707" s="40"/>
      <c r="S707" s="47">
        <v>44899</v>
      </c>
      <c r="T707">
        <v>0.19</v>
      </c>
      <c r="U707" s="40">
        <f t="shared" ref="U707:U770" si="69">LN(T707/T708)</f>
        <v>-0.10008345855698253</v>
      </c>
      <c r="V707" s="40">
        <f t="shared" ref="V707:V770" si="70">IF(T707=0, 0.001,T707)</f>
        <v>0.19</v>
      </c>
      <c r="W707" s="40">
        <f t="shared" ref="W707:W770" si="71">LN(V707/V708)</f>
        <v>-0.10008345855698253</v>
      </c>
    </row>
    <row r="708" spans="1:23" x14ac:dyDescent="0.2">
      <c r="A708" s="40" t="s">
        <v>1177</v>
      </c>
      <c r="B708" s="40">
        <v>11.95</v>
      </c>
      <c r="C708" s="40">
        <v>11.95</v>
      </c>
      <c r="D708" s="40">
        <v>11.95</v>
      </c>
      <c r="E708" s="40">
        <v>11.95</v>
      </c>
      <c r="G708" s="36">
        <v>44663</v>
      </c>
      <c r="H708" s="40">
        <v>20.88</v>
      </c>
      <c r="I708" s="40">
        <v>21.504000000000001</v>
      </c>
      <c r="J708" s="44"/>
      <c r="K708" s="40"/>
      <c r="L708" s="45">
        <v>20.88</v>
      </c>
      <c r="M708" s="46">
        <v>21.504000000000001</v>
      </c>
      <c r="N708" s="40">
        <f t="shared" si="66"/>
        <v>7.6616272989289594E-2</v>
      </c>
      <c r="O708" s="40">
        <f t="shared" si="67"/>
        <v>-1.9023627058842949E-2</v>
      </c>
      <c r="P708" s="40">
        <f t="shared" si="68"/>
        <v>-1.8843819865857564E-2</v>
      </c>
      <c r="Q708" s="40"/>
      <c r="R708" s="40"/>
      <c r="S708" s="47">
        <v>44869</v>
      </c>
      <c r="T708">
        <v>0.21</v>
      </c>
      <c r="U708" s="40">
        <f t="shared" si="69"/>
        <v>4.8790164169431834E-2</v>
      </c>
      <c r="V708" s="40">
        <f t="shared" si="70"/>
        <v>0.21</v>
      </c>
      <c r="W708" s="40">
        <f t="shared" si="71"/>
        <v>4.8790164169431834E-2</v>
      </c>
    </row>
    <row r="709" spans="1:23" x14ac:dyDescent="0.2">
      <c r="A709" s="40" t="s">
        <v>1178</v>
      </c>
      <c r="B709" s="40">
        <v>11.59</v>
      </c>
      <c r="C709" s="40">
        <v>11.59</v>
      </c>
      <c r="D709" s="40">
        <v>11.59</v>
      </c>
      <c r="E709" s="40">
        <v>11.59</v>
      </c>
      <c r="G709" s="36">
        <v>44662</v>
      </c>
      <c r="H709" s="40">
        <v>19.34</v>
      </c>
      <c r="I709" s="40">
        <v>21.917000000000002</v>
      </c>
      <c r="J709" s="44"/>
      <c r="K709" s="40"/>
      <c r="L709" s="45">
        <v>19.34</v>
      </c>
      <c r="M709" s="46">
        <v>21.917000000000002</v>
      </c>
      <c r="N709" s="40">
        <f t="shared" si="66"/>
        <v>9.8727743984932982E-3</v>
      </c>
      <c r="O709" s="40">
        <f t="shared" si="67"/>
        <v>-5.3392198874018505E-2</v>
      </c>
      <c r="P709" s="40">
        <f t="shared" si="68"/>
        <v>-5.1991868160387485E-2</v>
      </c>
      <c r="Q709" s="40"/>
      <c r="R709" s="40"/>
      <c r="S709" s="47">
        <v>44777</v>
      </c>
      <c r="T709">
        <v>0.2</v>
      </c>
      <c r="U709" s="40">
        <f t="shared" si="69"/>
        <v>-4.8790164169431945E-2</v>
      </c>
      <c r="V709" s="40">
        <f t="shared" si="70"/>
        <v>0.2</v>
      </c>
      <c r="W709" s="40">
        <f t="shared" si="71"/>
        <v>-4.8790164169431945E-2</v>
      </c>
    </row>
    <row r="710" spans="1:23" x14ac:dyDescent="0.2">
      <c r="A710" s="40" t="s">
        <v>1179</v>
      </c>
      <c r="B710" s="40">
        <v>12.03</v>
      </c>
      <c r="C710" s="40">
        <v>12.03</v>
      </c>
      <c r="D710" s="40">
        <v>12.03</v>
      </c>
      <c r="E710" s="40">
        <v>12.03</v>
      </c>
      <c r="G710" s="36">
        <v>44659</v>
      </c>
      <c r="H710" s="40">
        <v>19.149999999999999</v>
      </c>
      <c r="I710" s="40">
        <v>23.119</v>
      </c>
      <c r="J710" s="44"/>
      <c r="K710" s="40"/>
      <c r="L710" s="45">
        <v>19.149999999999999</v>
      </c>
      <c r="M710" s="46">
        <v>23.119</v>
      </c>
      <c r="N710" s="40">
        <f t="shared" si="66"/>
        <v>-0.16076805034456931</v>
      </c>
      <c r="O710" s="40">
        <f t="shared" si="67"/>
        <v>-4.6028366772399548E-2</v>
      </c>
      <c r="P710" s="40">
        <f t="shared" si="68"/>
        <v>-4.4985128883013828E-2</v>
      </c>
      <c r="Q710" s="40"/>
      <c r="R710" s="40"/>
      <c r="S710" s="47">
        <v>44746</v>
      </c>
      <c r="T710">
        <v>0.21</v>
      </c>
      <c r="U710" s="40">
        <f t="shared" si="69"/>
        <v>0.10008345855698243</v>
      </c>
      <c r="V710" s="40">
        <f t="shared" si="70"/>
        <v>0.21</v>
      </c>
      <c r="W710" s="40">
        <f t="shared" si="71"/>
        <v>0.10008345855698243</v>
      </c>
    </row>
    <row r="711" spans="1:23" x14ac:dyDescent="0.2">
      <c r="A711" s="40" t="s">
        <v>1180</v>
      </c>
      <c r="B711" s="40">
        <v>12.57</v>
      </c>
      <c r="C711" s="40">
        <v>12.57</v>
      </c>
      <c r="D711" s="40">
        <v>12.57</v>
      </c>
      <c r="E711" s="40">
        <v>12.57</v>
      </c>
      <c r="G711" s="36">
        <v>44658</v>
      </c>
      <c r="H711" s="40">
        <v>22.49</v>
      </c>
      <c r="I711" s="40">
        <v>24.207999999999998</v>
      </c>
      <c r="J711" s="44"/>
      <c r="K711" s="40"/>
      <c r="L711" s="45">
        <v>22.49</v>
      </c>
      <c r="M711" s="46">
        <v>24.207999999999998</v>
      </c>
      <c r="N711" s="40">
        <f t="shared" si="66"/>
        <v>-1.5880351368989534E-2</v>
      </c>
      <c r="O711" s="40">
        <f t="shared" si="67"/>
        <v>-8.1868193553544036E-3</v>
      </c>
      <c r="P711" s="40">
        <f t="shared" si="68"/>
        <v>-8.1533986151514568E-3</v>
      </c>
      <c r="Q711" s="40"/>
      <c r="R711" s="40"/>
      <c r="S711" s="47">
        <v>44716</v>
      </c>
      <c r="T711">
        <v>0.19</v>
      </c>
      <c r="U711" s="40">
        <f t="shared" si="69"/>
        <v>0.1112256351102244</v>
      </c>
      <c r="V711" s="40">
        <f t="shared" si="70"/>
        <v>0.19</v>
      </c>
      <c r="W711" s="40">
        <f t="shared" si="71"/>
        <v>0.1112256351102244</v>
      </c>
    </row>
    <row r="712" spans="1:23" x14ac:dyDescent="0.2">
      <c r="A712" s="40" t="s">
        <v>1181</v>
      </c>
      <c r="B712" s="40">
        <v>12.98</v>
      </c>
      <c r="C712" s="40">
        <v>12.98</v>
      </c>
      <c r="D712" s="40">
        <v>12.98</v>
      </c>
      <c r="E712" s="40">
        <v>12.98</v>
      </c>
      <c r="G712" s="36">
        <v>44657</v>
      </c>
      <c r="H712" s="40">
        <v>22.85</v>
      </c>
      <c r="I712" s="40">
        <v>24.407</v>
      </c>
      <c r="J712" s="44"/>
      <c r="K712" s="40"/>
      <c r="L712" s="45">
        <v>22.85</v>
      </c>
      <c r="M712" s="46">
        <v>24.407</v>
      </c>
      <c r="N712" s="40">
        <f t="shared" si="66"/>
        <v>0.27824461583648036</v>
      </c>
      <c r="O712" s="40">
        <f t="shared" si="67"/>
        <v>-6.0569187773893113E-2</v>
      </c>
      <c r="P712" s="40">
        <f t="shared" si="68"/>
        <v>-5.8771354749141989E-2</v>
      </c>
      <c r="Q712" s="40"/>
      <c r="R712" s="40"/>
      <c r="S712" s="47">
        <v>44685</v>
      </c>
      <c r="T712">
        <v>0.17</v>
      </c>
      <c r="U712" s="40">
        <f t="shared" si="69"/>
        <v>0</v>
      </c>
      <c r="V712" s="40">
        <f t="shared" si="70"/>
        <v>0.17</v>
      </c>
      <c r="W712" s="40">
        <f t="shared" si="71"/>
        <v>0</v>
      </c>
    </row>
    <row r="713" spans="1:23" x14ac:dyDescent="0.2">
      <c r="A713" s="40" t="s">
        <v>1182</v>
      </c>
      <c r="B713" s="40">
        <v>12.62</v>
      </c>
      <c r="C713" s="40">
        <v>12.62</v>
      </c>
      <c r="D713" s="40">
        <v>12.62</v>
      </c>
      <c r="E713" s="40">
        <v>12.62</v>
      </c>
      <c r="G713" s="36">
        <v>44656</v>
      </c>
      <c r="H713" s="40">
        <v>17.3</v>
      </c>
      <c r="I713" s="40">
        <v>25.931000000000001</v>
      </c>
      <c r="J713" s="44"/>
      <c r="K713" s="40"/>
      <c r="L713" s="45">
        <v>17.3</v>
      </c>
      <c r="M713" s="46">
        <v>25.931000000000001</v>
      </c>
      <c r="N713" s="40">
        <f t="shared" si="66"/>
        <v>-9.636060006897669E-2</v>
      </c>
      <c r="O713" s="40">
        <f t="shared" si="67"/>
        <v>-5.364292857910203E-2</v>
      </c>
      <c r="P713" s="40">
        <f t="shared" si="68"/>
        <v>-5.2229532163742633E-2</v>
      </c>
      <c r="Q713" s="40"/>
      <c r="R713" s="40"/>
      <c r="S713" s="47">
        <v>44655</v>
      </c>
      <c r="T713">
        <v>0.17</v>
      </c>
      <c r="U713" s="40">
        <f t="shared" si="69"/>
        <v>0.12516314295400618</v>
      </c>
      <c r="V713" s="40">
        <f t="shared" si="70"/>
        <v>0.17</v>
      </c>
      <c r="W713" s="40">
        <f t="shared" si="71"/>
        <v>0.12516314295400618</v>
      </c>
    </row>
    <row r="714" spans="1:23" x14ac:dyDescent="0.2">
      <c r="A714" s="41">
        <v>41285</v>
      </c>
      <c r="B714" s="40">
        <v>12.1</v>
      </c>
      <c r="C714" s="40">
        <v>12.1</v>
      </c>
      <c r="D714" s="40">
        <v>12.1</v>
      </c>
      <c r="E714" s="40">
        <v>12.1</v>
      </c>
      <c r="G714" s="36">
        <v>44655</v>
      </c>
      <c r="H714" s="40">
        <v>19.05</v>
      </c>
      <c r="I714" s="40">
        <v>27.36</v>
      </c>
      <c r="J714" s="44"/>
      <c r="K714" s="40"/>
      <c r="L714" s="45">
        <v>19.05</v>
      </c>
      <c r="M714" s="46">
        <v>27.36</v>
      </c>
      <c r="N714" s="40">
        <f t="shared" si="66"/>
        <v>-3.0501201353609807E-2</v>
      </c>
      <c r="O714" s="40">
        <f t="shared" si="67"/>
        <v>2.3969190112996402E-2</v>
      </c>
      <c r="P714" s="40">
        <f t="shared" si="68"/>
        <v>2.4258760107816701E-2</v>
      </c>
      <c r="Q714" s="40"/>
      <c r="R714" s="40"/>
      <c r="S714" s="47">
        <v>44565</v>
      </c>
      <c r="T714">
        <v>0.15</v>
      </c>
      <c r="U714" s="40">
        <f t="shared" si="69"/>
        <v>-0.12516314295400616</v>
      </c>
      <c r="V714" s="40">
        <f t="shared" si="70"/>
        <v>0.15</v>
      </c>
      <c r="W714" s="40">
        <f t="shared" si="71"/>
        <v>-0.12516314295400616</v>
      </c>
    </row>
    <row r="715" spans="1:23" x14ac:dyDescent="0.2">
      <c r="A715" s="41">
        <v>41375</v>
      </c>
      <c r="B715" s="40">
        <v>11.81</v>
      </c>
      <c r="C715" s="40">
        <v>11.81</v>
      </c>
      <c r="D715" s="40">
        <v>11.81</v>
      </c>
      <c r="E715" s="40">
        <v>11.81</v>
      </c>
      <c r="G715" s="36">
        <v>44652</v>
      </c>
      <c r="H715" s="40">
        <v>19.64</v>
      </c>
      <c r="I715" s="40">
        <v>26.712</v>
      </c>
      <c r="J715" s="44"/>
      <c r="K715" s="40"/>
      <c r="L715" s="45">
        <v>19.64</v>
      </c>
      <c r="M715" s="46">
        <v>26.712</v>
      </c>
      <c r="N715" s="40">
        <f t="shared" si="66"/>
        <v>5.3332031077398895E-2</v>
      </c>
      <c r="O715" s="40">
        <f t="shared" si="67"/>
        <v>-2.1260847499329001E-2</v>
      </c>
      <c r="P715" s="40">
        <f t="shared" si="68"/>
        <v>-2.1036428937916938E-2</v>
      </c>
      <c r="Q715" s="40"/>
      <c r="R715" s="40"/>
      <c r="S715" t="s">
        <v>2462</v>
      </c>
      <c r="T715">
        <v>0.17</v>
      </c>
      <c r="U715" s="40">
        <f t="shared" si="69"/>
        <v>0.26826398659467937</v>
      </c>
      <c r="V715" s="40">
        <f t="shared" si="70"/>
        <v>0.17</v>
      </c>
      <c r="W715" s="40">
        <f t="shared" si="71"/>
        <v>0.26826398659467937</v>
      </c>
    </row>
    <row r="716" spans="1:23" x14ac:dyDescent="0.2">
      <c r="A716" s="41">
        <v>41405</v>
      </c>
      <c r="B716" s="40">
        <v>12.14</v>
      </c>
      <c r="C716" s="40">
        <v>12.14</v>
      </c>
      <c r="D716" s="40">
        <v>12.14</v>
      </c>
      <c r="E716" s="40">
        <v>12.14</v>
      </c>
      <c r="G716" s="36">
        <v>44651</v>
      </c>
      <c r="H716" s="40">
        <v>18.62</v>
      </c>
      <c r="I716" s="40">
        <v>27.286000000000001</v>
      </c>
      <c r="J716" s="44"/>
      <c r="K716" s="40"/>
      <c r="L716" s="45">
        <v>18.62</v>
      </c>
      <c r="M716" s="46">
        <v>27.286000000000001</v>
      </c>
      <c r="N716" s="40">
        <f t="shared" si="66"/>
        <v>0.166761187419188</v>
      </c>
      <c r="O716" s="40">
        <f t="shared" si="67"/>
        <v>-1.4697587042188098E-2</v>
      </c>
      <c r="P716" s="40">
        <f t="shared" si="68"/>
        <v>-1.4590104730949797E-2</v>
      </c>
      <c r="Q716" s="40"/>
      <c r="R716" s="40"/>
      <c r="S716" t="s">
        <v>2461</v>
      </c>
      <c r="T716">
        <v>0.13</v>
      </c>
      <c r="U716" s="40">
        <f t="shared" si="69"/>
        <v>-0.26826398659467943</v>
      </c>
      <c r="V716" s="40">
        <f t="shared" si="70"/>
        <v>0.13</v>
      </c>
      <c r="W716" s="40">
        <f t="shared" si="71"/>
        <v>-0.26826398659467943</v>
      </c>
    </row>
    <row r="717" spans="1:23" x14ac:dyDescent="0.2">
      <c r="A717" s="41">
        <v>41436</v>
      </c>
      <c r="B717" s="40">
        <v>11.61</v>
      </c>
      <c r="C717" s="40">
        <v>11.61</v>
      </c>
      <c r="D717" s="40">
        <v>11.61</v>
      </c>
      <c r="E717" s="40">
        <v>11.61</v>
      </c>
      <c r="G717" s="36">
        <v>44650</v>
      </c>
      <c r="H717" s="40">
        <v>15.76</v>
      </c>
      <c r="I717" s="40">
        <v>27.69</v>
      </c>
      <c r="J717" s="44"/>
      <c r="K717" s="40"/>
      <c r="L717" s="45">
        <v>15.76</v>
      </c>
      <c r="M717" s="46">
        <v>27.69</v>
      </c>
      <c r="N717" s="40">
        <f t="shared" si="66"/>
        <v>-1.5113637810048184E-2</v>
      </c>
      <c r="O717" s="40">
        <f t="shared" si="67"/>
        <v>-3.4291508135485399E-2</v>
      </c>
      <c r="P717" s="40">
        <f t="shared" si="68"/>
        <v>-3.3710217755443798E-2</v>
      </c>
      <c r="Q717" s="40"/>
      <c r="R717" s="40"/>
      <c r="S717" t="s">
        <v>2460</v>
      </c>
      <c r="T717">
        <v>0.17</v>
      </c>
      <c r="U717" s="40">
        <f t="shared" si="69"/>
        <v>-5.7158413839948519E-2</v>
      </c>
      <c r="V717" s="40">
        <f t="shared" si="70"/>
        <v>0.17</v>
      </c>
      <c r="W717" s="40">
        <f t="shared" si="71"/>
        <v>-5.7158413839948519E-2</v>
      </c>
    </row>
    <row r="718" spans="1:23" x14ac:dyDescent="0.2">
      <c r="A718" s="41">
        <v>41466</v>
      </c>
      <c r="B718" s="40">
        <v>13.19</v>
      </c>
      <c r="C718" s="40">
        <v>13.19</v>
      </c>
      <c r="D718" s="40">
        <v>13.19</v>
      </c>
      <c r="E718" s="40">
        <v>13.19</v>
      </c>
      <c r="G718" s="36">
        <v>44649</v>
      </c>
      <c r="H718" s="40">
        <v>16</v>
      </c>
      <c r="I718" s="40">
        <v>28.655999999999999</v>
      </c>
      <c r="J718" s="44"/>
      <c r="K718" s="40"/>
      <c r="L718" s="45">
        <v>16</v>
      </c>
      <c r="M718" s="46">
        <v>28.655999999999999</v>
      </c>
      <c r="N718" s="40">
        <f t="shared" si="66"/>
        <v>-0.1397619423751586</v>
      </c>
      <c r="O718" s="40">
        <f t="shared" si="67"/>
        <v>1.5367335382644341E-2</v>
      </c>
      <c r="P718" s="40">
        <f t="shared" si="68"/>
        <v>1.5486020057408043E-2</v>
      </c>
      <c r="Q718" s="40"/>
      <c r="R718" s="40"/>
      <c r="S718" t="s">
        <v>2459</v>
      </c>
      <c r="T718">
        <v>0.18</v>
      </c>
      <c r="U718" s="40">
        <f t="shared" si="69"/>
        <v>5.7158413839948415E-2</v>
      </c>
      <c r="V718" s="40">
        <f t="shared" si="70"/>
        <v>0.18</v>
      </c>
      <c r="W718" s="40">
        <f t="shared" si="71"/>
        <v>5.7158413839948415E-2</v>
      </c>
    </row>
    <row r="719" spans="1:23" x14ac:dyDescent="0.2">
      <c r="A719" s="41">
        <v>41497</v>
      </c>
      <c r="B719" s="40">
        <v>11.97</v>
      </c>
      <c r="C719" s="40">
        <v>11.97</v>
      </c>
      <c r="D719" s="40">
        <v>11.97</v>
      </c>
      <c r="E719" s="40">
        <v>11.97</v>
      </c>
      <c r="G719" s="36">
        <v>44648</v>
      </c>
      <c r="H719" s="40">
        <v>18.399999999999999</v>
      </c>
      <c r="I719" s="40">
        <v>28.219000000000001</v>
      </c>
      <c r="J719" s="44"/>
      <c r="K719" s="40"/>
      <c r="L719" s="45">
        <v>18.399999999999999</v>
      </c>
      <c r="M719" s="46">
        <v>28.219000000000001</v>
      </c>
      <c r="N719" s="40">
        <f t="shared" si="66"/>
        <v>5.4157805083010317E-2</v>
      </c>
      <c r="O719" s="40">
        <f t="shared" si="67"/>
        <v>1.8851947119932613E-2</v>
      </c>
      <c r="P719" s="40">
        <f t="shared" si="68"/>
        <v>1.9030767008522353E-2</v>
      </c>
      <c r="Q719" s="40"/>
      <c r="R719" s="40"/>
      <c r="S719" t="s">
        <v>2458</v>
      </c>
      <c r="T719">
        <v>0.17</v>
      </c>
      <c r="U719" s="40">
        <f t="shared" si="69"/>
        <v>6.062462181643484E-2</v>
      </c>
      <c r="V719" s="40">
        <f t="shared" si="70"/>
        <v>0.17</v>
      </c>
      <c r="W719" s="40">
        <f t="shared" si="71"/>
        <v>6.062462181643484E-2</v>
      </c>
    </row>
    <row r="720" spans="1:23" x14ac:dyDescent="0.2">
      <c r="A720" s="41">
        <v>41589</v>
      </c>
      <c r="B720" s="40">
        <v>12.63</v>
      </c>
      <c r="C720" s="40">
        <v>12.63</v>
      </c>
      <c r="D720" s="40">
        <v>12.63</v>
      </c>
      <c r="E720" s="40">
        <v>12.63</v>
      </c>
      <c r="G720" s="36">
        <v>44645</v>
      </c>
      <c r="H720" s="40">
        <v>17.43</v>
      </c>
      <c r="I720" s="40">
        <v>27.692</v>
      </c>
      <c r="J720" s="44"/>
      <c r="K720" s="40"/>
      <c r="L720" s="45">
        <v>17.43</v>
      </c>
      <c r="M720" s="46">
        <v>27.692</v>
      </c>
      <c r="N720" s="40">
        <f t="shared" si="66"/>
        <v>-6.2911274121074034E-3</v>
      </c>
      <c r="O720" s="40">
        <f t="shared" si="67"/>
        <v>-1.6403791769920316E-2</v>
      </c>
      <c r="P720" s="40">
        <f t="shared" si="68"/>
        <v>-1.6269982238010603E-2</v>
      </c>
      <c r="Q720" s="40"/>
      <c r="R720" s="40"/>
      <c r="S720" t="s">
        <v>2457</v>
      </c>
      <c r="T720">
        <v>0.16</v>
      </c>
      <c r="U720" s="40">
        <f t="shared" si="69"/>
        <v>0.13353139262452257</v>
      </c>
      <c r="V720" s="40">
        <f t="shared" si="70"/>
        <v>0.16</v>
      </c>
      <c r="W720" s="40">
        <f t="shared" si="71"/>
        <v>0.13353139262452257</v>
      </c>
    </row>
    <row r="721" spans="1:23" x14ac:dyDescent="0.2">
      <c r="A721" s="41">
        <v>41619</v>
      </c>
      <c r="B721" s="40">
        <v>13.02</v>
      </c>
      <c r="C721" s="40">
        <v>13.02</v>
      </c>
      <c r="D721" s="40">
        <v>13.02</v>
      </c>
      <c r="E721" s="40">
        <v>13.02</v>
      </c>
      <c r="G721" s="36">
        <v>44644</v>
      </c>
      <c r="H721" s="40">
        <v>17.54</v>
      </c>
      <c r="I721" s="40">
        <v>28.15</v>
      </c>
      <c r="J721" s="44"/>
      <c r="K721" s="40"/>
      <c r="L721" s="45">
        <v>17.54</v>
      </c>
      <c r="M721" s="46">
        <v>28.15</v>
      </c>
      <c r="N721" s="40">
        <f t="shared" si="66"/>
        <v>-1.5837435098626309E-2</v>
      </c>
      <c r="O721" s="40">
        <f t="shared" si="67"/>
        <v>9.3627759278066991E-2</v>
      </c>
      <c r="P721" s="40">
        <f t="shared" si="68"/>
        <v>9.8150893344776405E-2</v>
      </c>
      <c r="Q721" s="40"/>
      <c r="R721" s="40"/>
      <c r="S721" t="s">
        <v>2456</v>
      </c>
      <c r="T721">
        <v>0.14000000000000001</v>
      </c>
      <c r="U721" s="40">
        <f t="shared" si="69"/>
        <v>-0.35667494393873228</v>
      </c>
      <c r="V721" s="40">
        <f t="shared" si="70"/>
        <v>0.14000000000000001</v>
      </c>
      <c r="W721" s="40">
        <f t="shared" si="71"/>
        <v>-0.35667494393873228</v>
      </c>
    </row>
    <row r="722" spans="1:23" x14ac:dyDescent="0.2">
      <c r="A722" s="40" t="s">
        <v>1183</v>
      </c>
      <c r="B722" s="40">
        <v>12.75</v>
      </c>
      <c r="C722" s="40">
        <v>12.75</v>
      </c>
      <c r="D722" s="40">
        <v>12.75</v>
      </c>
      <c r="E722" s="40">
        <v>12.75</v>
      </c>
      <c r="G722" s="36">
        <v>44643</v>
      </c>
      <c r="H722" s="40">
        <v>17.82</v>
      </c>
      <c r="I722" s="40">
        <v>25.634</v>
      </c>
      <c r="J722" s="44"/>
      <c r="K722" s="40"/>
      <c r="L722" s="45">
        <v>17.82</v>
      </c>
      <c r="M722" s="46">
        <v>25.634</v>
      </c>
      <c r="N722" s="40">
        <f t="shared" si="66"/>
        <v>-3.4742948443872858E-2</v>
      </c>
      <c r="O722" s="40">
        <f t="shared" si="67"/>
        <v>-3.4130388198988906E-2</v>
      </c>
      <c r="P722" s="40">
        <f t="shared" si="68"/>
        <v>-3.3554516664153239E-2</v>
      </c>
      <c r="Q722" s="40"/>
      <c r="R722" s="40"/>
      <c r="S722" t="s">
        <v>2455</v>
      </c>
      <c r="T722">
        <v>0.2</v>
      </c>
      <c r="U722" s="40">
        <f t="shared" si="69"/>
        <v>-4.8790164169431945E-2</v>
      </c>
      <c r="V722" s="40">
        <f t="shared" si="70"/>
        <v>0.2</v>
      </c>
      <c r="W722" s="40">
        <f t="shared" si="71"/>
        <v>-4.8790164169431945E-2</v>
      </c>
    </row>
    <row r="723" spans="1:23" x14ac:dyDescent="0.2">
      <c r="A723" s="40" t="s">
        <v>1184</v>
      </c>
      <c r="B723" s="40">
        <v>11.69</v>
      </c>
      <c r="C723" s="40">
        <v>11.69</v>
      </c>
      <c r="D723" s="40">
        <v>11.69</v>
      </c>
      <c r="E723" s="40">
        <v>11.69</v>
      </c>
      <c r="G723" s="36">
        <v>44642</v>
      </c>
      <c r="H723" s="40">
        <v>18.45</v>
      </c>
      <c r="I723" s="40">
        <v>26.524000000000001</v>
      </c>
      <c r="J723" s="44"/>
      <c r="K723" s="40"/>
      <c r="L723" s="45">
        <v>18.45</v>
      </c>
      <c r="M723" s="46">
        <v>26.524000000000001</v>
      </c>
      <c r="N723" s="40">
        <f t="shared" si="66"/>
        <v>-0.10145044224998348</v>
      </c>
      <c r="O723" s="40">
        <f t="shared" si="67"/>
        <v>-7.8861800426600886E-3</v>
      </c>
      <c r="P723" s="40">
        <f t="shared" si="68"/>
        <v>-7.855165706590889E-3</v>
      </c>
      <c r="Q723" s="40"/>
      <c r="R723" s="40"/>
      <c r="S723" t="s">
        <v>2454</v>
      </c>
      <c r="T723">
        <v>0.21</v>
      </c>
      <c r="U723" s="40">
        <f t="shared" si="69"/>
        <v>0.10008345855698243</v>
      </c>
      <c r="V723" s="40">
        <f t="shared" si="70"/>
        <v>0.21</v>
      </c>
      <c r="W723" s="40">
        <f t="shared" si="71"/>
        <v>0.10008345855698243</v>
      </c>
    </row>
    <row r="724" spans="1:23" x14ac:dyDescent="0.2">
      <c r="A724" s="40" t="s">
        <v>1185</v>
      </c>
      <c r="B724" s="40">
        <v>11.16</v>
      </c>
      <c r="C724" s="40">
        <v>11.16</v>
      </c>
      <c r="D724" s="40">
        <v>11.16</v>
      </c>
      <c r="E724" s="40">
        <v>11.16</v>
      </c>
      <c r="G724" s="36">
        <v>44641</v>
      </c>
      <c r="H724" s="40">
        <v>20.420000000000002</v>
      </c>
      <c r="I724" s="40">
        <v>26.734000000000002</v>
      </c>
      <c r="J724" s="44"/>
      <c r="K724" s="40"/>
      <c r="L724" s="45">
        <v>20.420000000000002</v>
      </c>
      <c r="M724" s="46">
        <v>26.734000000000002</v>
      </c>
      <c r="N724" s="40">
        <f t="shared" si="66"/>
        <v>-0.12806840754982615</v>
      </c>
      <c r="O724" s="40">
        <f t="shared" si="67"/>
        <v>1.0566590126616213E-2</v>
      </c>
      <c r="P724" s="40">
        <f t="shared" si="68"/>
        <v>1.0622613692208913E-2</v>
      </c>
      <c r="Q724" s="40"/>
      <c r="R724" s="40"/>
      <c r="S724" t="s">
        <v>2453</v>
      </c>
      <c r="T724">
        <v>0.19</v>
      </c>
      <c r="U724" s="40">
        <f t="shared" si="69"/>
        <v>-5.1293294387550578E-2</v>
      </c>
      <c r="V724" s="40">
        <f t="shared" si="70"/>
        <v>0.19</v>
      </c>
      <c r="W724" s="40">
        <f t="shared" si="71"/>
        <v>-5.1293294387550578E-2</v>
      </c>
    </row>
    <row r="725" spans="1:23" x14ac:dyDescent="0.2">
      <c r="A725" s="40" t="s">
        <v>1186</v>
      </c>
      <c r="B725" s="40">
        <v>11.61</v>
      </c>
      <c r="C725" s="40">
        <v>12.51</v>
      </c>
      <c r="D725" s="40">
        <v>11.01</v>
      </c>
      <c r="E725" s="40">
        <v>11.8</v>
      </c>
      <c r="G725" s="36">
        <v>44638</v>
      </c>
      <c r="H725" s="40">
        <v>23.21</v>
      </c>
      <c r="I725" s="40">
        <v>26.452999999999999</v>
      </c>
      <c r="J725" s="44"/>
      <c r="K725" s="40"/>
      <c r="L725" s="45">
        <v>23.21</v>
      </c>
      <c r="M725" s="46">
        <v>26.452999999999999</v>
      </c>
      <c r="N725" s="40">
        <f t="shared" si="66"/>
        <v>2.7961629456901449E-2</v>
      </c>
      <c r="O725" s="40">
        <f t="shared" si="67"/>
        <v>6.589782862975839E-2</v>
      </c>
      <c r="P725" s="40">
        <f t="shared" si="68"/>
        <v>6.8117580553985355E-2</v>
      </c>
      <c r="Q725" s="40"/>
      <c r="R725" s="40"/>
      <c r="S725" t="s">
        <v>2452</v>
      </c>
      <c r="T725">
        <v>0.2</v>
      </c>
      <c r="U725" s="40">
        <f t="shared" si="69"/>
        <v>-0.13976194237515874</v>
      </c>
      <c r="V725" s="40">
        <f t="shared" si="70"/>
        <v>0.2</v>
      </c>
      <c r="W725" s="40">
        <f t="shared" si="71"/>
        <v>-0.13976194237515874</v>
      </c>
    </row>
    <row r="726" spans="1:23" x14ac:dyDescent="0.2">
      <c r="A726" s="40" t="s">
        <v>1187</v>
      </c>
      <c r="B726" s="40">
        <v>11.9</v>
      </c>
      <c r="C726" s="40">
        <v>12.65</v>
      </c>
      <c r="D726" s="40">
        <v>11.69</v>
      </c>
      <c r="E726" s="40">
        <v>11.87</v>
      </c>
      <c r="G726" s="36">
        <v>44637</v>
      </c>
      <c r="H726" s="40">
        <v>22.57</v>
      </c>
      <c r="I726" s="40">
        <v>24.765999999999998</v>
      </c>
      <c r="J726" s="44"/>
      <c r="K726" s="40"/>
      <c r="L726" s="45">
        <v>22.57</v>
      </c>
      <c r="M726" s="46">
        <v>24.765999999999998</v>
      </c>
      <c r="N726" s="40">
        <f t="shared" si="66"/>
        <v>-7.0640470350075736E-3</v>
      </c>
      <c r="O726" s="40">
        <f t="shared" si="67"/>
        <v>1.0961905877578818E-2</v>
      </c>
      <c r="P726" s="40">
        <f t="shared" si="68"/>
        <v>1.102220770738078E-2</v>
      </c>
      <c r="Q726" s="40"/>
      <c r="R726" s="40"/>
      <c r="S726" t="s">
        <v>2451</v>
      </c>
      <c r="T726">
        <v>0.23</v>
      </c>
      <c r="U726" s="40">
        <f t="shared" si="69"/>
        <v>9.0971778205726786E-2</v>
      </c>
      <c r="V726" s="40">
        <f t="shared" si="70"/>
        <v>0.23</v>
      </c>
      <c r="W726" s="40">
        <f t="shared" si="71"/>
        <v>9.0971778205726786E-2</v>
      </c>
    </row>
    <row r="727" spans="1:23" x14ac:dyDescent="0.2">
      <c r="A727" s="40" t="s">
        <v>1188</v>
      </c>
      <c r="B727" s="40">
        <v>11.76</v>
      </c>
      <c r="C727" s="40">
        <v>12.35</v>
      </c>
      <c r="D727" s="40">
        <v>9.75</v>
      </c>
      <c r="E727" s="40">
        <v>12.03</v>
      </c>
      <c r="G727" s="36">
        <v>44636</v>
      </c>
      <c r="H727" s="40">
        <v>22.73</v>
      </c>
      <c r="I727" s="40">
        <v>24.495999999999999</v>
      </c>
      <c r="J727" s="44"/>
      <c r="K727" s="40"/>
      <c r="L727" s="45">
        <v>22.73</v>
      </c>
      <c r="M727" s="46">
        <v>24.495999999999999</v>
      </c>
      <c r="N727" s="40">
        <f t="shared" si="66"/>
        <v>2.40439009199492E-2</v>
      </c>
      <c r="O727" s="40">
        <f t="shared" si="67"/>
        <v>6.4190225605293957E-2</v>
      </c>
      <c r="P727" s="40">
        <f t="shared" si="68"/>
        <v>6.6295216123275144E-2</v>
      </c>
      <c r="Q727" s="40"/>
      <c r="R727" s="40"/>
      <c r="S727" t="s">
        <v>2450</v>
      </c>
      <c r="T727">
        <v>0.21</v>
      </c>
      <c r="U727" s="40">
        <f t="shared" si="69"/>
        <v>-4.6520015634892928E-2</v>
      </c>
      <c r="V727" s="40">
        <f t="shared" si="70"/>
        <v>0.21</v>
      </c>
      <c r="W727" s="40">
        <f t="shared" si="71"/>
        <v>-4.6520015634892928E-2</v>
      </c>
    </row>
    <row r="728" spans="1:23" x14ac:dyDescent="0.2">
      <c r="A728" s="40" t="s">
        <v>1189</v>
      </c>
      <c r="B728" s="40">
        <v>11.98</v>
      </c>
      <c r="C728" s="40">
        <v>11.98</v>
      </c>
      <c r="D728" s="40">
        <v>10.71</v>
      </c>
      <c r="E728" s="40">
        <v>10.71</v>
      </c>
      <c r="G728" s="36">
        <v>44635</v>
      </c>
      <c r="H728" s="40">
        <v>22.19</v>
      </c>
      <c r="I728" s="40">
        <v>22.972999999999999</v>
      </c>
      <c r="J728" s="44"/>
      <c r="K728" s="40"/>
      <c r="L728" s="45">
        <v>22.19</v>
      </c>
      <c r="M728" s="46">
        <v>22.972999999999999</v>
      </c>
      <c r="N728" s="40">
        <f t="shared" si="66"/>
        <v>-0.11683120330738782</v>
      </c>
      <c r="O728" s="40">
        <f t="shared" si="67"/>
        <v>7.4205080826774739E-2</v>
      </c>
      <c r="P728" s="40">
        <f t="shared" si="68"/>
        <v>7.7027660571964404E-2</v>
      </c>
      <c r="Q728" s="40"/>
      <c r="R728" s="40"/>
      <c r="S728" t="s">
        <v>2449</v>
      </c>
      <c r="T728">
        <v>0.22</v>
      </c>
      <c r="U728" s="40">
        <f t="shared" si="69"/>
        <v>0.25782910930209968</v>
      </c>
      <c r="V728" s="40">
        <f t="shared" si="70"/>
        <v>0.22</v>
      </c>
      <c r="W728" s="40">
        <f t="shared" si="71"/>
        <v>0.25782910930209968</v>
      </c>
    </row>
    <row r="729" spans="1:23" x14ac:dyDescent="0.2">
      <c r="A729" s="40" t="s">
        <v>1190</v>
      </c>
      <c r="B729" s="40">
        <v>10.7</v>
      </c>
      <c r="C729" s="40">
        <v>11</v>
      </c>
      <c r="D729" s="40">
        <v>10.27</v>
      </c>
      <c r="E729" s="40">
        <v>10.34</v>
      </c>
      <c r="G729" s="36">
        <v>44634</v>
      </c>
      <c r="H729" s="40">
        <v>24.94</v>
      </c>
      <c r="I729" s="40">
        <v>21.33</v>
      </c>
      <c r="J729" s="44"/>
      <c r="K729" s="40"/>
      <c r="L729" s="45">
        <v>24.94</v>
      </c>
      <c r="M729" s="46">
        <v>21.33</v>
      </c>
      <c r="N729" s="40">
        <f t="shared" si="66"/>
        <v>-6.1049080049043844E-2</v>
      </c>
      <c r="O729" s="40">
        <f t="shared" si="67"/>
        <v>-3.5463076040448037E-2</v>
      </c>
      <c r="P729" s="40">
        <f t="shared" si="68"/>
        <v>-3.4841628959276158E-2</v>
      </c>
      <c r="Q729" s="40"/>
      <c r="R729" s="40"/>
      <c r="S729" s="47">
        <v>44868</v>
      </c>
      <c r="T729">
        <v>0.17</v>
      </c>
      <c r="U729" s="40">
        <f t="shared" si="69"/>
        <v>-0.11122563511022437</v>
      </c>
      <c r="V729" s="40">
        <f t="shared" si="70"/>
        <v>0.17</v>
      </c>
      <c r="W729" s="40">
        <f t="shared" si="71"/>
        <v>-0.11122563511022437</v>
      </c>
    </row>
    <row r="730" spans="1:23" x14ac:dyDescent="0.2">
      <c r="A730" s="40" t="s">
        <v>1191</v>
      </c>
      <c r="B730" s="40">
        <v>11.67</v>
      </c>
      <c r="C730" s="40">
        <v>11.97</v>
      </c>
      <c r="D730" s="40">
        <v>11.19</v>
      </c>
      <c r="E730" s="40">
        <v>11.52</v>
      </c>
      <c r="G730" s="36">
        <v>44631</v>
      </c>
      <c r="H730" s="40">
        <v>26.51</v>
      </c>
      <c r="I730" s="40">
        <v>22.1</v>
      </c>
      <c r="J730" s="44"/>
      <c r="K730" s="40"/>
      <c r="L730" s="45">
        <v>26.51</v>
      </c>
      <c r="M730" s="46">
        <v>22.1</v>
      </c>
      <c r="N730" s="40">
        <f t="shared" si="66"/>
        <v>-0.14706631415179683</v>
      </c>
      <c r="O730" s="40">
        <f t="shared" si="67"/>
        <v>-2.4935381927589755E-2</v>
      </c>
      <c r="P730" s="40">
        <f t="shared" si="68"/>
        <v>-2.4627063288904572E-2</v>
      </c>
      <c r="Q730" s="40"/>
      <c r="R730" s="40"/>
      <c r="S730" s="47">
        <v>44837</v>
      </c>
      <c r="T730">
        <v>0.19</v>
      </c>
      <c r="U730" s="40">
        <f t="shared" si="69"/>
        <v>0.1112256351102244</v>
      </c>
      <c r="V730" s="40">
        <f t="shared" si="70"/>
        <v>0.19</v>
      </c>
      <c r="W730" s="40">
        <f t="shared" si="71"/>
        <v>0.1112256351102244</v>
      </c>
    </row>
    <row r="731" spans="1:23" x14ac:dyDescent="0.2">
      <c r="A731" s="40" t="s">
        <v>1192</v>
      </c>
      <c r="B731" s="40">
        <v>11.36</v>
      </c>
      <c r="C731" s="40">
        <v>11.94</v>
      </c>
      <c r="D731" s="40">
        <v>11.13</v>
      </c>
      <c r="E731" s="40">
        <v>11.55</v>
      </c>
      <c r="G731" s="36">
        <v>44630</v>
      </c>
      <c r="H731" s="40">
        <v>30.71</v>
      </c>
      <c r="I731" s="40">
        <v>22.658000000000001</v>
      </c>
      <c r="J731" s="44"/>
      <c r="K731" s="40"/>
      <c r="L731" s="45">
        <v>30.71</v>
      </c>
      <c r="M731" s="46">
        <v>22.658000000000001</v>
      </c>
      <c r="N731" s="40">
        <f t="shared" si="66"/>
        <v>-0.10851411808936279</v>
      </c>
      <c r="O731" s="40">
        <f t="shared" si="67"/>
        <v>-1.558973594996994E-2</v>
      </c>
      <c r="P731" s="40">
        <f t="shared" si="68"/>
        <v>-1.5468845050838538E-2</v>
      </c>
      <c r="Q731" s="40"/>
      <c r="R731" s="40"/>
      <c r="S731" s="47">
        <v>44807</v>
      </c>
      <c r="T731">
        <v>0.17</v>
      </c>
      <c r="U731" s="40">
        <f t="shared" si="69"/>
        <v>0.12516314295400618</v>
      </c>
      <c r="V731" s="40">
        <f t="shared" si="70"/>
        <v>0.17</v>
      </c>
      <c r="W731" s="40">
        <f t="shared" si="71"/>
        <v>0.12516314295400618</v>
      </c>
    </row>
    <row r="732" spans="1:23" x14ac:dyDescent="0.2">
      <c r="A732" s="40" t="s">
        <v>1193</v>
      </c>
      <c r="B732" s="40">
        <v>11.35</v>
      </c>
      <c r="C732" s="40">
        <v>11.92</v>
      </c>
      <c r="D732" s="40">
        <v>11.04</v>
      </c>
      <c r="E732" s="40">
        <v>11.66</v>
      </c>
      <c r="G732" s="36">
        <v>44629</v>
      </c>
      <c r="H732" s="40">
        <v>34.229999999999997</v>
      </c>
      <c r="I732" s="40">
        <v>23.013999999999999</v>
      </c>
      <c r="J732" s="44"/>
      <c r="K732" s="40"/>
      <c r="L732" s="45">
        <v>34.229999999999997</v>
      </c>
      <c r="M732" s="46">
        <v>23.013999999999999</v>
      </c>
      <c r="N732" s="40">
        <f t="shared" si="66"/>
        <v>0.11112253169741003</v>
      </c>
      <c r="O732" s="40">
        <f t="shared" si="67"/>
        <v>6.7398840391453108E-2</v>
      </c>
      <c r="P732" s="40">
        <f t="shared" si="68"/>
        <v>6.9722041461373993E-2</v>
      </c>
      <c r="Q732" s="40"/>
      <c r="R732" s="40"/>
      <c r="S732" s="47">
        <v>44776</v>
      </c>
      <c r="T732">
        <v>0.15</v>
      </c>
      <c r="U732" s="40">
        <f t="shared" si="69"/>
        <v>-0.12516314295400616</v>
      </c>
      <c r="V732" s="40">
        <f t="shared" si="70"/>
        <v>0.15</v>
      </c>
      <c r="W732" s="40">
        <f t="shared" si="71"/>
        <v>-0.12516314295400616</v>
      </c>
    </row>
    <row r="733" spans="1:23" x14ac:dyDescent="0.2">
      <c r="A733" s="40" t="s">
        <v>1194</v>
      </c>
      <c r="B733" s="40">
        <v>11.79</v>
      </c>
      <c r="C733" s="40">
        <v>13.59</v>
      </c>
      <c r="D733" s="40">
        <v>11.79</v>
      </c>
      <c r="E733" s="40">
        <v>13.59</v>
      </c>
      <c r="G733" s="36">
        <v>44628</v>
      </c>
      <c r="H733" s="40">
        <v>30.63</v>
      </c>
      <c r="I733" s="40">
        <v>21.513999999999999</v>
      </c>
      <c r="J733" s="44"/>
      <c r="K733" s="40"/>
      <c r="L733" s="45">
        <v>30.63</v>
      </c>
      <c r="M733" s="46">
        <v>21.513999999999999</v>
      </c>
      <c r="N733" s="40">
        <f t="shared" si="66"/>
        <v>2.0449261392408057E-2</v>
      </c>
      <c r="O733" s="40">
        <f t="shared" si="67"/>
        <v>7.5584739075906186E-3</v>
      </c>
      <c r="P733" s="40">
        <f t="shared" si="68"/>
        <v>7.5871112776320264E-3</v>
      </c>
      <c r="Q733" s="40"/>
      <c r="R733" s="40"/>
      <c r="S733" s="47">
        <v>44745</v>
      </c>
      <c r="T733">
        <v>0.17</v>
      </c>
      <c r="U733" s="40">
        <f t="shared" si="69"/>
        <v>0.12516314295400618</v>
      </c>
      <c r="V733" s="40">
        <f t="shared" si="70"/>
        <v>0.17</v>
      </c>
      <c r="W733" s="40">
        <f t="shared" si="71"/>
        <v>0.12516314295400618</v>
      </c>
    </row>
    <row r="734" spans="1:23" x14ac:dyDescent="0.2">
      <c r="A734" s="41">
        <v>41317</v>
      </c>
      <c r="B734" s="40">
        <v>13.99</v>
      </c>
      <c r="C734" s="40">
        <v>14.65</v>
      </c>
      <c r="D734" s="40">
        <v>13.61</v>
      </c>
      <c r="E734" s="40">
        <v>14.3</v>
      </c>
      <c r="G734" s="36">
        <v>44627</v>
      </c>
      <c r="H734" s="40">
        <v>30.01</v>
      </c>
      <c r="I734" s="40">
        <v>21.352</v>
      </c>
      <c r="J734" s="44"/>
      <c r="K734" s="40"/>
      <c r="L734" s="45">
        <v>30.01</v>
      </c>
      <c r="M734" s="46">
        <v>21.352</v>
      </c>
      <c r="N734" s="40">
        <f t="shared" si="66"/>
        <v>-0.10822212876422503</v>
      </c>
      <c r="O734" s="40">
        <f t="shared" si="67"/>
        <v>-7.1562316478845728E-2</v>
      </c>
      <c r="P734" s="40">
        <f t="shared" si="68"/>
        <v>-6.9061737007324708E-2</v>
      </c>
      <c r="Q734" s="40"/>
      <c r="R734" s="40"/>
      <c r="S734" s="47">
        <v>44654</v>
      </c>
      <c r="T734">
        <v>0.15</v>
      </c>
      <c r="U734" s="40">
        <f t="shared" si="69"/>
        <v>-0.23638877806423039</v>
      </c>
      <c r="V734" s="40">
        <f t="shared" si="70"/>
        <v>0.15</v>
      </c>
      <c r="W734" s="40">
        <f t="shared" si="71"/>
        <v>-0.23638877806423039</v>
      </c>
    </row>
    <row r="735" spans="1:23" x14ac:dyDescent="0.2">
      <c r="A735" s="41">
        <v>41345</v>
      </c>
      <c r="B735" s="40">
        <v>15.07</v>
      </c>
      <c r="C735" s="40">
        <v>15.68</v>
      </c>
      <c r="D735" s="40">
        <v>14.43</v>
      </c>
      <c r="E735" s="40">
        <v>14.68</v>
      </c>
      <c r="G735" s="36">
        <v>44624</v>
      </c>
      <c r="H735" s="40">
        <v>33.44</v>
      </c>
      <c r="I735" s="40">
        <v>22.936</v>
      </c>
      <c r="J735" s="44"/>
      <c r="K735" s="40"/>
      <c r="L735" s="45">
        <v>33.44</v>
      </c>
      <c r="M735" s="46">
        <v>22.936</v>
      </c>
      <c r="N735" s="40">
        <f t="shared" si="66"/>
        <v>-9.1933454195057995E-2</v>
      </c>
      <c r="O735" s="40">
        <f t="shared" si="67"/>
        <v>-3.3357862454810074E-2</v>
      </c>
      <c r="P735" s="40">
        <f t="shared" si="68"/>
        <v>-3.2807624188243178E-2</v>
      </c>
      <c r="Q735" s="40"/>
      <c r="R735" s="40"/>
      <c r="S735" s="47">
        <v>44623</v>
      </c>
      <c r="T735">
        <v>0.19</v>
      </c>
      <c r="U735" s="40">
        <f t="shared" si="69"/>
        <v>0.45953232937844024</v>
      </c>
      <c r="V735" s="40">
        <f t="shared" si="70"/>
        <v>0.19</v>
      </c>
      <c r="W735" s="40">
        <f t="shared" si="71"/>
        <v>0.45953232937844024</v>
      </c>
    </row>
    <row r="736" spans="1:23" x14ac:dyDescent="0.2">
      <c r="A736" s="41">
        <v>41376</v>
      </c>
      <c r="B736" s="40">
        <v>15.24</v>
      </c>
      <c r="C736" s="40">
        <v>16.72</v>
      </c>
      <c r="D736" s="40">
        <v>13.99</v>
      </c>
      <c r="E736" s="40">
        <v>14.71</v>
      </c>
      <c r="G736" s="36">
        <v>44623</v>
      </c>
      <c r="H736" s="40">
        <v>36.659999999999997</v>
      </c>
      <c r="I736" s="40">
        <v>23.713999999999999</v>
      </c>
      <c r="J736" s="44"/>
      <c r="K736" s="40"/>
      <c r="L736" s="45">
        <v>36.659999999999997</v>
      </c>
      <c r="M736" s="46">
        <v>23.713999999999999</v>
      </c>
      <c r="N736" s="40">
        <f t="shared" si="66"/>
        <v>-5.0788529808577537E-2</v>
      </c>
      <c r="O736" s="40">
        <f t="shared" si="67"/>
        <v>-2.1113147089067433E-2</v>
      </c>
      <c r="P736" s="40">
        <f t="shared" si="68"/>
        <v>-2.0891824938067724E-2</v>
      </c>
      <c r="Q736" s="40"/>
      <c r="R736" s="40"/>
      <c r="S736" s="47">
        <v>44595</v>
      </c>
      <c r="T736">
        <v>0.12</v>
      </c>
      <c r="U736" s="40">
        <f t="shared" si="69"/>
        <v>0.18232155679395459</v>
      </c>
      <c r="V736" s="40">
        <f t="shared" si="70"/>
        <v>0.12</v>
      </c>
      <c r="W736" s="40">
        <f t="shared" si="71"/>
        <v>0.18232155679395459</v>
      </c>
    </row>
    <row r="737" spans="1:23" x14ac:dyDescent="0.2">
      <c r="A737" s="41">
        <v>41406</v>
      </c>
      <c r="B737" s="40">
        <v>15.22</v>
      </c>
      <c r="C737" s="40">
        <v>16.07</v>
      </c>
      <c r="D737" s="40">
        <v>14.79</v>
      </c>
      <c r="E737" s="40">
        <v>15.42</v>
      </c>
      <c r="G737" s="36">
        <v>44622</v>
      </c>
      <c r="H737" s="40">
        <v>38.57</v>
      </c>
      <c r="I737" s="40">
        <v>24.22</v>
      </c>
      <c r="J737" s="44"/>
      <c r="K737" s="40"/>
      <c r="L737" s="45">
        <v>38.57</v>
      </c>
      <c r="M737" s="46">
        <v>24.22</v>
      </c>
      <c r="N737" s="40">
        <f t="shared" si="66"/>
        <v>0.21494546131059078</v>
      </c>
      <c r="O737" s="40">
        <f t="shared" si="67"/>
        <v>3.1157519641575048E-2</v>
      </c>
      <c r="P737" s="40">
        <f t="shared" si="68"/>
        <v>3.1647995910891451E-2</v>
      </c>
      <c r="Q737" s="40"/>
      <c r="R737" s="40"/>
      <c r="S737" s="47">
        <v>44564</v>
      </c>
      <c r="T737">
        <v>0.1</v>
      </c>
      <c r="U737" s="40">
        <f t="shared" si="69"/>
        <v>0.51082562376599072</v>
      </c>
      <c r="V737" s="40">
        <f t="shared" si="70"/>
        <v>0.1</v>
      </c>
      <c r="W737" s="40">
        <f t="shared" si="71"/>
        <v>0.51082562376599072</v>
      </c>
    </row>
    <row r="738" spans="1:23" x14ac:dyDescent="0.2">
      <c r="A738" s="41">
        <v>41437</v>
      </c>
      <c r="B738" s="40">
        <v>13.32</v>
      </c>
      <c r="C738" s="40">
        <v>13.33</v>
      </c>
      <c r="D738" s="40">
        <v>12.69</v>
      </c>
      <c r="E738" s="40">
        <v>12.7</v>
      </c>
      <c r="G738" s="36">
        <v>44621</v>
      </c>
      <c r="H738" s="40">
        <v>31.11</v>
      </c>
      <c r="I738" s="40">
        <v>23.477</v>
      </c>
      <c r="J738" s="44"/>
      <c r="K738" s="40"/>
      <c r="L738" s="45">
        <v>31.11</v>
      </c>
      <c r="M738" s="46">
        <v>23.477</v>
      </c>
      <c r="N738" s="40">
        <f t="shared" si="66"/>
        <v>3.5665484704229755E-2</v>
      </c>
      <c r="O738" s="40">
        <f t="shared" si="67"/>
        <v>-3.7946970678644838E-2</v>
      </c>
      <c r="P738" s="40">
        <f t="shared" si="68"/>
        <v>-3.7236005741234417E-2</v>
      </c>
      <c r="Q738" s="40"/>
      <c r="R738" s="40"/>
      <c r="S738" t="s">
        <v>2448</v>
      </c>
      <c r="T738">
        <v>0.06</v>
      </c>
      <c r="U738" s="40">
        <f t="shared" si="69"/>
        <v>0.69314718055994529</v>
      </c>
      <c r="V738" s="40">
        <f t="shared" si="70"/>
        <v>0.06</v>
      </c>
      <c r="W738" s="40">
        <f t="shared" si="71"/>
        <v>0.69314718055994529</v>
      </c>
    </row>
    <row r="739" spans="1:23" x14ac:dyDescent="0.2">
      <c r="A739" s="41">
        <v>41529</v>
      </c>
      <c r="B739" s="40">
        <v>14.16</v>
      </c>
      <c r="C739" s="40">
        <v>14.26</v>
      </c>
      <c r="D739" s="40">
        <v>13.5</v>
      </c>
      <c r="E739" s="40">
        <v>13.52</v>
      </c>
      <c r="G739" s="36">
        <v>44620</v>
      </c>
      <c r="H739" s="40">
        <v>30.02</v>
      </c>
      <c r="I739" s="40">
        <v>24.385000000000002</v>
      </c>
      <c r="J739" s="44"/>
      <c r="K739" s="40"/>
      <c r="L739" s="45">
        <v>30.02</v>
      </c>
      <c r="M739" s="46">
        <v>24.385000000000002</v>
      </c>
      <c r="N739" s="40">
        <f t="shared" si="66"/>
        <v>-2.5326135731093123E-2</v>
      </c>
      <c r="O739" s="40">
        <f t="shared" si="67"/>
        <v>9.3939959908363336E-3</v>
      </c>
      <c r="P739" s="40">
        <f t="shared" si="68"/>
        <v>9.438258061845492E-3</v>
      </c>
      <c r="Q739" s="40"/>
      <c r="R739" s="40"/>
      <c r="S739" t="s">
        <v>2447</v>
      </c>
      <c r="T739">
        <v>0.03</v>
      </c>
      <c r="U739" s="40">
        <f t="shared" si="69"/>
        <v>-0.51082562376599072</v>
      </c>
      <c r="V739" s="40">
        <f t="shared" si="70"/>
        <v>0.03</v>
      </c>
      <c r="W739" s="40">
        <f t="shared" si="71"/>
        <v>-0.51082562376599072</v>
      </c>
    </row>
    <row r="740" spans="1:23" x14ac:dyDescent="0.2">
      <c r="A740" s="41">
        <v>41559</v>
      </c>
      <c r="B740" s="40">
        <v>14.2</v>
      </c>
      <c r="C740" s="40">
        <v>14.87</v>
      </c>
      <c r="D740" s="40">
        <v>14.01</v>
      </c>
      <c r="E740" s="40">
        <v>14.65</v>
      </c>
      <c r="G740" s="36">
        <v>44617</v>
      </c>
      <c r="H740" s="40">
        <v>30.79</v>
      </c>
      <c r="I740" s="40">
        <v>24.157</v>
      </c>
      <c r="J740" s="44"/>
      <c r="K740" s="40"/>
      <c r="L740" s="45">
        <v>30.79</v>
      </c>
      <c r="M740" s="46">
        <v>24.157</v>
      </c>
      <c r="N740" s="40">
        <f t="shared" si="66"/>
        <v>-0.12242742484401961</v>
      </c>
      <c r="O740" s="40">
        <f t="shared" si="67"/>
        <v>1.7075876762750554E-2</v>
      </c>
      <c r="P740" s="40">
        <f t="shared" si="68"/>
        <v>1.7222502947616593E-2</v>
      </c>
      <c r="Q740" s="40"/>
      <c r="R740" s="40"/>
      <c r="S740" t="s">
        <v>2446</v>
      </c>
      <c r="T740">
        <v>0.05</v>
      </c>
      <c r="U740" s="40">
        <f t="shared" si="69"/>
        <v>0.91629073187415511</v>
      </c>
      <c r="V740" s="40">
        <f t="shared" si="70"/>
        <v>0.05</v>
      </c>
      <c r="W740" s="40">
        <f t="shared" si="71"/>
        <v>0.91629073187415511</v>
      </c>
    </row>
    <row r="741" spans="1:23" x14ac:dyDescent="0.2">
      <c r="A741" s="41">
        <v>41590</v>
      </c>
      <c r="B741" s="40">
        <v>14.87</v>
      </c>
      <c r="C741" s="40">
        <v>17.37</v>
      </c>
      <c r="D741" s="40">
        <v>14.86</v>
      </c>
      <c r="E741" s="40">
        <v>17.36</v>
      </c>
      <c r="G741" s="36">
        <v>44616</v>
      </c>
      <c r="H741" s="40">
        <v>34.799999999999997</v>
      </c>
      <c r="I741" s="40">
        <v>23.748000000000001</v>
      </c>
      <c r="J741" s="44"/>
      <c r="K741" s="40"/>
      <c r="L741" s="45">
        <v>34.799999999999997</v>
      </c>
      <c r="M741" s="46">
        <v>23.748000000000001</v>
      </c>
      <c r="N741" s="40">
        <f t="shared" si="66"/>
        <v>9.9629840948841142E-2</v>
      </c>
      <c r="O741" s="40">
        <f t="shared" si="67"/>
        <v>5.9017883162684491E-2</v>
      </c>
      <c r="P741" s="40">
        <f t="shared" si="68"/>
        <v>6.079421092598386E-2</v>
      </c>
      <c r="Q741" s="40"/>
      <c r="R741" s="40"/>
      <c r="S741" t="s">
        <v>2445</v>
      </c>
      <c r="T741">
        <v>0.02</v>
      </c>
      <c r="U741" s="40">
        <f t="shared" si="69"/>
        <v>-0.40546510810816427</v>
      </c>
      <c r="V741" s="40">
        <f t="shared" si="70"/>
        <v>0.02</v>
      </c>
      <c r="W741" s="40">
        <f t="shared" si="71"/>
        <v>-0.40546510810816427</v>
      </c>
    </row>
    <row r="742" spans="1:23" x14ac:dyDescent="0.2">
      <c r="A742" s="41">
        <v>41620</v>
      </c>
      <c r="B742" s="40">
        <v>17.43</v>
      </c>
      <c r="C742" s="40">
        <v>17.809999999999999</v>
      </c>
      <c r="D742" s="40">
        <v>16.239999999999998</v>
      </c>
      <c r="E742" s="40">
        <v>16.61</v>
      </c>
      <c r="G742" s="36">
        <v>44615</v>
      </c>
      <c r="H742" s="40">
        <v>31.5</v>
      </c>
      <c r="I742" s="40">
        <v>22.387</v>
      </c>
      <c r="J742" s="44"/>
      <c r="K742" s="40"/>
      <c r="L742" s="45">
        <v>31.5</v>
      </c>
      <c r="M742" s="46">
        <v>22.387</v>
      </c>
      <c r="N742" s="40">
        <f t="shared" si="66"/>
        <v>0.18613835532065542</v>
      </c>
      <c r="O742" s="40">
        <f t="shared" si="67"/>
        <v>-4.3828147350343169E-2</v>
      </c>
      <c r="P742" s="40">
        <f t="shared" si="68"/>
        <v>-4.2881573321932452E-2</v>
      </c>
      <c r="Q742" s="40"/>
      <c r="R742" s="40"/>
      <c r="S742" t="s">
        <v>2444</v>
      </c>
      <c r="T742">
        <v>0.03</v>
      </c>
      <c r="U742" s="40">
        <f t="shared" si="69"/>
        <v>0</v>
      </c>
      <c r="V742" s="40">
        <f t="shared" si="70"/>
        <v>0.03</v>
      </c>
      <c r="W742" s="40">
        <f t="shared" si="71"/>
        <v>0</v>
      </c>
    </row>
    <row r="743" spans="1:23" x14ac:dyDescent="0.2">
      <c r="A743" s="40" t="s">
        <v>1195</v>
      </c>
      <c r="B743" s="40">
        <v>16</v>
      </c>
      <c r="C743" s="40">
        <v>17.260000000000002</v>
      </c>
      <c r="D743" s="40">
        <v>15.78</v>
      </c>
      <c r="E743" s="40">
        <v>17.23</v>
      </c>
      <c r="G743" s="36">
        <v>44614</v>
      </c>
      <c r="H743" s="40">
        <v>26.15</v>
      </c>
      <c r="I743" s="40">
        <v>23.39</v>
      </c>
      <c r="J743" s="44"/>
      <c r="K743" s="40"/>
      <c r="L743" s="45">
        <v>26.15</v>
      </c>
      <c r="M743" s="46">
        <v>23.39</v>
      </c>
      <c r="N743" s="40">
        <f t="shared" si="66"/>
        <v>-0.13868063638500205</v>
      </c>
      <c r="O743" s="40">
        <f t="shared" si="67"/>
        <v>-1.071621073209755E-2</v>
      </c>
      <c r="P743" s="40">
        <f t="shared" si="68"/>
        <v>-1.065899670078669E-2</v>
      </c>
      <c r="Q743" s="40"/>
      <c r="R743" s="40"/>
      <c r="S743" t="s">
        <v>2443</v>
      </c>
      <c r="T743">
        <v>0.03</v>
      </c>
      <c r="U743" s="40">
        <f t="shared" si="69"/>
        <v>-0.69314718055994529</v>
      </c>
      <c r="V743" s="40">
        <f t="shared" si="70"/>
        <v>0.03</v>
      </c>
      <c r="W743" s="40">
        <f t="shared" si="71"/>
        <v>-0.69314718055994529</v>
      </c>
    </row>
    <row r="744" spans="1:23" x14ac:dyDescent="0.2">
      <c r="A744" s="40" t="s">
        <v>1196</v>
      </c>
      <c r="B744" s="40">
        <v>17.149999999999999</v>
      </c>
      <c r="C744" s="40">
        <v>17.329999999999998</v>
      </c>
      <c r="D744" s="40">
        <v>16.75</v>
      </c>
      <c r="E744" s="40">
        <v>17.12</v>
      </c>
      <c r="G744" s="36">
        <v>44610</v>
      </c>
      <c r="H744" s="40">
        <v>30.04</v>
      </c>
      <c r="I744" s="40">
        <v>23.641999999999999</v>
      </c>
      <c r="J744" s="44"/>
      <c r="K744" s="40"/>
      <c r="L744" s="45">
        <v>30.04</v>
      </c>
      <c r="M744" s="46">
        <v>23.641999999999999</v>
      </c>
      <c r="N744" s="40">
        <f t="shared" si="66"/>
        <v>-2.2058507556797013E-2</v>
      </c>
      <c r="O744" s="40">
        <f t="shared" si="67"/>
        <v>-3.5933999699656854E-2</v>
      </c>
      <c r="P744" s="40">
        <f t="shared" si="68"/>
        <v>-3.5296037866732036E-2</v>
      </c>
      <c r="Q744" s="40"/>
      <c r="R744" s="40"/>
      <c r="S744" t="s">
        <v>2442</v>
      </c>
      <c r="T744">
        <v>0.06</v>
      </c>
      <c r="U744" s="40">
        <f t="shared" si="69"/>
        <v>0.69314718055994529</v>
      </c>
      <c r="V744" s="40">
        <f t="shared" si="70"/>
        <v>0.06</v>
      </c>
      <c r="W744" s="40">
        <f t="shared" si="71"/>
        <v>0.69314718055994529</v>
      </c>
    </row>
    <row r="745" spans="1:23" x14ac:dyDescent="0.2">
      <c r="A745" s="40" t="s">
        <v>1197</v>
      </c>
      <c r="B745" s="40">
        <v>17</v>
      </c>
      <c r="C745" s="40">
        <v>17.649999999999999</v>
      </c>
      <c r="D745" s="40">
        <v>16.36</v>
      </c>
      <c r="E745" s="40">
        <v>17.059999999999999</v>
      </c>
      <c r="G745" s="36">
        <v>44609</v>
      </c>
      <c r="H745" s="40">
        <v>30.71</v>
      </c>
      <c r="I745" s="40">
        <v>24.507000000000001</v>
      </c>
      <c r="J745" s="44"/>
      <c r="K745" s="40"/>
      <c r="L745" s="45">
        <v>30.71</v>
      </c>
      <c r="M745" s="46">
        <v>24.507000000000001</v>
      </c>
      <c r="N745" s="40">
        <f t="shared" si="66"/>
        <v>7.0482560324426083E-2</v>
      </c>
      <c r="O745" s="40">
        <f t="shared" si="67"/>
        <v>-7.8600950176135026E-2</v>
      </c>
      <c r="P745" s="40">
        <f t="shared" si="68"/>
        <v>-7.5591264003621053E-2</v>
      </c>
      <c r="Q745" s="40"/>
      <c r="R745" s="40"/>
      <c r="S745" t="s">
        <v>2441</v>
      </c>
      <c r="T745">
        <v>0.03</v>
      </c>
      <c r="U745" s="40">
        <f t="shared" si="69"/>
        <v>0.40546510810816438</v>
      </c>
      <c r="V745" s="40">
        <f t="shared" si="70"/>
        <v>0.03</v>
      </c>
      <c r="W745" s="40">
        <f t="shared" si="71"/>
        <v>0.40546510810816438</v>
      </c>
    </row>
    <row r="746" spans="1:23" x14ac:dyDescent="0.2">
      <c r="A746" s="40" t="s">
        <v>1198</v>
      </c>
      <c r="B746" s="40">
        <v>17.03</v>
      </c>
      <c r="C746" s="40">
        <v>17.940000000000001</v>
      </c>
      <c r="D746" s="40">
        <v>12.64</v>
      </c>
      <c r="E746" s="40">
        <v>12.95</v>
      </c>
      <c r="G746" s="36">
        <v>44608</v>
      </c>
      <c r="H746" s="40">
        <v>28.62</v>
      </c>
      <c r="I746" s="40">
        <v>26.510999999999999</v>
      </c>
      <c r="J746" s="44"/>
      <c r="K746" s="40"/>
      <c r="L746" s="45">
        <v>28.62</v>
      </c>
      <c r="M746" s="46">
        <v>26.510999999999999</v>
      </c>
      <c r="N746" s="40">
        <f t="shared" si="66"/>
        <v>9.4856055121830748E-2</v>
      </c>
      <c r="O746" s="40">
        <f t="shared" si="67"/>
        <v>6.0370525925156591E-4</v>
      </c>
      <c r="P746" s="40">
        <f t="shared" si="68"/>
        <v>6.0388752594822562E-4</v>
      </c>
      <c r="Q746" s="40"/>
      <c r="R746" s="40"/>
      <c r="S746" t="s">
        <v>2440</v>
      </c>
      <c r="T746">
        <v>0.02</v>
      </c>
      <c r="U746" s="40">
        <f t="shared" si="69"/>
        <v>-0.40546510810816427</v>
      </c>
      <c r="V746" s="40">
        <f t="shared" si="70"/>
        <v>0.02</v>
      </c>
      <c r="W746" s="40">
        <f t="shared" si="71"/>
        <v>-0.40546510810816427</v>
      </c>
    </row>
    <row r="747" spans="1:23" x14ac:dyDescent="0.2">
      <c r="A747" s="40" t="s">
        <v>1199</v>
      </c>
      <c r="B747" s="40">
        <v>11.97</v>
      </c>
      <c r="C747" s="40">
        <v>12.89</v>
      </c>
      <c r="D747" s="40">
        <v>11.35</v>
      </c>
      <c r="E747" s="40">
        <v>12.78</v>
      </c>
      <c r="G747" s="36">
        <v>44607</v>
      </c>
      <c r="H747" s="40">
        <v>26.03</v>
      </c>
      <c r="I747" s="40">
        <v>26.495000000000001</v>
      </c>
      <c r="J747" s="44"/>
      <c r="K747" s="40"/>
      <c r="L747" s="45">
        <v>26.03</v>
      </c>
      <c r="M747" s="46">
        <v>26.495000000000001</v>
      </c>
      <c r="N747" s="40">
        <f t="shared" si="66"/>
        <v>-6.1821618176396455E-2</v>
      </c>
      <c r="O747" s="40">
        <f t="shared" si="67"/>
        <v>8.7838633240800129E-2</v>
      </c>
      <c r="P747" s="40">
        <f t="shared" si="68"/>
        <v>9.1811925660361879E-2</v>
      </c>
      <c r="Q747" s="40"/>
      <c r="R747" s="40"/>
      <c r="S747" t="s">
        <v>2439</v>
      </c>
      <c r="T747">
        <v>0.03</v>
      </c>
      <c r="U747" s="40">
        <f t="shared" si="69"/>
        <v>0</v>
      </c>
      <c r="V747" s="40">
        <f t="shared" si="70"/>
        <v>0.03</v>
      </c>
      <c r="W747" s="40">
        <f t="shared" si="71"/>
        <v>0</v>
      </c>
    </row>
    <row r="748" spans="1:23" x14ac:dyDescent="0.2">
      <c r="A748" s="40" t="s">
        <v>1200</v>
      </c>
      <c r="B748" s="40">
        <v>11.35</v>
      </c>
      <c r="C748" s="40">
        <v>12.91</v>
      </c>
      <c r="D748" s="40">
        <v>11.16</v>
      </c>
      <c r="E748" s="40">
        <v>12.73</v>
      </c>
      <c r="G748" s="36">
        <v>44606</v>
      </c>
      <c r="H748" s="40">
        <v>27.69</v>
      </c>
      <c r="I748" s="40">
        <v>24.266999999999999</v>
      </c>
      <c r="J748" s="44"/>
      <c r="K748" s="40"/>
      <c r="L748" s="45">
        <v>27.69</v>
      </c>
      <c r="M748" s="46">
        <v>24.266999999999999</v>
      </c>
      <c r="N748" s="40">
        <f t="shared" si="66"/>
        <v>0.26142573788522672</v>
      </c>
      <c r="O748" s="40">
        <f t="shared" si="67"/>
        <v>1.3190833372153585E-2</v>
      </c>
      <c r="P748" s="40">
        <f t="shared" si="68"/>
        <v>1.3278216209444979E-2</v>
      </c>
      <c r="Q748" s="40"/>
      <c r="R748" s="40"/>
      <c r="S748" s="47">
        <v>44867</v>
      </c>
      <c r="T748">
        <v>0.03</v>
      </c>
      <c r="U748" s="40">
        <f t="shared" si="69"/>
        <v>-0.51082562376599072</v>
      </c>
      <c r="V748" s="40">
        <f t="shared" si="70"/>
        <v>0.03</v>
      </c>
      <c r="W748" s="40">
        <f t="shared" si="71"/>
        <v>-0.51082562376599072</v>
      </c>
    </row>
    <row r="749" spans="1:23" x14ac:dyDescent="0.2">
      <c r="A749" s="40" t="s">
        <v>1201</v>
      </c>
      <c r="B749" s="40">
        <v>12.73</v>
      </c>
      <c r="C749" s="40">
        <v>12.96</v>
      </c>
      <c r="D749" s="40">
        <v>11.92</v>
      </c>
      <c r="E749" s="40">
        <v>12.23</v>
      </c>
      <c r="G749" s="36">
        <v>44603</v>
      </c>
      <c r="H749" s="40">
        <v>21.32</v>
      </c>
      <c r="I749" s="40">
        <v>23.949000000000002</v>
      </c>
      <c r="J749" s="44"/>
      <c r="K749" s="40"/>
      <c r="L749" s="45">
        <v>21.32</v>
      </c>
      <c r="M749" s="46">
        <v>23.949000000000002</v>
      </c>
      <c r="N749" s="40">
        <f t="shared" si="66"/>
        <v>-0.13861927166643248</v>
      </c>
      <c r="O749" s="40">
        <f t="shared" si="67"/>
        <v>-7.5377722755766791E-2</v>
      </c>
      <c r="P749" s="40">
        <f t="shared" si="68"/>
        <v>-7.2606877323420069E-2</v>
      </c>
      <c r="Q749" s="40"/>
      <c r="R749" s="40"/>
      <c r="S749" s="47">
        <v>44836</v>
      </c>
      <c r="T749">
        <v>0.05</v>
      </c>
      <c r="U749" s="40">
        <f t="shared" si="69"/>
        <v>0.51082562376599072</v>
      </c>
      <c r="V749" s="40">
        <f t="shared" si="70"/>
        <v>0.05</v>
      </c>
      <c r="W749" s="40">
        <f t="shared" si="71"/>
        <v>0.51082562376599072</v>
      </c>
    </row>
    <row r="750" spans="1:23" x14ac:dyDescent="0.2">
      <c r="A750" s="40" t="s">
        <v>1202</v>
      </c>
      <c r="B750" s="40">
        <v>11.6</v>
      </c>
      <c r="C750" s="40">
        <v>11.78</v>
      </c>
      <c r="D750" s="40">
        <v>11.11</v>
      </c>
      <c r="E750" s="40">
        <v>11.11</v>
      </c>
      <c r="G750" s="36">
        <v>44602</v>
      </c>
      <c r="H750" s="40">
        <v>24.49</v>
      </c>
      <c r="I750" s="40">
        <v>25.824000000000002</v>
      </c>
      <c r="J750" s="44"/>
      <c r="K750" s="40"/>
      <c r="L750" s="45">
        <v>24.49</v>
      </c>
      <c r="M750" s="46">
        <v>25.824000000000002</v>
      </c>
      <c r="N750" s="40">
        <f t="shared" si="66"/>
        <v>-0.12027527701706983</v>
      </c>
      <c r="O750" s="40">
        <f t="shared" si="67"/>
        <v>-3.3546521704195233E-2</v>
      </c>
      <c r="P750" s="40">
        <f t="shared" si="68"/>
        <v>-3.299007676465069E-2</v>
      </c>
      <c r="Q750" s="40"/>
      <c r="R750" s="40"/>
      <c r="S750" s="47">
        <v>44806</v>
      </c>
      <c r="T750">
        <v>0.03</v>
      </c>
      <c r="U750" s="40">
        <f t="shared" si="69"/>
        <v>0</v>
      </c>
      <c r="V750" s="40">
        <f t="shared" si="70"/>
        <v>0.03</v>
      </c>
      <c r="W750" s="40">
        <f t="shared" si="71"/>
        <v>0</v>
      </c>
    </row>
    <row r="751" spans="1:23" x14ac:dyDescent="0.2">
      <c r="A751" s="40" t="s">
        <v>1203</v>
      </c>
      <c r="B751" s="40">
        <v>11.49</v>
      </c>
      <c r="C751" s="40">
        <v>11.67</v>
      </c>
      <c r="D751" s="40">
        <v>10.6</v>
      </c>
      <c r="E751" s="40">
        <v>10.92</v>
      </c>
      <c r="G751" s="36">
        <v>44601</v>
      </c>
      <c r="H751" s="40">
        <v>27.62</v>
      </c>
      <c r="I751" s="40">
        <v>26.704999999999998</v>
      </c>
      <c r="J751" s="44"/>
      <c r="K751" s="40"/>
      <c r="L751" s="45">
        <v>27.62</v>
      </c>
      <c r="M751" s="46">
        <v>26.704999999999998</v>
      </c>
      <c r="N751" s="40">
        <f t="shared" si="66"/>
        <v>2.8646835877664961E-2</v>
      </c>
      <c r="O751" s="40">
        <f t="shared" si="67"/>
        <v>6.1664293336448329E-2</v>
      </c>
      <c r="P751" s="40">
        <f t="shared" si="68"/>
        <v>6.3605225426158901E-2</v>
      </c>
      <c r="Q751" s="40"/>
      <c r="R751" s="40"/>
      <c r="S751" s="47">
        <v>44775</v>
      </c>
      <c r="T751">
        <v>0.03</v>
      </c>
      <c r="U751" s="40">
        <f t="shared" si="69"/>
        <v>0</v>
      </c>
      <c r="V751" s="40">
        <f t="shared" si="70"/>
        <v>0.03</v>
      </c>
      <c r="W751" s="40">
        <f t="shared" si="71"/>
        <v>0</v>
      </c>
    </row>
    <row r="752" spans="1:23" x14ac:dyDescent="0.2">
      <c r="A752" s="40" t="s">
        <v>1204</v>
      </c>
      <c r="B752" s="40">
        <v>11.12</v>
      </c>
      <c r="C752" s="40">
        <v>12.2</v>
      </c>
      <c r="D752" s="40">
        <v>11.12</v>
      </c>
      <c r="E752" s="40">
        <v>11.48</v>
      </c>
      <c r="G752" s="36">
        <v>44600</v>
      </c>
      <c r="H752" s="40">
        <v>26.84</v>
      </c>
      <c r="I752" s="40">
        <v>25.108000000000001</v>
      </c>
      <c r="J752" s="44"/>
      <c r="K752" s="40"/>
      <c r="L752" s="45">
        <v>26.84</v>
      </c>
      <c r="M752" s="46">
        <v>25.108000000000001</v>
      </c>
      <c r="N752" s="40">
        <f t="shared" si="66"/>
        <v>0.12399641202616696</v>
      </c>
      <c r="O752" s="40">
        <f t="shared" si="67"/>
        <v>1.5250315625470155E-2</v>
      </c>
      <c r="P752" s="40">
        <f t="shared" si="68"/>
        <v>1.5367195082497533E-2</v>
      </c>
      <c r="Q752" s="40"/>
      <c r="R752" s="40"/>
      <c r="S752" s="47">
        <v>44744</v>
      </c>
      <c r="T752">
        <v>0.03</v>
      </c>
      <c r="U752" s="40">
        <f t="shared" si="69"/>
        <v>-0.51082562376599072</v>
      </c>
      <c r="V752" s="40">
        <f t="shared" si="70"/>
        <v>0.03</v>
      </c>
      <c r="W752" s="40">
        <f t="shared" si="71"/>
        <v>-0.51082562376599072</v>
      </c>
    </row>
    <row r="753" spans="1:23" x14ac:dyDescent="0.2">
      <c r="A753" s="40" t="s">
        <v>1205</v>
      </c>
      <c r="B753" s="40">
        <v>12.51</v>
      </c>
      <c r="C753" s="40">
        <v>13.23</v>
      </c>
      <c r="D753" s="40">
        <v>12.5</v>
      </c>
      <c r="E753" s="40">
        <v>12.99</v>
      </c>
      <c r="G753" s="36">
        <v>44599</v>
      </c>
      <c r="H753" s="40">
        <v>23.71</v>
      </c>
      <c r="I753" s="40">
        <v>24.728000000000002</v>
      </c>
      <c r="J753" s="44"/>
      <c r="K753" s="40"/>
      <c r="L753" s="45">
        <v>23.71</v>
      </c>
      <c r="M753" s="46">
        <v>24.728000000000002</v>
      </c>
      <c r="N753" s="40">
        <f t="shared" si="66"/>
        <v>0.23897894252368279</v>
      </c>
      <c r="O753" s="40">
        <f t="shared" si="67"/>
        <v>1.6678266998287148E-2</v>
      </c>
      <c r="P753" s="40">
        <f t="shared" si="68"/>
        <v>1.6818125745302129E-2</v>
      </c>
      <c r="Q753" s="40"/>
      <c r="R753" s="40"/>
      <c r="S753" s="47">
        <v>44653</v>
      </c>
      <c r="T753">
        <v>0.05</v>
      </c>
      <c r="U753" s="40">
        <f t="shared" si="69"/>
        <v>0.51082562376599072</v>
      </c>
      <c r="V753" s="40">
        <f t="shared" si="70"/>
        <v>0.05</v>
      </c>
      <c r="W753" s="40">
        <f t="shared" si="71"/>
        <v>0.51082562376599072</v>
      </c>
    </row>
    <row r="754" spans="1:23" x14ac:dyDescent="0.2">
      <c r="A754" s="40" t="s">
        <v>1206</v>
      </c>
      <c r="B754" s="40">
        <v>12.89</v>
      </c>
      <c r="C754" s="40">
        <v>14.67</v>
      </c>
      <c r="D754" s="40">
        <v>12.74</v>
      </c>
      <c r="E754" s="40">
        <v>13.75</v>
      </c>
      <c r="G754" s="36">
        <v>44596</v>
      </c>
      <c r="H754" s="40">
        <v>18.670000000000002</v>
      </c>
      <c r="I754" s="40">
        <v>24.318999999999999</v>
      </c>
      <c r="J754" s="44"/>
      <c r="K754" s="40"/>
      <c r="L754" s="45">
        <v>18.670000000000002</v>
      </c>
      <c r="M754" s="46">
        <v>24.318999999999999</v>
      </c>
      <c r="N754" s="40">
        <f t="shared" si="66"/>
        <v>-7.2308205254615399E-2</v>
      </c>
      <c r="O754" s="40">
        <f t="shared" si="67"/>
        <v>1.5373124768422518E-2</v>
      </c>
      <c r="P754" s="40">
        <f t="shared" si="68"/>
        <v>1.5491899114748566E-2</v>
      </c>
      <c r="Q754" s="40"/>
      <c r="R754" s="40"/>
      <c r="S754" s="47">
        <v>44622</v>
      </c>
      <c r="T754">
        <v>0.03</v>
      </c>
      <c r="U754" s="40">
        <f t="shared" si="69"/>
        <v>-0.2876820724517809</v>
      </c>
      <c r="V754" s="40">
        <f t="shared" si="70"/>
        <v>0.03</v>
      </c>
      <c r="W754" s="40">
        <f t="shared" si="71"/>
        <v>-0.2876820724517809</v>
      </c>
    </row>
    <row r="755" spans="1:23" x14ac:dyDescent="0.2">
      <c r="A755" s="41">
        <v>41671</v>
      </c>
      <c r="B755" s="40">
        <v>14.52</v>
      </c>
      <c r="C755" s="40">
        <v>14.87</v>
      </c>
      <c r="D755" s="40">
        <v>13.82</v>
      </c>
      <c r="E755" s="40">
        <v>13.83</v>
      </c>
      <c r="G755" s="36">
        <v>44595</v>
      </c>
      <c r="H755" s="40">
        <v>20.07</v>
      </c>
      <c r="I755" s="40">
        <v>23.948</v>
      </c>
      <c r="J755" s="44"/>
      <c r="K755" s="40"/>
      <c r="L755" s="45">
        <v>20.07</v>
      </c>
      <c r="M755" s="46">
        <v>23.948</v>
      </c>
      <c r="N755" s="40">
        <f t="shared" si="66"/>
        <v>-7.3930007710547752E-2</v>
      </c>
      <c r="O755" s="40">
        <f t="shared" si="67"/>
        <v>-5.2624460773333222E-2</v>
      </c>
      <c r="P755" s="40">
        <f t="shared" si="68"/>
        <v>-5.1263766737976404E-2</v>
      </c>
      <c r="Q755" s="40"/>
      <c r="R755" s="40"/>
      <c r="S755" s="47">
        <v>44594</v>
      </c>
      <c r="T755">
        <v>0.04</v>
      </c>
      <c r="U755" s="40">
        <f t="shared" si="69"/>
        <v>0</v>
      </c>
      <c r="V755" s="40">
        <f t="shared" si="70"/>
        <v>0.04</v>
      </c>
      <c r="W755" s="40">
        <f t="shared" si="71"/>
        <v>0</v>
      </c>
    </row>
    <row r="756" spans="1:23" x14ac:dyDescent="0.2">
      <c r="A756" s="41">
        <v>41699</v>
      </c>
      <c r="B756" s="40">
        <v>13.59</v>
      </c>
      <c r="C756" s="40">
        <v>13.63</v>
      </c>
      <c r="D756" s="40">
        <v>12.17</v>
      </c>
      <c r="E756" s="40">
        <v>12.17</v>
      </c>
      <c r="G756" s="36">
        <v>44594</v>
      </c>
      <c r="H756" s="40">
        <v>21.61</v>
      </c>
      <c r="I756" s="40">
        <v>25.242000000000001</v>
      </c>
      <c r="J756" s="44"/>
      <c r="K756" s="40"/>
      <c r="L756" s="45">
        <v>21.61</v>
      </c>
      <c r="M756" s="46">
        <v>25.242000000000001</v>
      </c>
      <c r="N756" s="40">
        <f t="shared" si="66"/>
        <v>-1.1502312229597939E-2</v>
      </c>
      <c r="O756" s="40">
        <f t="shared" si="67"/>
        <v>2.4219307296656459E-2</v>
      </c>
      <c r="P756" s="40">
        <f t="shared" si="68"/>
        <v>2.4514976865005242E-2</v>
      </c>
      <c r="Q756" s="40"/>
      <c r="R756" s="40"/>
      <c r="S756" s="47">
        <v>44563</v>
      </c>
      <c r="T756">
        <v>0.04</v>
      </c>
      <c r="U756" s="40">
        <f t="shared" si="69"/>
        <v>0.28768207245178101</v>
      </c>
      <c r="V756" s="40">
        <f t="shared" si="70"/>
        <v>0.04</v>
      </c>
      <c r="W756" s="40">
        <f t="shared" si="71"/>
        <v>0.28768207245178101</v>
      </c>
    </row>
    <row r="757" spans="1:23" x14ac:dyDescent="0.2">
      <c r="A757" s="41">
        <v>41791</v>
      </c>
      <c r="B757" s="40">
        <v>12.46</v>
      </c>
      <c r="C757" s="40">
        <v>13.53</v>
      </c>
      <c r="D757" s="40">
        <v>12.04</v>
      </c>
      <c r="E757" s="40">
        <v>12.51</v>
      </c>
      <c r="G757" s="36">
        <v>44593</v>
      </c>
      <c r="H757" s="40">
        <v>21.86</v>
      </c>
      <c r="I757" s="40">
        <v>24.638000000000002</v>
      </c>
      <c r="J757" s="44"/>
      <c r="K757" s="40"/>
      <c r="L757" s="45">
        <v>21.86</v>
      </c>
      <c r="M757" s="46">
        <v>24.638000000000002</v>
      </c>
      <c r="N757" s="40">
        <f t="shared" si="66"/>
        <v>-9.7968209444687135E-2</v>
      </c>
      <c r="O757" s="40">
        <f t="shared" si="67"/>
        <v>6.1884408880588278E-3</v>
      </c>
      <c r="P757" s="40">
        <f t="shared" si="68"/>
        <v>6.2076288491383245E-3</v>
      </c>
      <c r="Q757" s="40"/>
      <c r="R757" s="40"/>
      <c r="S757" t="s">
        <v>2438</v>
      </c>
      <c r="T757">
        <v>0.03</v>
      </c>
      <c r="U757" s="40">
        <f t="shared" si="69"/>
        <v>-0.2876820724517809</v>
      </c>
      <c r="V757" s="40">
        <f t="shared" si="70"/>
        <v>0.03</v>
      </c>
      <c r="W757" s="40">
        <f t="shared" si="71"/>
        <v>-0.2876820724517809</v>
      </c>
    </row>
    <row r="758" spans="1:23" x14ac:dyDescent="0.2">
      <c r="A758" s="41">
        <v>41821</v>
      </c>
      <c r="B758" s="40">
        <v>12.66</v>
      </c>
      <c r="C758" s="40">
        <v>12.71</v>
      </c>
      <c r="D758" s="40">
        <v>11.39</v>
      </c>
      <c r="E758" s="40">
        <v>11.57</v>
      </c>
      <c r="G758" s="36">
        <v>44592</v>
      </c>
      <c r="H758" s="40">
        <v>24.11</v>
      </c>
      <c r="I758" s="40">
        <v>24.486000000000001</v>
      </c>
      <c r="J758" s="44"/>
      <c r="K758" s="40"/>
      <c r="L758" s="45">
        <v>24.11</v>
      </c>
      <c r="M758" s="46">
        <v>24.486000000000001</v>
      </c>
      <c r="N758" s="40">
        <f t="shared" si="66"/>
        <v>0.10993337750296026</v>
      </c>
      <c r="O758" s="40">
        <f t="shared" si="67"/>
        <v>6.9588140863914266E-2</v>
      </c>
      <c r="P758" s="40">
        <f t="shared" si="68"/>
        <v>7.2066549912434358E-2</v>
      </c>
      <c r="Q758" s="40"/>
      <c r="R758" s="40"/>
      <c r="S758" t="s">
        <v>2437</v>
      </c>
      <c r="T758">
        <v>0.04</v>
      </c>
      <c r="U758" s="40">
        <f t="shared" si="69"/>
        <v>0</v>
      </c>
      <c r="V758" s="40">
        <f t="shared" si="70"/>
        <v>0.04</v>
      </c>
      <c r="W758" s="40">
        <f t="shared" si="71"/>
        <v>0</v>
      </c>
    </row>
    <row r="759" spans="1:23" x14ac:dyDescent="0.2">
      <c r="A759" s="41">
        <v>41852</v>
      </c>
      <c r="B759" s="40">
        <v>11.95</v>
      </c>
      <c r="C759" s="40">
        <v>12.08</v>
      </c>
      <c r="D759" s="40">
        <v>11.59</v>
      </c>
      <c r="E759" s="40">
        <v>11.62</v>
      </c>
      <c r="G759" s="36">
        <v>44589</v>
      </c>
      <c r="H759" s="40">
        <v>21.6</v>
      </c>
      <c r="I759" s="40">
        <v>22.84</v>
      </c>
      <c r="J759" s="44"/>
      <c r="K759" s="40"/>
      <c r="L759" s="45">
        <v>21.6</v>
      </c>
      <c r="M759" s="46">
        <v>22.84</v>
      </c>
      <c r="N759" s="40">
        <f t="shared" si="66"/>
        <v>2.3420274208098422E-2</v>
      </c>
      <c r="O759" s="40">
        <f t="shared" si="67"/>
        <v>4.0019631152507305E-2</v>
      </c>
      <c r="P759" s="40">
        <f t="shared" si="68"/>
        <v>4.0831206707984E-2</v>
      </c>
      <c r="Q759" s="40"/>
      <c r="R759" s="40"/>
      <c r="S759" t="s">
        <v>2436</v>
      </c>
      <c r="T759">
        <v>0.04</v>
      </c>
      <c r="U759" s="40">
        <f t="shared" si="69"/>
        <v>-0.22314355131420985</v>
      </c>
      <c r="V759" s="40">
        <f t="shared" si="70"/>
        <v>0.04</v>
      </c>
      <c r="W759" s="40">
        <f t="shared" si="71"/>
        <v>-0.22314355131420985</v>
      </c>
    </row>
    <row r="760" spans="1:23" x14ac:dyDescent="0.2">
      <c r="A760" s="41">
        <v>41883</v>
      </c>
      <c r="B760" s="40">
        <v>11.67</v>
      </c>
      <c r="C760" s="40">
        <v>12.27</v>
      </c>
      <c r="D760" s="40">
        <v>11.55</v>
      </c>
      <c r="E760" s="40">
        <v>11.75</v>
      </c>
      <c r="G760" s="36">
        <v>44588</v>
      </c>
      <c r="H760" s="40">
        <v>21.1</v>
      </c>
      <c r="I760" s="40">
        <v>21.943999999999999</v>
      </c>
      <c r="J760" s="44"/>
      <c r="K760" s="40"/>
      <c r="L760" s="45">
        <v>21.1</v>
      </c>
      <c r="M760" s="46">
        <v>21.943999999999999</v>
      </c>
      <c r="N760" s="40">
        <f t="shared" si="66"/>
        <v>-0.18271642353156287</v>
      </c>
      <c r="O760" s="40">
        <f t="shared" si="67"/>
        <v>-3.7037957453533263E-2</v>
      </c>
      <c r="P760" s="40">
        <f t="shared" si="68"/>
        <v>-3.6360442648867008E-2</v>
      </c>
      <c r="Q760" s="40"/>
      <c r="R760" s="40"/>
      <c r="S760" t="s">
        <v>2435</v>
      </c>
      <c r="T760">
        <v>0.05</v>
      </c>
      <c r="U760" s="40">
        <f t="shared" si="69"/>
        <v>0</v>
      </c>
      <c r="V760" s="40">
        <f t="shared" si="70"/>
        <v>0.05</v>
      </c>
      <c r="W760" s="40">
        <f t="shared" si="71"/>
        <v>0</v>
      </c>
    </row>
    <row r="761" spans="1:23" x14ac:dyDescent="0.2">
      <c r="A761" s="41">
        <v>41913</v>
      </c>
      <c r="B761" s="40">
        <v>10.95</v>
      </c>
      <c r="C761" s="40">
        <v>11.55</v>
      </c>
      <c r="D761" s="40">
        <v>9.9700000000000006</v>
      </c>
      <c r="E761" s="40">
        <v>9.9700000000000006</v>
      </c>
      <c r="G761" s="36">
        <v>44587</v>
      </c>
      <c r="H761" s="40">
        <v>25.33</v>
      </c>
      <c r="I761" s="40">
        <v>22.771999999999998</v>
      </c>
      <c r="J761" s="44"/>
      <c r="K761" s="40"/>
      <c r="L761" s="45">
        <v>25.33</v>
      </c>
      <c r="M761" s="46">
        <v>22.771999999999998</v>
      </c>
      <c r="N761" s="40">
        <f t="shared" si="66"/>
        <v>-0.10484715848818164</v>
      </c>
      <c r="O761" s="40">
        <f t="shared" si="67"/>
        <v>1.986937816264819E-2</v>
      </c>
      <c r="P761" s="40">
        <f t="shared" si="68"/>
        <v>2.0068088156244258E-2</v>
      </c>
      <c r="Q761" s="40"/>
      <c r="R761" s="40"/>
      <c r="S761" t="s">
        <v>2434</v>
      </c>
      <c r="T761">
        <v>0.05</v>
      </c>
      <c r="U761" s="40">
        <f t="shared" si="69"/>
        <v>0</v>
      </c>
      <c r="V761" s="40">
        <f t="shared" si="70"/>
        <v>0.05</v>
      </c>
      <c r="W761" s="40">
        <f t="shared" si="71"/>
        <v>0</v>
      </c>
    </row>
    <row r="762" spans="1:23" x14ac:dyDescent="0.2">
      <c r="A762" s="40" t="s">
        <v>1207</v>
      </c>
      <c r="B762" s="40">
        <v>11.36</v>
      </c>
      <c r="C762" s="40">
        <v>13.76</v>
      </c>
      <c r="D762" s="40">
        <v>10.97</v>
      </c>
      <c r="E762" s="40">
        <v>13.09</v>
      </c>
      <c r="G762" s="36">
        <v>44586</v>
      </c>
      <c r="H762" s="40">
        <v>28.13</v>
      </c>
      <c r="I762" s="40">
        <v>22.324000000000002</v>
      </c>
      <c r="J762" s="44"/>
      <c r="K762" s="40"/>
      <c r="L762" s="45">
        <v>28.13</v>
      </c>
      <c r="M762" s="46">
        <v>22.324000000000002</v>
      </c>
      <c r="N762" s="40">
        <f t="shared" si="66"/>
        <v>-0.16057961690093286</v>
      </c>
      <c r="O762" s="40">
        <f t="shared" si="67"/>
        <v>-4.5876391766003395E-2</v>
      </c>
      <c r="P762" s="40">
        <f t="shared" si="68"/>
        <v>-4.4839979462604755E-2</v>
      </c>
      <c r="Q762" s="40"/>
      <c r="R762" s="40"/>
      <c r="S762" t="s">
        <v>2433</v>
      </c>
      <c r="T762">
        <v>0.05</v>
      </c>
      <c r="U762" s="40">
        <f t="shared" si="69"/>
        <v>0</v>
      </c>
      <c r="V762" s="40">
        <f t="shared" si="70"/>
        <v>0.05</v>
      </c>
      <c r="W762" s="40">
        <f t="shared" si="71"/>
        <v>0</v>
      </c>
    </row>
    <row r="763" spans="1:23" x14ac:dyDescent="0.2">
      <c r="A763" s="40" t="s">
        <v>1208</v>
      </c>
      <c r="B763" s="40">
        <v>12.62</v>
      </c>
      <c r="C763" s="40">
        <v>12.62</v>
      </c>
      <c r="D763" s="40">
        <v>11.11</v>
      </c>
      <c r="E763" s="40">
        <v>11.31</v>
      </c>
      <c r="G763" s="36">
        <v>44585</v>
      </c>
      <c r="H763" s="40">
        <v>33.03</v>
      </c>
      <c r="I763" s="40">
        <v>23.372</v>
      </c>
      <c r="J763" s="44"/>
      <c r="K763" s="40"/>
      <c r="L763" s="45">
        <v>33.03</v>
      </c>
      <c r="M763" s="46">
        <v>23.372</v>
      </c>
      <c r="N763" s="40">
        <f t="shared" si="66"/>
        <v>-0.12425446501778793</v>
      </c>
      <c r="O763" s="40">
        <f t="shared" si="67"/>
        <v>-8.5568818774570203E-5</v>
      </c>
      <c r="P763" s="40">
        <f t="shared" si="68"/>
        <v>-8.5565157867668846E-5</v>
      </c>
      <c r="Q763" s="40"/>
      <c r="R763" s="40"/>
      <c r="S763" t="s">
        <v>2432</v>
      </c>
      <c r="T763">
        <v>0.05</v>
      </c>
      <c r="U763" s="40">
        <f t="shared" si="69"/>
        <v>0</v>
      </c>
      <c r="V763" s="40">
        <f t="shared" si="70"/>
        <v>0.05</v>
      </c>
      <c r="W763" s="40">
        <f t="shared" si="71"/>
        <v>0</v>
      </c>
    </row>
    <row r="764" spans="1:23" x14ac:dyDescent="0.2">
      <c r="A764" s="40" t="s">
        <v>1209</v>
      </c>
      <c r="B764" s="40">
        <v>10.86</v>
      </c>
      <c r="C764" s="40">
        <v>11.16</v>
      </c>
      <c r="D764" s="40">
        <v>10.47</v>
      </c>
      <c r="E764" s="40">
        <v>10.64</v>
      </c>
      <c r="G764" s="36">
        <v>44582</v>
      </c>
      <c r="H764" s="40">
        <v>37.4</v>
      </c>
      <c r="I764" s="40">
        <v>23.373999999999999</v>
      </c>
      <c r="J764" s="44"/>
      <c r="K764" s="40"/>
      <c r="L764" s="45">
        <v>37.4</v>
      </c>
      <c r="M764" s="46">
        <v>23.373999999999999</v>
      </c>
      <c r="N764" s="40">
        <f t="shared" si="66"/>
        <v>5.899722127188322E-3</v>
      </c>
      <c r="O764" s="40">
        <f t="shared" si="67"/>
        <v>-3.2660086587616419E-2</v>
      </c>
      <c r="P764" s="40">
        <f t="shared" si="68"/>
        <v>-3.2132505175983428E-2</v>
      </c>
      <c r="Q764" s="40"/>
      <c r="R764" s="40"/>
      <c r="S764" t="s">
        <v>2431</v>
      </c>
      <c r="T764">
        <v>0.05</v>
      </c>
      <c r="U764" s="40">
        <f t="shared" si="69"/>
        <v>0</v>
      </c>
      <c r="V764" s="40">
        <f t="shared" si="70"/>
        <v>0.05</v>
      </c>
      <c r="W764" s="40">
        <f t="shared" si="71"/>
        <v>0</v>
      </c>
    </row>
    <row r="765" spans="1:23" x14ac:dyDescent="0.2">
      <c r="A765" s="40" t="s">
        <v>1210</v>
      </c>
      <c r="B765" s="40">
        <v>11.05</v>
      </c>
      <c r="C765" s="40">
        <v>11.49</v>
      </c>
      <c r="D765" s="40">
        <v>10.82</v>
      </c>
      <c r="E765" s="40">
        <v>11.09</v>
      </c>
      <c r="G765" s="36">
        <v>44581</v>
      </c>
      <c r="H765" s="40">
        <v>37.18</v>
      </c>
      <c r="I765" s="40">
        <v>24.15</v>
      </c>
      <c r="J765" s="44"/>
      <c r="K765" s="40"/>
      <c r="L765" s="45">
        <v>37.18</v>
      </c>
      <c r="M765" s="46">
        <v>24.15</v>
      </c>
      <c r="N765" s="40">
        <f t="shared" si="66"/>
        <v>3.7264585660732132E-2</v>
      </c>
      <c r="O765" s="40">
        <f t="shared" si="67"/>
        <v>-3.7267859973027305E-2</v>
      </c>
      <c r="P765" s="40">
        <f t="shared" si="68"/>
        <v>-3.6581960346272056E-2</v>
      </c>
      <c r="Q765" s="40"/>
      <c r="R765" s="40"/>
      <c r="S765" t="s">
        <v>2430</v>
      </c>
      <c r="T765">
        <v>0.05</v>
      </c>
      <c r="U765" s="40">
        <f t="shared" si="69"/>
        <v>0</v>
      </c>
      <c r="V765" s="40">
        <f t="shared" si="70"/>
        <v>0.05</v>
      </c>
      <c r="W765" s="40">
        <f t="shared" si="71"/>
        <v>0</v>
      </c>
    </row>
    <row r="766" spans="1:23" x14ac:dyDescent="0.2">
      <c r="A766" s="40" t="s">
        <v>1211</v>
      </c>
      <c r="B766" s="40">
        <v>10.9</v>
      </c>
      <c r="C766" s="40">
        <v>11.76</v>
      </c>
      <c r="D766" s="40">
        <v>10.5</v>
      </c>
      <c r="E766" s="40">
        <v>11.46</v>
      </c>
      <c r="G766" s="36">
        <v>44580</v>
      </c>
      <c r="H766" s="40">
        <v>35.82</v>
      </c>
      <c r="I766" s="40">
        <v>25.067</v>
      </c>
      <c r="J766" s="44"/>
      <c r="K766" s="40"/>
      <c r="L766" s="45">
        <v>35.82</v>
      </c>
      <c r="M766" s="46">
        <v>25.067</v>
      </c>
      <c r="N766" s="40">
        <f t="shared" si="66"/>
        <v>0.14904554969755093</v>
      </c>
      <c r="O766" s="40">
        <f t="shared" si="67"/>
        <v>-3.2806552041923231E-2</v>
      </c>
      <c r="P766" s="40">
        <f t="shared" si="68"/>
        <v>-3.227425394741916E-2</v>
      </c>
      <c r="Q766" s="40"/>
      <c r="R766" s="40"/>
      <c r="S766" t="s">
        <v>2429</v>
      </c>
      <c r="T766">
        <v>0.05</v>
      </c>
      <c r="U766" s="40">
        <f t="shared" si="69"/>
        <v>0</v>
      </c>
      <c r="V766" s="40">
        <f t="shared" si="70"/>
        <v>0.05</v>
      </c>
      <c r="W766" s="40">
        <f t="shared" si="71"/>
        <v>0</v>
      </c>
    </row>
    <row r="767" spans="1:23" x14ac:dyDescent="0.2">
      <c r="A767" s="40" t="s">
        <v>1212</v>
      </c>
      <c r="B767" s="40">
        <v>12.03</v>
      </c>
      <c r="C767" s="40">
        <v>13.54</v>
      </c>
      <c r="D767" s="40">
        <v>12.03</v>
      </c>
      <c r="E767" s="40">
        <v>12.46</v>
      </c>
      <c r="G767" s="36">
        <v>44579</v>
      </c>
      <c r="H767" s="40">
        <v>30.86</v>
      </c>
      <c r="I767" s="40">
        <v>25.902999999999999</v>
      </c>
      <c r="J767" s="44"/>
      <c r="K767" s="40"/>
      <c r="L767" s="45">
        <v>30.86</v>
      </c>
      <c r="M767" s="46">
        <v>25.902999999999999</v>
      </c>
      <c r="N767" s="40">
        <f t="shared" si="66"/>
        <v>0.14367431678418702</v>
      </c>
      <c r="O767" s="40">
        <f t="shared" si="67"/>
        <v>-3.9327615162843971E-2</v>
      </c>
      <c r="P767" s="40">
        <f t="shared" si="68"/>
        <v>-3.8564323361294686E-2</v>
      </c>
      <c r="Q767" s="40"/>
      <c r="R767" s="40"/>
      <c r="S767" t="s">
        <v>2428</v>
      </c>
      <c r="T767">
        <v>0.05</v>
      </c>
      <c r="U767" s="40">
        <f t="shared" si="69"/>
        <v>0</v>
      </c>
      <c r="V767" s="40">
        <f t="shared" si="70"/>
        <v>0.05</v>
      </c>
      <c r="W767" s="40">
        <f t="shared" si="71"/>
        <v>0</v>
      </c>
    </row>
    <row r="768" spans="1:23" x14ac:dyDescent="0.2">
      <c r="A768" s="40" t="s">
        <v>1213</v>
      </c>
      <c r="B768" s="40">
        <v>12.23</v>
      </c>
      <c r="C768" s="40">
        <v>12.96</v>
      </c>
      <c r="D768" s="40">
        <v>12.11</v>
      </c>
      <c r="E768" s="40">
        <v>12.3</v>
      </c>
      <c r="G768" s="36">
        <v>44575</v>
      </c>
      <c r="H768" s="40">
        <v>26.73</v>
      </c>
      <c r="I768" s="40">
        <v>26.942</v>
      </c>
      <c r="J768" s="44"/>
      <c r="K768" s="40"/>
      <c r="L768" s="45">
        <v>26.73</v>
      </c>
      <c r="M768" s="46">
        <v>26.942</v>
      </c>
      <c r="N768" s="40">
        <f t="shared" si="66"/>
        <v>0.10940075690357892</v>
      </c>
      <c r="O768" s="40">
        <f t="shared" si="67"/>
        <v>1.371548304836469E-2</v>
      </c>
      <c r="P768" s="40">
        <f t="shared" si="68"/>
        <v>1.3809971777986863E-2</v>
      </c>
      <c r="Q768" s="40"/>
      <c r="R768" s="40"/>
      <c r="S768" t="s">
        <v>2427</v>
      </c>
      <c r="T768">
        <v>0.05</v>
      </c>
      <c r="U768" s="40">
        <f t="shared" si="69"/>
        <v>0.22314355131420976</v>
      </c>
      <c r="V768" s="40">
        <f t="shared" si="70"/>
        <v>0.05</v>
      </c>
      <c r="W768" s="40">
        <f t="shared" si="71"/>
        <v>0.22314355131420976</v>
      </c>
    </row>
    <row r="769" spans="1:23" x14ac:dyDescent="0.2">
      <c r="A769" s="40" t="s">
        <v>1214</v>
      </c>
      <c r="B769" s="40">
        <v>13.51</v>
      </c>
      <c r="C769" s="40">
        <v>15.67</v>
      </c>
      <c r="D769" s="40">
        <v>13.51</v>
      </c>
      <c r="E769" s="40">
        <v>14.21</v>
      </c>
      <c r="G769" s="36">
        <v>44574</v>
      </c>
      <c r="H769" s="40">
        <v>23.96</v>
      </c>
      <c r="I769" s="40">
        <v>26.574999999999999</v>
      </c>
      <c r="J769" s="44"/>
      <c r="K769" s="40"/>
      <c r="L769" s="45">
        <v>23.96</v>
      </c>
      <c r="M769" s="46">
        <v>26.574999999999999</v>
      </c>
      <c r="N769" s="40">
        <f t="shared" si="66"/>
        <v>-8.7264214681430329E-3</v>
      </c>
      <c r="O769" s="40">
        <f t="shared" si="67"/>
        <v>-5.2197871023707688E-2</v>
      </c>
      <c r="P769" s="40">
        <f t="shared" si="68"/>
        <v>-5.0858959248544576E-2</v>
      </c>
      <c r="Q769" s="40"/>
      <c r="R769" s="40"/>
      <c r="S769" s="47">
        <v>44896</v>
      </c>
      <c r="T769">
        <v>0.04</v>
      </c>
      <c r="U769" s="40">
        <f t="shared" si="69"/>
        <v>0</v>
      </c>
      <c r="V769" s="40">
        <f t="shared" si="70"/>
        <v>0.04</v>
      </c>
      <c r="W769" s="40">
        <f t="shared" si="71"/>
        <v>0</v>
      </c>
    </row>
    <row r="770" spans="1:23" x14ac:dyDescent="0.2">
      <c r="A770" s="40" t="s">
        <v>1215</v>
      </c>
      <c r="B770" s="40">
        <v>15.93</v>
      </c>
      <c r="C770" s="40">
        <v>21.17</v>
      </c>
      <c r="D770" s="40">
        <v>15.83</v>
      </c>
      <c r="E770" s="40">
        <v>20.84</v>
      </c>
      <c r="G770" s="36">
        <v>44573</v>
      </c>
      <c r="H770" s="40">
        <v>24.17</v>
      </c>
      <c r="I770" s="40">
        <v>27.998999999999999</v>
      </c>
      <c r="J770" s="44"/>
      <c r="K770" s="40"/>
      <c r="L770" s="45">
        <v>24.17</v>
      </c>
      <c r="M770" s="46">
        <v>27.998999999999999</v>
      </c>
      <c r="N770" s="40">
        <f t="shared" si="66"/>
        <v>0.33382782552727386</v>
      </c>
      <c r="O770" s="40">
        <f t="shared" si="67"/>
        <v>6.5214506602961188E-3</v>
      </c>
      <c r="P770" s="40">
        <f t="shared" si="68"/>
        <v>6.5427616205916746E-3</v>
      </c>
      <c r="Q770" s="40"/>
      <c r="R770" s="40"/>
      <c r="S770" s="47">
        <v>44866</v>
      </c>
      <c r="T770">
        <v>0.04</v>
      </c>
      <c r="U770" s="40">
        <f t="shared" si="69"/>
        <v>-0.22314355131420985</v>
      </c>
      <c r="V770" s="40">
        <f t="shared" si="70"/>
        <v>0.04</v>
      </c>
      <c r="W770" s="40">
        <f t="shared" si="71"/>
        <v>-0.22314355131420985</v>
      </c>
    </row>
    <row r="771" spans="1:23" x14ac:dyDescent="0.2">
      <c r="A771" s="40" t="s">
        <v>1216</v>
      </c>
      <c r="B771" s="40">
        <v>19.96</v>
      </c>
      <c r="C771" s="40">
        <v>21.85</v>
      </c>
      <c r="D771" s="40">
        <v>18.420000000000002</v>
      </c>
      <c r="E771" s="40">
        <v>19.04</v>
      </c>
      <c r="G771" s="36">
        <v>44572</v>
      </c>
      <c r="H771" s="40">
        <v>17.309999999999999</v>
      </c>
      <c r="I771" s="40">
        <v>27.817</v>
      </c>
      <c r="J771" s="44"/>
      <c r="K771" s="40"/>
      <c r="L771" s="45">
        <v>17.309999999999999</v>
      </c>
      <c r="M771" s="46">
        <v>27.817</v>
      </c>
      <c r="N771" s="40">
        <f t="shared" ref="N771:N834" si="72">LN(L771/L772)</f>
        <v>-8.204044423725608E-2</v>
      </c>
      <c r="O771" s="40">
        <f t="shared" ref="O771:O834" si="73">LN(M771/M772)</f>
        <v>1.5104331197398799E-2</v>
      </c>
      <c r="P771" s="40">
        <f t="shared" ref="P771:P834" si="74">(M771-M772)/M772</f>
        <v>1.5218978102189839E-2</v>
      </c>
      <c r="Q771" s="40"/>
      <c r="R771" s="40"/>
      <c r="S771" s="47">
        <v>44835</v>
      </c>
      <c r="T771">
        <v>0.05</v>
      </c>
      <c r="U771" s="40">
        <f t="shared" ref="U771:U834" si="75">LN(T771/T772)</f>
        <v>0</v>
      </c>
      <c r="V771" s="40">
        <f t="shared" ref="V771:V834" si="76">IF(T771=0, 0.001,T771)</f>
        <v>0.05</v>
      </c>
      <c r="W771" s="40">
        <f t="shared" ref="W771:W834" si="77">LN(V771/V772)</f>
        <v>0</v>
      </c>
    </row>
    <row r="772" spans="1:23" x14ac:dyDescent="0.2">
      <c r="A772" s="40" t="s">
        <v>1217</v>
      </c>
      <c r="B772" s="40">
        <v>18.98</v>
      </c>
      <c r="C772" s="40">
        <v>18.98</v>
      </c>
      <c r="D772" s="40">
        <v>17.05</v>
      </c>
      <c r="E772" s="40">
        <v>17.29</v>
      </c>
      <c r="G772" s="36">
        <v>44571</v>
      </c>
      <c r="H772" s="40">
        <v>18.79</v>
      </c>
      <c r="I772" s="40">
        <v>27.4</v>
      </c>
      <c r="J772" s="44"/>
      <c r="K772" s="40"/>
      <c r="L772" s="45">
        <v>18.79</v>
      </c>
      <c r="M772" s="46">
        <v>27.4</v>
      </c>
      <c r="N772" s="40">
        <f t="shared" si="72"/>
        <v>0.24683879023900435</v>
      </c>
      <c r="O772" s="40">
        <f t="shared" si="73"/>
        <v>5.599590088431485E-3</v>
      </c>
      <c r="P772" s="40">
        <f t="shared" si="74"/>
        <v>5.6152970969280541E-3</v>
      </c>
      <c r="Q772" s="40"/>
      <c r="R772" s="40"/>
      <c r="S772" s="47">
        <v>44743</v>
      </c>
      <c r="T772">
        <v>0.05</v>
      </c>
      <c r="U772" s="40">
        <f t="shared" si="75"/>
        <v>0.22314355131420976</v>
      </c>
      <c r="V772" s="40">
        <f t="shared" si="76"/>
        <v>0.05</v>
      </c>
      <c r="W772" s="40">
        <f t="shared" si="77"/>
        <v>0.22314355131420976</v>
      </c>
    </row>
    <row r="773" spans="1:23" x14ac:dyDescent="0.2">
      <c r="A773" s="40" t="s">
        <v>1218</v>
      </c>
      <c r="B773" s="40">
        <v>20.76</v>
      </c>
      <c r="C773" s="40">
        <v>21.06</v>
      </c>
      <c r="D773" s="40">
        <v>17.57</v>
      </c>
      <c r="E773" s="40">
        <v>19.399999999999999</v>
      </c>
      <c r="G773" s="36">
        <v>44568</v>
      </c>
      <c r="H773" s="40">
        <v>14.68</v>
      </c>
      <c r="I773" s="40">
        <v>27.247</v>
      </c>
      <c r="J773" s="44"/>
      <c r="K773" s="40"/>
      <c r="L773" s="45">
        <v>14.68</v>
      </c>
      <c r="M773" s="46">
        <v>27.247</v>
      </c>
      <c r="N773" s="40">
        <f t="shared" si="72"/>
        <v>-0.12231408101598361</v>
      </c>
      <c r="O773" s="40">
        <f t="shared" si="73"/>
        <v>-3.3598108325491906E-2</v>
      </c>
      <c r="P773" s="40">
        <f t="shared" si="74"/>
        <v>-3.3039960252679426E-2</v>
      </c>
      <c r="Q773" s="40"/>
      <c r="R773" s="40"/>
      <c r="S773" s="47">
        <v>44713</v>
      </c>
      <c r="T773">
        <v>0.04</v>
      </c>
      <c r="U773" s="40">
        <f t="shared" si="75"/>
        <v>-0.22314355131420985</v>
      </c>
      <c r="V773" s="40">
        <f t="shared" si="76"/>
        <v>0.04</v>
      </c>
      <c r="W773" s="40">
        <f t="shared" si="77"/>
        <v>-0.22314355131420985</v>
      </c>
    </row>
    <row r="774" spans="1:23" x14ac:dyDescent="0.2">
      <c r="A774" s="40" t="s">
        <v>1219</v>
      </c>
      <c r="B774" s="40">
        <v>17.7</v>
      </c>
      <c r="C774" s="40">
        <v>18.37</v>
      </c>
      <c r="D774" s="40">
        <v>16.309999999999999</v>
      </c>
      <c r="E774" s="40">
        <v>17.95</v>
      </c>
      <c r="G774" s="36">
        <v>44567</v>
      </c>
      <c r="H774" s="40">
        <v>16.59</v>
      </c>
      <c r="I774" s="40">
        <v>28.178000000000001</v>
      </c>
      <c r="J774" s="44"/>
      <c r="K774" s="40"/>
      <c r="L774" s="45">
        <v>16.59</v>
      </c>
      <c r="M774" s="46">
        <v>28.178000000000001</v>
      </c>
      <c r="N774" s="40">
        <f t="shared" si="72"/>
        <v>-7.6559111870267357E-2</v>
      </c>
      <c r="O774" s="40">
        <f t="shared" si="73"/>
        <v>2.0580841872729499E-2</v>
      </c>
      <c r="P774" s="40">
        <f t="shared" si="74"/>
        <v>2.0794087813360441E-2</v>
      </c>
      <c r="Q774" s="40"/>
      <c r="R774" s="40"/>
      <c r="S774" s="47">
        <v>44682</v>
      </c>
      <c r="T774">
        <v>0.05</v>
      </c>
      <c r="U774" s="40">
        <f t="shared" si="75"/>
        <v>-0.18232155679395459</v>
      </c>
      <c r="V774" s="40">
        <f t="shared" si="76"/>
        <v>0.05</v>
      </c>
      <c r="W774" s="40">
        <f t="shared" si="77"/>
        <v>-0.18232155679395459</v>
      </c>
    </row>
    <row r="775" spans="1:23" x14ac:dyDescent="0.2">
      <c r="A775" s="40" t="s">
        <v>1220</v>
      </c>
      <c r="B775" s="40">
        <v>20.02</v>
      </c>
      <c r="C775" s="40">
        <v>20.11</v>
      </c>
      <c r="D775" s="40">
        <v>17.73</v>
      </c>
      <c r="E775" s="40">
        <v>19.32</v>
      </c>
      <c r="G775" s="36">
        <v>44566</v>
      </c>
      <c r="H775" s="40">
        <v>17.91</v>
      </c>
      <c r="I775" s="40">
        <v>27.603999999999999</v>
      </c>
      <c r="J775" s="44"/>
      <c r="K775" s="40"/>
      <c r="L775" s="45">
        <v>17.91</v>
      </c>
      <c r="M775" s="46">
        <v>27.603999999999999</v>
      </c>
      <c r="N775" s="40">
        <f t="shared" si="72"/>
        <v>0.15099170665303696</v>
      </c>
      <c r="O775" s="40">
        <f t="shared" si="73"/>
        <v>-5.9285471081286734E-2</v>
      </c>
      <c r="P775" s="40">
        <f t="shared" si="74"/>
        <v>-5.7562307954933424E-2</v>
      </c>
      <c r="Q775" s="40"/>
      <c r="R775" s="40"/>
      <c r="S775" s="47">
        <v>44652</v>
      </c>
      <c r="T775">
        <v>0.06</v>
      </c>
      <c r="U775" s="40">
        <f t="shared" si="75"/>
        <v>0.18232155679395459</v>
      </c>
      <c r="V775" s="40">
        <f t="shared" si="76"/>
        <v>0.06</v>
      </c>
      <c r="W775" s="40">
        <f t="shared" si="77"/>
        <v>0.18232155679395459</v>
      </c>
    </row>
    <row r="776" spans="1:23" x14ac:dyDescent="0.2">
      <c r="A776" s="41">
        <v>41700</v>
      </c>
      <c r="B776" s="40">
        <v>20.39</v>
      </c>
      <c r="C776" s="40">
        <v>24.23</v>
      </c>
      <c r="D776" s="40">
        <v>18.91</v>
      </c>
      <c r="E776" s="40">
        <v>23.95</v>
      </c>
      <c r="G776" s="36">
        <v>44565</v>
      </c>
      <c r="H776" s="40">
        <v>15.4</v>
      </c>
      <c r="I776" s="40">
        <v>29.29</v>
      </c>
      <c r="J776" s="44"/>
      <c r="K776" s="40"/>
      <c r="L776" s="45">
        <v>15.4</v>
      </c>
      <c r="M776" s="46">
        <v>29.29</v>
      </c>
      <c r="N776" s="40">
        <f t="shared" si="72"/>
        <v>-0.1023690326439495</v>
      </c>
      <c r="O776" s="40">
        <f t="shared" si="73"/>
        <v>-2.7976442072133813E-2</v>
      </c>
      <c r="P776" s="40">
        <f t="shared" si="74"/>
        <v>-2.7588725473921834E-2</v>
      </c>
      <c r="Q776" s="40"/>
      <c r="R776" s="40"/>
      <c r="S776" s="47">
        <v>44621</v>
      </c>
      <c r="T776">
        <v>0.05</v>
      </c>
      <c r="U776" s="40">
        <f t="shared" si="75"/>
        <v>-0.18232155679395459</v>
      </c>
      <c r="V776" s="40">
        <f t="shared" si="76"/>
        <v>0.05</v>
      </c>
      <c r="W776" s="40">
        <f t="shared" si="77"/>
        <v>-0.18232155679395459</v>
      </c>
    </row>
    <row r="777" spans="1:23" x14ac:dyDescent="0.2">
      <c r="A777" s="41">
        <v>41731</v>
      </c>
      <c r="B777" s="40">
        <v>21.78</v>
      </c>
      <c r="C777" s="40">
        <v>21.91</v>
      </c>
      <c r="D777" s="40">
        <v>19.36</v>
      </c>
      <c r="E777" s="40">
        <v>20.37</v>
      </c>
      <c r="G777" s="36">
        <v>44564</v>
      </c>
      <c r="H777" s="40">
        <v>17.059999999999999</v>
      </c>
      <c r="I777" s="40">
        <v>30.120999999999999</v>
      </c>
      <c r="J777" s="44"/>
      <c r="K777" s="40"/>
      <c r="L777" s="45">
        <v>17.059999999999999</v>
      </c>
      <c r="M777" s="46">
        <v>30.120999999999999</v>
      </c>
      <c r="N777" s="40">
        <f t="shared" si="72"/>
        <v>-5.7516562540604214E-2</v>
      </c>
      <c r="O777" s="40">
        <f t="shared" si="73"/>
        <v>2.3853848883805994E-2</v>
      </c>
      <c r="P777" s="40">
        <f t="shared" si="74"/>
        <v>2.4140627656318973E-2</v>
      </c>
      <c r="Q777" s="40"/>
      <c r="R777" s="40"/>
      <c r="S777" t="s">
        <v>2426</v>
      </c>
      <c r="T777">
        <v>0.06</v>
      </c>
      <c r="U777" s="40">
        <f t="shared" si="75"/>
        <v>0</v>
      </c>
      <c r="V777" s="40">
        <f t="shared" si="76"/>
        <v>0.06</v>
      </c>
      <c r="W777" s="40">
        <f t="shared" si="77"/>
        <v>0</v>
      </c>
    </row>
    <row r="778" spans="1:23" x14ac:dyDescent="0.2">
      <c r="A778" s="41">
        <v>41761</v>
      </c>
      <c r="B778" s="40">
        <v>21.23</v>
      </c>
      <c r="C778" s="40">
        <v>22.97</v>
      </c>
      <c r="D778" s="40">
        <v>20.350000000000001</v>
      </c>
      <c r="E778" s="40">
        <v>21.3</v>
      </c>
      <c r="G778" s="36">
        <v>44561</v>
      </c>
      <c r="H778" s="40">
        <v>18.07</v>
      </c>
      <c r="I778" s="40">
        <v>29.411000000000001</v>
      </c>
      <c r="J778" s="44"/>
      <c r="K778" s="40"/>
      <c r="L778" s="45">
        <v>18.07</v>
      </c>
      <c r="M778" s="46">
        <v>29.411000000000001</v>
      </c>
      <c r="N778" s="40">
        <f t="shared" si="72"/>
        <v>0.2638041495254787</v>
      </c>
      <c r="O778" s="40">
        <f t="shared" si="73"/>
        <v>-5.9325224420741351E-3</v>
      </c>
      <c r="P778" s="40">
        <f t="shared" si="74"/>
        <v>-5.9149597782734119E-3</v>
      </c>
      <c r="Q778" s="40"/>
      <c r="R778" s="40"/>
      <c r="S778" t="s">
        <v>2425</v>
      </c>
      <c r="T778">
        <v>0.06</v>
      </c>
      <c r="U778" s="40">
        <f t="shared" si="75"/>
        <v>1.791759469228055</v>
      </c>
      <c r="V778" s="40">
        <f t="shared" si="76"/>
        <v>0.06</v>
      </c>
      <c r="W778" s="40">
        <f t="shared" si="77"/>
        <v>1.791759469228055</v>
      </c>
    </row>
    <row r="779" spans="1:23" x14ac:dyDescent="0.2">
      <c r="A779" s="41">
        <v>41792</v>
      </c>
      <c r="B779" s="40">
        <v>20.14</v>
      </c>
      <c r="C779" s="40">
        <v>20.14</v>
      </c>
      <c r="D779" s="40">
        <v>18.03</v>
      </c>
      <c r="E779" s="40">
        <v>18.670000000000002</v>
      </c>
      <c r="G779" s="36">
        <v>44560</v>
      </c>
      <c r="H779" s="40">
        <v>13.88</v>
      </c>
      <c r="I779" s="40">
        <v>29.585999999999999</v>
      </c>
      <c r="J779" s="44"/>
      <c r="K779" s="40"/>
      <c r="L779" s="45">
        <v>13.88</v>
      </c>
      <c r="M779" s="46">
        <v>29.585999999999999</v>
      </c>
      <c r="N779" s="40">
        <f t="shared" si="72"/>
        <v>2.6278884463840434E-2</v>
      </c>
      <c r="O779" s="40">
        <f t="shared" si="73"/>
        <v>-1.392943796990158E-2</v>
      </c>
      <c r="P779" s="40">
        <f t="shared" si="74"/>
        <v>-1.3832872237592169E-2</v>
      </c>
      <c r="Q779" s="40"/>
      <c r="R779" s="40"/>
      <c r="S779" t="s">
        <v>2424</v>
      </c>
      <c r="T779">
        <v>0.01</v>
      </c>
      <c r="U779" s="40">
        <f t="shared" si="75"/>
        <v>-1.0986122886681096</v>
      </c>
      <c r="V779" s="40">
        <f t="shared" si="76"/>
        <v>0.01</v>
      </c>
      <c r="W779" s="40">
        <f t="shared" si="77"/>
        <v>-1.0986122886681096</v>
      </c>
    </row>
    <row r="780" spans="1:23" x14ac:dyDescent="0.2">
      <c r="A780" s="41">
        <v>41822</v>
      </c>
      <c r="B780" s="40">
        <v>16.18</v>
      </c>
      <c r="C780" s="40">
        <v>16.54</v>
      </c>
      <c r="D780" s="40">
        <v>14.36</v>
      </c>
      <c r="E780" s="40">
        <v>14.51</v>
      </c>
      <c r="G780" s="36">
        <v>44559</v>
      </c>
      <c r="H780" s="40">
        <v>13.52</v>
      </c>
      <c r="I780" s="40">
        <v>30.001000000000001</v>
      </c>
      <c r="J780" s="44"/>
      <c r="K780" s="40"/>
      <c r="L780" s="45">
        <v>13.52</v>
      </c>
      <c r="M780" s="46">
        <v>30.001000000000001</v>
      </c>
      <c r="N780" s="40">
        <f t="shared" si="72"/>
        <v>1.9418085857101516E-2</v>
      </c>
      <c r="O780" s="40">
        <f t="shared" si="73"/>
        <v>-1.0642807219444354E-2</v>
      </c>
      <c r="P780" s="40">
        <f t="shared" si="74"/>
        <v>-1.0586372930545412E-2</v>
      </c>
      <c r="Q780" s="40"/>
      <c r="R780" s="40"/>
      <c r="S780" t="s">
        <v>2423</v>
      </c>
      <c r="T780">
        <v>0.03</v>
      </c>
      <c r="U780" s="40">
        <f t="shared" si="75"/>
        <v>-0.2876820724517809</v>
      </c>
      <c r="V780" s="40">
        <f t="shared" si="76"/>
        <v>0.03</v>
      </c>
      <c r="W780" s="40">
        <f t="shared" si="77"/>
        <v>-0.2876820724517809</v>
      </c>
    </row>
    <row r="781" spans="1:23" x14ac:dyDescent="0.2">
      <c r="A781" s="41">
        <v>41914</v>
      </c>
      <c r="B781" s="40">
        <v>15.11</v>
      </c>
      <c r="C781" s="40">
        <v>15.31</v>
      </c>
      <c r="D781" s="40">
        <v>13.77</v>
      </c>
      <c r="E781" s="40">
        <v>14.22</v>
      </c>
      <c r="G781" s="36">
        <v>44558</v>
      </c>
      <c r="H781" s="40">
        <v>13.26</v>
      </c>
      <c r="I781" s="40">
        <v>30.321999999999999</v>
      </c>
      <c r="J781" s="44"/>
      <c r="K781" s="40"/>
      <c r="L781" s="45">
        <v>13.26</v>
      </c>
      <c r="M781" s="46">
        <v>30.321999999999999</v>
      </c>
      <c r="N781" s="40">
        <f t="shared" si="72"/>
        <v>-4.4255009004040703E-2</v>
      </c>
      <c r="O781" s="40">
        <f t="shared" si="73"/>
        <v>-2.0337913531935006E-2</v>
      </c>
      <c r="P781" s="40">
        <f t="shared" si="74"/>
        <v>-2.0132493132977901E-2</v>
      </c>
      <c r="Q781" s="40"/>
      <c r="R781" s="40"/>
      <c r="S781" t="s">
        <v>2422</v>
      </c>
      <c r="T781">
        <v>0.04</v>
      </c>
      <c r="U781" s="40">
        <f t="shared" si="75"/>
        <v>0</v>
      </c>
      <c r="V781" s="40">
        <f t="shared" si="76"/>
        <v>0.04</v>
      </c>
      <c r="W781" s="40">
        <f t="shared" si="77"/>
        <v>0</v>
      </c>
    </row>
    <row r="782" spans="1:23" x14ac:dyDescent="0.2">
      <c r="A782" s="41">
        <v>41945</v>
      </c>
      <c r="B782" s="40">
        <v>14.29</v>
      </c>
      <c r="C782" s="40">
        <v>14.29</v>
      </c>
      <c r="D782" s="40">
        <v>12.45</v>
      </c>
      <c r="E782" s="40">
        <v>13.04</v>
      </c>
      <c r="G782" s="36">
        <v>44557</v>
      </c>
      <c r="H782" s="40">
        <v>13.86</v>
      </c>
      <c r="I782" s="40">
        <v>30.945</v>
      </c>
      <c r="J782" s="44"/>
      <c r="K782" s="40"/>
      <c r="L782" s="45">
        <v>13.86</v>
      </c>
      <c r="M782" s="46">
        <v>30.945</v>
      </c>
      <c r="N782" s="40">
        <f t="shared" si="72"/>
        <v>7.5663182420528316E-2</v>
      </c>
      <c r="O782" s="40">
        <f t="shared" si="73"/>
        <v>4.3086634763438603E-2</v>
      </c>
      <c r="P782" s="40">
        <f t="shared" si="74"/>
        <v>4.4028340080971652E-2</v>
      </c>
      <c r="Q782" s="40"/>
      <c r="R782" s="40"/>
      <c r="S782" t="s">
        <v>2421</v>
      </c>
      <c r="T782">
        <v>0.04</v>
      </c>
      <c r="U782" s="40">
        <f t="shared" si="75"/>
        <v>0.28768207245178101</v>
      </c>
      <c r="V782" s="40">
        <f t="shared" si="76"/>
        <v>0.04</v>
      </c>
      <c r="W782" s="40">
        <f t="shared" si="77"/>
        <v>0.28768207245178101</v>
      </c>
    </row>
    <row r="783" spans="1:23" x14ac:dyDescent="0.2">
      <c r="A783" s="41">
        <v>41975</v>
      </c>
      <c r="B783" s="40">
        <v>12.86</v>
      </c>
      <c r="C783" s="40">
        <v>13.38</v>
      </c>
      <c r="D783" s="40">
        <v>12.41</v>
      </c>
      <c r="E783" s="40">
        <v>12.67</v>
      </c>
      <c r="G783" s="36">
        <v>44553</v>
      </c>
      <c r="H783" s="40">
        <v>12.85</v>
      </c>
      <c r="I783" s="40">
        <v>29.64</v>
      </c>
      <c r="J783" s="44"/>
      <c r="K783" s="40"/>
      <c r="L783" s="45">
        <v>12.85</v>
      </c>
      <c r="M783" s="46">
        <v>29.64</v>
      </c>
      <c r="N783" s="40">
        <f t="shared" si="72"/>
        <v>-0.1138843952407262</v>
      </c>
      <c r="O783" s="40">
        <f t="shared" si="73"/>
        <v>8.1301260832503091E-3</v>
      </c>
      <c r="P783" s="40">
        <f t="shared" si="74"/>
        <v>8.1632653061225174E-3</v>
      </c>
      <c r="Q783" s="40"/>
      <c r="R783" s="40"/>
      <c r="S783" t="s">
        <v>2420</v>
      </c>
      <c r="T783">
        <v>0.03</v>
      </c>
      <c r="U783" s="40">
        <f t="shared" si="75"/>
        <v>0</v>
      </c>
      <c r="V783" s="40">
        <f t="shared" si="76"/>
        <v>0.03</v>
      </c>
      <c r="W783" s="40">
        <f t="shared" si="77"/>
        <v>0</v>
      </c>
    </row>
    <row r="784" spans="1:23" x14ac:dyDescent="0.2">
      <c r="A784" s="40" t="s">
        <v>1221</v>
      </c>
      <c r="B784" s="40">
        <v>14.27</v>
      </c>
      <c r="C784" s="40">
        <v>14.27</v>
      </c>
      <c r="D784" s="40">
        <v>11.96</v>
      </c>
      <c r="E784" s="40">
        <v>12.06</v>
      </c>
      <c r="G784" s="36">
        <v>44552</v>
      </c>
      <c r="H784" s="40">
        <v>14.4</v>
      </c>
      <c r="I784" s="40">
        <v>29.4</v>
      </c>
      <c r="J784" s="44"/>
      <c r="K784" s="40"/>
      <c r="L784" s="45">
        <v>14.4</v>
      </c>
      <c r="M784" s="46">
        <v>29.4</v>
      </c>
      <c r="N784" s="40">
        <f t="shared" si="72"/>
        <v>-5.5401803756153561E-3</v>
      </c>
      <c r="O784" s="40">
        <f t="shared" si="73"/>
        <v>1.1115975939907732E-2</v>
      </c>
      <c r="P784" s="40">
        <f t="shared" si="74"/>
        <v>1.1177987962166786E-2</v>
      </c>
      <c r="Q784" s="40"/>
      <c r="R784" s="40"/>
      <c r="S784" t="s">
        <v>2419</v>
      </c>
      <c r="T784">
        <v>0.03</v>
      </c>
      <c r="U784" s="40">
        <f t="shared" si="75"/>
        <v>0</v>
      </c>
      <c r="V784" s="40">
        <f t="shared" si="76"/>
        <v>0.03</v>
      </c>
      <c r="W784" s="40">
        <f t="shared" si="77"/>
        <v>0</v>
      </c>
    </row>
    <row r="785" spans="1:23" x14ac:dyDescent="0.2">
      <c r="A785" s="40" t="s">
        <v>1222</v>
      </c>
      <c r="B785" s="40">
        <v>12.14</v>
      </c>
      <c r="C785" s="40">
        <v>12.14</v>
      </c>
      <c r="D785" s="40">
        <v>10.76</v>
      </c>
      <c r="E785" s="40">
        <v>10.84</v>
      </c>
      <c r="G785" s="36">
        <v>44551</v>
      </c>
      <c r="H785" s="40">
        <v>14.48</v>
      </c>
      <c r="I785" s="40">
        <v>29.074999999999999</v>
      </c>
      <c r="J785" s="44"/>
      <c r="K785" s="40"/>
      <c r="L785" s="45">
        <v>14.48</v>
      </c>
      <c r="M785" s="46">
        <v>29.074999999999999</v>
      </c>
      <c r="N785" s="40">
        <f t="shared" si="72"/>
        <v>5.4642893383347255E-2</v>
      </c>
      <c r="O785" s="40">
        <f t="shared" si="73"/>
        <v>4.7760599769820271E-2</v>
      </c>
      <c r="P785" s="40">
        <f t="shared" si="74"/>
        <v>4.8919513690970022E-2</v>
      </c>
      <c r="Q785" s="40"/>
      <c r="R785" s="40"/>
      <c r="S785" t="s">
        <v>2418</v>
      </c>
      <c r="T785">
        <v>0.03</v>
      </c>
      <c r="U785" s="40">
        <f t="shared" si="75"/>
        <v>0</v>
      </c>
      <c r="V785" s="40">
        <f t="shared" si="76"/>
        <v>0.03</v>
      </c>
      <c r="W785" s="40">
        <f t="shared" si="77"/>
        <v>0</v>
      </c>
    </row>
    <row r="786" spans="1:23" x14ac:dyDescent="0.2">
      <c r="A786" s="40" t="s">
        <v>1223</v>
      </c>
      <c r="B786" s="40">
        <v>12.74</v>
      </c>
      <c r="C786" s="40">
        <v>13.3</v>
      </c>
      <c r="D786" s="40">
        <v>12.07</v>
      </c>
      <c r="E786" s="40">
        <v>12.18</v>
      </c>
      <c r="G786" s="36">
        <v>44550</v>
      </c>
      <c r="H786" s="40">
        <v>13.71</v>
      </c>
      <c r="I786" s="40">
        <v>27.719000000000001</v>
      </c>
      <c r="J786" s="44"/>
      <c r="K786" s="40"/>
      <c r="L786" s="45">
        <v>13.71</v>
      </c>
      <c r="M786" s="46">
        <v>27.719000000000001</v>
      </c>
      <c r="N786" s="40">
        <f t="shared" si="72"/>
        <v>-7.3795325598103326E-2</v>
      </c>
      <c r="O786" s="40">
        <f t="shared" si="73"/>
        <v>-2.9538926377562754E-3</v>
      </c>
      <c r="P786" s="40">
        <f t="shared" si="74"/>
        <v>-2.9495341894175456E-3</v>
      </c>
      <c r="Q786" s="40"/>
      <c r="R786" s="40"/>
      <c r="S786" t="s">
        <v>2417</v>
      </c>
      <c r="T786">
        <v>0.03</v>
      </c>
      <c r="U786" s="40">
        <f t="shared" si="75"/>
        <v>-0.2876820724517809</v>
      </c>
      <c r="V786" s="40">
        <f t="shared" si="76"/>
        <v>0.03</v>
      </c>
      <c r="W786" s="40">
        <f t="shared" si="77"/>
        <v>-0.2876820724517809</v>
      </c>
    </row>
    <row r="787" spans="1:23" x14ac:dyDescent="0.2">
      <c r="A787" s="40" t="s">
        <v>1224</v>
      </c>
      <c r="B787" s="40">
        <v>12.69</v>
      </c>
      <c r="C787" s="40">
        <v>14.07</v>
      </c>
      <c r="D787" s="40">
        <v>12.15</v>
      </c>
      <c r="E787" s="40">
        <v>13.9</v>
      </c>
      <c r="G787" s="36">
        <v>44547</v>
      </c>
      <c r="H787" s="40">
        <v>14.76</v>
      </c>
      <c r="I787" s="40">
        <v>27.800999999999998</v>
      </c>
      <c r="J787" s="44"/>
      <c r="K787" s="40"/>
      <c r="L787" s="45">
        <v>14.76</v>
      </c>
      <c r="M787" s="46">
        <v>27.800999999999998</v>
      </c>
      <c r="N787" s="40">
        <f t="shared" si="72"/>
        <v>-0.24353052349673457</v>
      </c>
      <c r="O787" s="40">
        <f t="shared" si="73"/>
        <v>-2.0859302617721922E-2</v>
      </c>
      <c r="P787" s="40">
        <f t="shared" si="74"/>
        <v>-2.0643252192905276E-2</v>
      </c>
      <c r="Q787" s="40"/>
      <c r="R787" s="40"/>
      <c r="S787" t="s">
        <v>2416</v>
      </c>
      <c r="T787">
        <v>0.04</v>
      </c>
      <c r="U787" s="40">
        <f t="shared" si="75"/>
        <v>0.28768207245178101</v>
      </c>
      <c r="V787" s="40">
        <f t="shared" si="76"/>
        <v>0.04</v>
      </c>
      <c r="W787" s="40">
        <f t="shared" si="77"/>
        <v>0.28768207245178101</v>
      </c>
    </row>
    <row r="788" spans="1:23" x14ac:dyDescent="0.2">
      <c r="A788" s="40" t="s">
        <v>1225</v>
      </c>
      <c r="B788" s="40">
        <v>13.68</v>
      </c>
      <c r="C788" s="40">
        <v>14.36</v>
      </c>
      <c r="D788" s="40">
        <v>13.12</v>
      </c>
      <c r="E788" s="40">
        <v>13.25</v>
      </c>
      <c r="G788" s="36">
        <v>44546</v>
      </c>
      <c r="H788" s="40">
        <v>18.829999999999998</v>
      </c>
      <c r="I788" s="40">
        <v>28.387</v>
      </c>
      <c r="J788" s="44"/>
      <c r="K788" s="40"/>
      <c r="L788" s="45">
        <v>18.829999999999998</v>
      </c>
      <c r="M788" s="46">
        <v>28.387</v>
      </c>
      <c r="N788" s="40">
        <f t="shared" si="72"/>
        <v>-0.16509129523727514</v>
      </c>
      <c r="O788" s="40">
        <f t="shared" si="73"/>
        <v>-7.0450223096809456E-2</v>
      </c>
      <c r="P788" s="40">
        <f t="shared" si="74"/>
        <v>-6.8025870842772229E-2</v>
      </c>
      <c r="Q788" s="40"/>
      <c r="R788" s="40"/>
      <c r="S788" t="s">
        <v>2415</v>
      </c>
      <c r="T788">
        <v>0.03</v>
      </c>
      <c r="U788" s="40">
        <f t="shared" si="75"/>
        <v>1.0986122886681098</v>
      </c>
      <c r="V788" s="40">
        <f t="shared" si="76"/>
        <v>0.03</v>
      </c>
      <c r="W788" s="40">
        <f t="shared" si="77"/>
        <v>1.0986122886681098</v>
      </c>
    </row>
    <row r="789" spans="1:23" x14ac:dyDescent="0.2">
      <c r="A789" s="40" t="s">
        <v>1226</v>
      </c>
      <c r="B789" s="40">
        <v>13.08</v>
      </c>
      <c r="C789" s="40">
        <v>13.39</v>
      </c>
      <c r="D789" s="40">
        <v>12.6</v>
      </c>
      <c r="E789" s="40">
        <v>13.04</v>
      </c>
      <c r="G789" s="36">
        <v>44545</v>
      </c>
      <c r="H789" s="40">
        <v>22.21</v>
      </c>
      <c r="I789" s="40">
        <v>30.459</v>
      </c>
      <c r="J789" s="44"/>
      <c r="K789" s="40"/>
      <c r="L789" s="45">
        <v>22.21</v>
      </c>
      <c r="M789" s="46">
        <v>30.459</v>
      </c>
      <c r="N789" s="40">
        <f t="shared" si="72"/>
        <v>0.13785021843054515</v>
      </c>
      <c r="O789" s="40">
        <f t="shared" si="73"/>
        <v>7.2213145773262752E-2</v>
      </c>
      <c r="P789" s="40">
        <f t="shared" si="74"/>
        <v>7.4884426721247829E-2</v>
      </c>
      <c r="Q789" s="40"/>
      <c r="R789" s="40"/>
      <c r="S789" t="s">
        <v>2414</v>
      </c>
      <c r="T789">
        <v>0.01</v>
      </c>
      <c r="U789" s="40">
        <f t="shared" si="75"/>
        <v>0</v>
      </c>
      <c r="V789" s="40">
        <f t="shared" si="76"/>
        <v>0.01</v>
      </c>
      <c r="W789" s="40">
        <f t="shared" si="77"/>
        <v>0</v>
      </c>
    </row>
    <row r="790" spans="1:23" x14ac:dyDescent="0.2">
      <c r="A790" s="40" t="s">
        <v>1227</v>
      </c>
      <c r="B790" s="40">
        <v>14.32</v>
      </c>
      <c r="C790" s="40">
        <v>14.32</v>
      </c>
      <c r="D790" s="40">
        <v>13.24</v>
      </c>
      <c r="E790" s="40">
        <v>13.55</v>
      </c>
      <c r="G790" s="36">
        <v>44544</v>
      </c>
      <c r="H790" s="40">
        <v>19.350000000000001</v>
      </c>
      <c r="I790" s="40">
        <v>28.337</v>
      </c>
      <c r="J790" s="44"/>
      <c r="K790" s="40"/>
      <c r="L790" s="45">
        <v>19.350000000000001</v>
      </c>
      <c r="M790" s="46">
        <v>28.337</v>
      </c>
      <c r="N790" s="40">
        <f t="shared" si="72"/>
        <v>3.0965475897712185E-2</v>
      </c>
      <c r="O790" s="40">
        <f t="shared" si="73"/>
        <v>6.2303291909679712E-3</v>
      </c>
      <c r="P790" s="40">
        <f t="shared" si="74"/>
        <v>6.249778061858541E-3</v>
      </c>
      <c r="Q790" s="40"/>
      <c r="R790" s="40"/>
      <c r="S790" t="s">
        <v>2413</v>
      </c>
      <c r="T790">
        <v>0.01</v>
      </c>
      <c r="U790" s="40">
        <f t="shared" si="75"/>
        <v>-1.0986122886681096</v>
      </c>
      <c r="V790" s="40">
        <f t="shared" si="76"/>
        <v>0.01</v>
      </c>
      <c r="W790" s="40">
        <f t="shared" si="77"/>
        <v>-1.0986122886681096</v>
      </c>
    </row>
    <row r="791" spans="1:23" x14ac:dyDescent="0.2">
      <c r="A791" s="40" t="s">
        <v>1228</v>
      </c>
      <c r="B791" s="40">
        <v>13.34</v>
      </c>
      <c r="C791" s="40">
        <v>14.44</v>
      </c>
      <c r="D791" s="40">
        <v>12.81</v>
      </c>
      <c r="E791" s="40">
        <v>12.86</v>
      </c>
      <c r="G791" s="36">
        <v>44543</v>
      </c>
      <c r="H791" s="40">
        <v>18.760000000000002</v>
      </c>
      <c r="I791" s="40">
        <v>28.161000000000001</v>
      </c>
      <c r="J791" s="44"/>
      <c r="K791" s="40"/>
      <c r="L791" s="45">
        <v>18.760000000000002</v>
      </c>
      <c r="M791" s="46">
        <v>28.161000000000001</v>
      </c>
      <c r="N791" s="40">
        <f t="shared" si="72"/>
        <v>0.11153924253901852</v>
      </c>
      <c r="O791" s="40">
        <f t="shared" si="73"/>
        <v>-6.9837654999313478E-2</v>
      </c>
      <c r="P791" s="40">
        <f t="shared" si="74"/>
        <v>-6.7454798331015267E-2</v>
      </c>
      <c r="Q791" s="40"/>
      <c r="R791" s="40"/>
      <c r="S791" s="47">
        <v>44481</v>
      </c>
      <c r="T791">
        <v>0.03</v>
      </c>
      <c r="U791" s="40">
        <f t="shared" si="75"/>
        <v>0</v>
      </c>
      <c r="V791" s="40">
        <f t="shared" si="76"/>
        <v>0.03</v>
      </c>
      <c r="W791" s="40">
        <f t="shared" si="77"/>
        <v>0</v>
      </c>
    </row>
    <row r="792" spans="1:23" x14ac:dyDescent="0.2">
      <c r="A792" s="40" t="s">
        <v>1229</v>
      </c>
      <c r="B792" s="40">
        <v>12.93</v>
      </c>
      <c r="C792" s="40">
        <v>13.84</v>
      </c>
      <c r="D792" s="40">
        <v>12.49</v>
      </c>
      <c r="E792" s="40">
        <v>13.27</v>
      </c>
      <c r="G792" s="36">
        <v>44540</v>
      </c>
      <c r="H792" s="40">
        <v>16.78</v>
      </c>
      <c r="I792" s="40">
        <v>30.198</v>
      </c>
      <c r="J792" s="44"/>
      <c r="K792" s="40"/>
      <c r="L792" s="45">
        <v>16.78</v>
      </c>
      <c r="M792" s="46">
        <v>30.198</v>
      </c>
      <c r="N792" s="40">
        <f t="shared" si="72"/>
        <v>-0.22528666440974482</v>
      </c>
      <c r="O792" s="40">
        <f t="shared" si="73"/>
        <v>-9.6230639778854526E-3</v>
      </c>
      <c r="P792" s="40">
        <f t="shared" si="74"/>
        <v>-9.5769104624466393E-3</v>
      </c>
      <c r="Q792" s="40"/>
      <c r="R792" s="40"/>
      <c r="S792" s="47">
        <v>44451</v>
      </c>
      <c r="T792">
        <v>0.03</v>
      </c>
      <c r="U792" s="40">
        <f t="shared" si="75"/>
        <v>-0.2876820724517809</v>
      </c>
      <c r="V792" s="40">
        <f t="shared" si="76"/>
        <v>0.03</v>
      </c>
      <c r="W792" s="40">
        <f t="shared" si="77"/>
        <v>-0.2876820724517809</v>
      </c>
    </row>
    <row r="793" spans="1:23" x14ac:dyDescent="0.2">
      <c r="A793" s="40" t="s">
        <v>1230</v>
      </c>
      <c r="B793" s="40">
        <v>13.44</v>
      </c>
      <c r="C793" s="40">
        <v>13.76</v>
      </c>
      <c r="D793" s="40">
        <v>12.42</v>
      </c>
      <c r="E793" s="40">
        <v>12.42</v>
      </c>
      <c r="G793" s="36">
        <v>44539</v>
      </c>
      <c r="H793" s="40">
        <v>21.02</v>
      </c>
      <c r="I793" s="40">
        <v>30.49</v>
      </c>
      <c r="J793" s="44"/>
      <c r="K793" s="40"/>
      <c r="L793" s="45">
        <v>21.02</v>
      </c>
      <c r="M793" s="46">
        <v>30.49</v>
      </c>
      <c r="N793" s="40">
        <f t="shared" si="72"/>
        <v>0.12554380531109607</v>
      </c>
      <c r="O793" s="40">
        <f t="shared" si="73"/>
        <v>-4.2884804787828738E-2</v>
      </c>
      <c r="P793" s="40">
        <f t="shared" si="74"/>
        <v>-4.1978256771193427E-2</v>
      </c>
      <c r="Q793" s="40"/>
      <c r="R793" s="40"/>
      <c r="S793" s="47">
        <v>44420</v>
      </c>
      <c r="T793">
        <v>0.04</v>
      </c>
      <c r="U793" s="40">
        <f t="shared" si="75"/>
        <v>-0.22314355131420985</v>
      </c>
      <c r="V793" s="40">
        <f t="shared" si="76"/>
        <v>0.04</v>
      </c>
      <c r="W793" s="40">
        <f t="shared" si="77"/>
        <v>-0.22314355131420985</v>
      </c>
    </row>
    <row r="794" spans="1:23" x14ac:dyDescent="0.2">
      <c r="A794" s="40" t="s">
        <v>1231</v>
      </c>
      <c r="B794" s="40">
        <v>12.74</v>
      </c>
      <c r="C794" s="40">
        <v>14.21</v>
      </c>
      <c r="D794" s="40">
        <v>12.11</v>
      </c>
      <c r="E794" s="40">
        <v>13.03</v>
      </c>
      <c r="G794" s="36">
        <v>44538</v>
      </c>
      <c r="H794" s="40">
        <v>18.54</v>
      </c>
      <c r="I794" s="40">
        <v>31.826000000000001</v>
      </c>
      <c r="J794" s="44"/>
      <c r="K794" s="40"/>
      <c r="L794" s="45">
        <v>18.54</v>
      </c>
      <c r="M794" s="46">
        <v>31.826000000000001</v>
      </c>
      <c r="N794" s="40">
        <f t="shared" si="72"/>
        <v>0.16626984778344669</v>
      </c>
      <c r="O794" s="40">
        <f t="shared" si="73"/>
        <v>-1.8707843314183431E-2</v>
      </c>
      <c r="P794" s="40">
        <f t="shared" si="74"/>
        <v>-1.8533937767909431E-2</v>
      </c>
      <c r="Q794" s="40"/>
      <c r="R794" s="40"/>
      <c r="S794" s="47">
        <v>44389</v>
      </c>
      <c r="T794">
        <v>0.05</v>
      </c>
      <c r="U794" s="40">
        <f t="shared" si="75"/>
        <v>0</v>
      </c>
      <c r="V794" s="40">
        <f t="shared" si="76"/>
        <v>0.05</v>
      </c>
      <c r="W794" s="40">
        <f t="shared" si="77"/>
        <v>0</v>
      </c>
    </row>
    <row r="795" spans="1:23" x14ac:dyDescent="0.2">
      <c r="A795" s="41">
        <v>41701</v>
      </c>
      <c r="B795" s="40">
        <v>17.12</v>
      </c>
      <c r="C795" s="40">
        <v>17.739999999999998</v>
      </c>
      <c r="D795" s="40">
        <v>15.27</v>
      </c>
      <c r="E795" s="40">
        <v>16.21</v>
      </c>
      <c r="G795" s="36">
        <v>44537</v>
      </c>
      <c r="H795" s="40">
        <v>15.7</v>
      </c>
      <c r="I795" s="40">
        <v>32.427</v>
      </c>
      <c r="J795" s="44"/>
      <c r="K795" s="40"/>
      <c r="L795" s="45">
        <v>15.7</v>
      </c>
      <c r="M795" s="46">
        <v>32.427</v>
      </c>
      <c r="N795" s="40">
        <f t="shared" si="72"/>
        <v>-0.26627624989654591</v>
      </c>
      <c r="O795" s="40">
        <f t="shared" si="73"/>
        <v>7.656145403747458E-2</v>
      </c>
      <c r="P795" s="40">
        <f t="shared" si="74"/>
        <v>7.9568532143689474E-2</v>
      </c>
      <c r="Q795" s="40"/>
      <c r="R795" s="40"/>
      <c r="S795" s="47">
        <v>44359</v>
      </c>
      <c r="T795">
        <v>0.05</v>
      </c>
      <c r="U795" s="40">
        <f t="shared" si="75"/>
        <v>0.22314355131420976</v>
      </c>
      <c r="V795" s="40">
        <f t="shared" si="76"/>
        <v>0.05</v>
      </c>
      <c r="W795" s="40">
        <f t="shared" si="77"/>
        <v>0.22314355131420976</v>
      </c>
    </row>
    <row r="796" spans="1:23" x14ac:dyDescent="0.2">
      <c r="A796" s="41">
        <v>41732</v>
      </c>
      <c r="B796" s="40">
        <v>13.56</v>
      </c>
      <c r="C796" s="40">
        <v>13.69</v>
      </c>
      <c r="D796" s="40">
        <v>12.84</v>
      </c>
      <c r="E796" s="40">
        <v>13.22</v>
      </c>
      <c r="G796" s="36">
        <v>44536</v>
      </c>
      <c r="H796" s="40">
        <v>20.49</v>
      </c>
      <c r="I796" s="40">
        <v>30.036999999999999</v>
      </c>
      <c r="J796" s="44"/>
      <c r="K796" s="40"/>
      <c r="L796" s="45">
        <v>20.49</v>
      </c>
      <c r="M796" s="46">
        <v>30.036999999999999</v>
      </c>
      <c r="N796" s="40">
        <f t="shared" si="72"/>
        <v>0.15773608132133998</v>
      </c>
      <c r="O796" s="40">
        <f t="shared" si="73"/>
        <v>-2.1604660500211724E-2</v>
      </c>
      <c r="P796" s="40">
        <f t="shared" si="74"/>
        <v>-2.1372951487309885E-2</v>
      </c>
      <c r="Q796" s="40"/>
      <c r="R796" s="40"/>
      <c r="S796" s="47">
        <v>44267</v>
      </c>
      <c r="T796">
        <v>0.04</v>
      </c>
      <c r="U796" s="40">
        <f t="shared" si="75"/>
        <v>-0.22314355131420985</v>
      </c>
      <c r="V796" s="40">
        <f t="shared" si="76"/>
        <v>0.04</v>
      </c>
      <c r="W796" s="40">
        <f t="shared" si="77"/>
        <v>-0.22314355131420985</v>
      </c>
    </row>
    <row r="797" spans="1:23" x14ac:dyDescent="0.2">
      <c r="A797" s="41">
        <v>41762</v>
      </c>
      <c r="B797" s="40">
        <v>13.18</v>
      </c>
      <c r="C797" s="40">
        <v>13.52</v>
      </c>
      <c r="D797" s="40">
        <v>12.49</v>
      </c>
      <c r="E797" s="40">
        <v>12.49</v>
      </c>
      <c r="G797" s="36">
        <v>44533</v>
      </c>
      <c r="H797" s="40">
        <v>17.5</v>
      </c>
      <c r="I797" s="40">
        <v>30.693000000000001</v>
      </c>
      <c r="J797" s="44"/>
      <c r="K797" s="40"/>
      <c r="L797" s="45">
        <v>17.5</v>
      </c>
      <c r="M797" s="46">
        <v>30.693000000000001</v>
      </c>
      <c r="N797" s="40">
        <f t="shared" si="72"/>
        <v>-0.17419337434341223</v>
      </c>
      <c r="O797" s="40">
        <f t="shared" si="73"/>
        <v>-4.5631055570661674E-2</v>
      </c>
      <c r="P797" s="40">
        <f t="shared" si="74"/>
        <v>-4.4605615389404107E-2</v>
      </c>
      <c r="Q797" s="40"/>
      <c r="R797" s="40"/>
      <c r="S797" s="47">
        <v>44239</v>
      </c>
      <c r="T797">
        <v>0.05</v>
      </c>
      <c r="U797" s="40">
        <f t="shared" si="75"/>
        <v>-0.69314718055994529</v>
      </c>
      <c r="V797" s="40">
        <f t="shared" si="76"/>
        <v>0.05</v>
      </c>
      <c r="W797" s="40">
        <f t="shared" si="77"/>
        <v>-0.69314718055994529</v>
      </c>
    </row>
    <row r="798" spans="1:23" x14ac:dyDescent="0.2">
      <c r="A798" s="41">
        <v>41793</v>
      </c>
      <c r="B798" s="40">
        <v>12.49</v>
      </c>
      <c r="C798" s="40">
        <v>13.32</v>
      </c>
      <c r="D798" s="40">
        <v>12.49</v>
      </c>
      <c r="E798" s="40">
        <v>13.08</v>
      </c>
      <c r="G798" s="36">
        <v>44532</v>
      </c>
      <c r="H798" s="40">
        <v>20.83</v>
      </c>
      <c r="I798" s="40">
        <v>32.125999999999998</v>
      </c>
      <c r="J798" s="44"/>
      <c r="K798" s="40"/>
      <c r="L798" s="45">
        <v>20.83</v>
      </c>
      <c r="M798" s="46">
        <v>32.125999999999998</v>
      </c>
      <c r="N798" s="40">
        <f t="shared" si="72"/>
        <v>-0.2701260794473665</v>
      </c>
      <c r="O798" s="40">
        <f t="shared" si="73"/>
        <v>2.1743749300549856E-2</v>
      </c>
      <c r="P798" s="40">
        <f t="shared" si="74"/>
        <v>2.1981867345315698E-2</v>
      </c>
      <c r="Q798" s="40"/>
      <c r="R798" s="40"/>
      <c r="S798" s="47">
        <v>44208</v>
      </c>
      <c r="T798">
        <v>0.1</v>
      </c>
      <c r="U798" s="40">
        <f t="shared" si="75"/>
        <v>-9.5310179804324768E-2</v>
      </c>
      <c r="V798" s="40">
        <f t="shared" si="76"/>
        <v>0.1</v>
      </c>
      <c r="W798" s="40">
        <f t="shared" si="77"/>
        <v>-9.5310179804324768E-2</v>
      </c>
    </row>
    <row r="799" spans="1:23" x14ac:dyDescent="0.2">
      <c r="A799" s="41">
        <v>41823</v>
      </c>
      <c r="B799" s="40">
        <v>12.09</v>
      </c>
      <c r="C799" s="40">
        <v>13.72</v>
      </c>
      <c r="D799" s="40">
        <v>12.09</v>
      </c>
      <c r="E799" s="40">
        <v>12.74</v>
      </c>
      <c r="G799" s="36">
        <v>44531</v>
      </c>
      <c r="H799" s="40">
        <v>27.29</v>
      </c>
      <c r="I799" s="40">
        <v>31.434999999999999</v>
      </c>
      <c r="J799" s="44"/>
      <c r="K799" s="40"/>
      <c r="L799" s="45">
        <v>27.29</v>
      </c>
      <c r="M799" s="46">
        <v>31.434999999999999</v>
      </c>
      <c r="N799" s="40">
        <f t="shared" si="72"/>
        <v>-0.14979634616298787</v>
      </c>
      <c r="O799" s="40">
        <f t="shared" si="73"/>
        <v>-3.8718941644598485E-2</v>
      </c>
      <c r="P799" s="40">
        <f t="shared" si="74"/>
        <v>-3.7978944791284219E-2</v>
      </c>
      <c r="Q799" s="40"/>
      <c r="R799" s="40"/>
      <c r="S799" t="s">
        <v>2412</v>
      </c>
      <c r="T799">
        <v>0.11</v>
      </c>
      <c r="U799" s="40">
        <f t="shared" si="75"/>
        <v>0.45198512374305722</v>
      </c>
      <c r="V799" s="40">
        <f t="shared" si="76"/>
        <v>0.11</v>
      </c>
      <c r="W799" s="40">
        <f t="shared" si="77"/>
        <v>0.45198512374305722</v>
      </c>
    </row>
    <row r="800" spans="1:23" x14ac:dyDescent="0.2">
      <c r="A800" s="41">
        <v>41915</v>
      </c>
      <c r="B800" s="40">
        <v>14.57</v>
      </c>
      <c r="C800" s="40">
        <v>15.03</v>
      </c>
      <c r="D800" s="40">
        <v>13.11</v>
      </c>
      <c r="E800" s="40">
        <v>13.14</v>
      </c>
      <c r="G800" s="36">
        <v>44530</v>
      </c>
      <c r="H800" s="40">
        <v>31.7</v>
      </c>
      <c r="I800" s="40">
        <v>32.676000000000002</v>
      </c>
      <c r="J800" s="44"/>
      <c r="K800" s="40"/>
      <c r="L800" s="45">
        <v>31.7</v>
      </c>
      <c r="M800" s="46">
        <v>32.676000000000002</v>
      </c>
      <c r="N800" s="40">
        <f t="shared" si="72"/>
        <v>0.12268461871684561</v>
      </c>
      <c r="O800" s="40">
        <f t="shared" si="73"/>
        <v>-2.1196215338738954E-2</v>
      </c>
      <c r="P800" s="40">
        <f t="shared" si="74"/>
        <v>-2.097315436241598E-2</v>
      </c>
      <c r="Q800" s="40"/>
      <c r="R800" s="40"/>
      <c r="S800" t="s">
        <v>2411</v>
      </c>
      <c r="T800">
        <v>7.0000000000000007E-2</v>
      </c>
      <c r="U800" s="40">
        <f t="shared" si="75"/>
        <v>-0.4519851237430571</v>
      </c>
      <c r="V800" s="40">
        <f t="shared" si="76"/>
        <v>7.0000000000000007E-2</v>
      </c>
      <c r="W800" s="40">
        <f t="shared" si="77"/>
        <v>-0.4519851237430571</v>
      </c>
    </row>
    <row r="801" spans="1:23" x14ac:dyDescent="0.2">
      <c r="A801" s="41">
        <v>41946</v>
      </c>
      <c r="B801" s="40">
        <v>13.4</v>
      </c>
      <c r="C801" s="40">
        <v>14.57</v>
      </c>
      <c r="D801" s="40">
        <v>12.77</v>
      </c>
      <c r="E801" s="40">
        <v>14.13</v>
      </c>
      <c r="G801" s="36">
        <v>44529</v>
      </c>
      <c r="H801" s="40">
        <v>28.04</v>
      </c>
      <c r="I801" s="40">
        <v>33.375999999999998</v>
      </c>
      <c r="J801" s="44"/>
      <c r="K801" s="40"/>
      <c r="L801" s="45">
        <v>28.04</v>
      </c>
      <c r="M801" s="46">
        <v>33.375999999999998</v>
      </c>
      <c r="N801" s="40">
        <f t="shared" si="72"/>
        <v>-0.19066751662974943</v>
      </c>
      <c r="O801" s="40">
        <f t="shared" si="73"/>
        <v>5.7754299426395886E-2</v>
      </c>
      <c r="P801" s="40">
        <f t="shared" si="74"/>
        <v>5.9454655112211457E-2</v>
      </c>
      <c r="Q801" s="40"/>
      <c r="R801" s="40"/>
      <c r="S801" t="s">
        <v>2410</v>
      </c>
      <c r="T801">
        <v>0.11</v>
      </c>
      <c r="U801" s="40">
        <f t="shared" si="75"/>
        <v>-0.2411620568168881</v>
      </c>
      <c r="V801" s="40">
        <f t="shared" si="76"/>
        <v>0.11</v>
      </c>
      <c r="W801" s="40">
        <f t="shared" si="77"/>
        <v>-0.2411620568168881</v>
      </c>
    </row>
    <row r="802" spans="1:23" x14ac:dyDescent="0.2">
      <c r="A802" s="41">
        <v>41976</v>
      </c>
      <c r="B802" s="40">
        <v>15.35</v>
      </c>
      <c r="C802" s="40">
        <v>15.76</v>
      </c>
      <c r="D802" s="40">
        <v>13.84</v>
      </c>
      <c r="E802" s="40">
        <v>13.85</v>
      </c>
      <c r="G802" s="36">
        <v>44526</v>
      </c>
      <c r="H802" s="40">
        <v>33.93</v>
      </c>
      <c r="I802" s="40">
        <v>31.503</v>
      </c>
      <c r="J802" s="44"/>
      <c r="K802" s="40"/>
      <c r="L802" s="45">
        <v>33.93</v>
      </c>
      <c r="M802" s="46">
        <v>31.503</v>
      </c>
      <c r="N802" s="40">
        <f t="shared" si="72"/>
        <v>0.17861490706424227</v>
      </c>
      <c r="O802" s="40">
        <f t="shared" si="73"/>
        <v>-3.6496875212350809E-2</v>
      </c>
      <c r="P802" s="40">
        <f t="shared" si="74"/>
        <v>-3.5838893309665158E-2</v>
      </c>
      <c r="Q802" s="40"/>
      <c r="R802" s="40"/>
      <c r="S802" t="s">
        <v>2409</v>
      </c>
      <c r="T802">
        <v>0.14000000000000001</v>
      </c>
      <c r="U802" s="40">
        <f t="shared" si="75"/>
        <v>0.84729786038720367</v>
      </c>
      <c r="V802" s="40">
        <f t="shared" si="76"/>
        <v>0.14000000000000001</v>
      </c>
      <c r="W802" s="40">
        <f t="shared" si="77"/>
        <v>0.84729786038720367</v>
      </c>
    </row>
    <row r="803" spans="1:23" x14ac:dyDescent="0.2">
      <c r="A803" s="40" t="s">
        <v>1232</v>
      </c>
      <c r="B803" s="40">
        <v>13.79</v>
      </c>
      <c r="C803" s="40">
        <v>18.16</v>
      </c>
      <c r="D803" s="40">
        <v>13.65</v>
      </c>
      <c r="E803" s="40">
        <v>17.21</v>
      </c>
      <c r="G803" s="36">
        <v>44524</v>
      </c>
      <c r="H803" s="40">
        <v>28.38</v>
      </c>
      <c r="I803" s="40">
        <v>32.673999999999999</v>
      </c>
      <c r="J803" s="44"/>
      <c r="K803" s="40"/>
      <c r="L803" s="45">
        <v>28.38</v>
      </c>
      <c r="M803" s="46">
        <v>32.673999999999999</v>
      </c>
      <c r="N803" s="40">
        <f t="shared" si="72"/>
        <v>0.28089286224641102</v>
      </c>
      <c r="O803" s="40">
        <f t="shared" si="73"/>
        <v>2.8812921454267091E-2</v>
      </c>
      <c r="P803" s="40">
        <f t="shared" si="74"/>
        <v>2.923202923202926E-2</v>
      </c>
      <c r="Q803" s="40"/>
      <c r="R803" s="40"/>
      <c r="S803" t="s">
        <v>2408</v>
      </c>
      <c r="T803">
        <v>0.06</v>
      </c>
      <c r="U803" s="40">
        <f t="shared" si="75"/>
        <v>-0.1541506798272585</v>
      </c>
      <c r="V803" s="40">
        <f t="shared" si="76"/>
        <v>0.06</v>
      </c>
      <c r="W803" s="40">
        <f t="shared" si="77"/>
        <v>-0.1541506798272585</v>
      </c>
    </row>
    <row r="804" spans="1:23" x14ac:dyDescent="0.2">
      <c r="A804" s="40" t="s">
        <v>1233</v>
      </c>
      <c r="B804" s="40">
        <v>18.3</v>
      </c>
      <c r="C804" s="40">
        <v>21.44</v>
      </c>
      <c r="D804" s="40">
        <v>17.2</v>
      </c>
      <c r="E804" s="40">
        <v>20.64</v>
      </c>
      <c r="G804" s="36">
        <v>44523</v>
      </c>
      <c r="H804" s="40">
        <v>21.43</v>
      </c>
      <c r="I804" s="40">
        <v>31.745999999999999</v>
      </c>
      <c r="J804" s="44"/>
      <c r="K804" s="40"/>
      <c r="L804" s="45">
        <v>21.43</v>
      </c>
      <c r="M804" s="46">
        <v>31.745999999999999</v>
      </c>
      <c r="N804" s="40">
        <f t="shared" si="72"/>
        <v>-0.35620819947284948</v>
      </c>
      <c r="O804" s="40">
        <f t="shared" si="73"/>
        <v>-6.5932234697458564E-3</v>
      </c>
      <c r="P804" s="40">
        <f t="shared" si="74"/>
        <v>-6.5715358618100156E-3</v>
      </c>
      <c r="Q804" s="40"/>
      <c r="R804" s="40"/>
      <c r="S804" t="s">
        <v>2407</v>
      </c>
      <c r="T804">
        <v>7.0000000000000007E-2</v>
      </c>
      <c r="U804" s="40">
        <f t="shared" si="75"/>
        <v>-0.4519851237430571</v>
      </c>
      <c r="V804" s="40">
        <f t="shared" si="76"/>
        <v>7.0000000000000007E-2</v>
      </c>
      <c r="W804" s="40">
        <f t="shared" si="77"/>
        <v>-0.4519851237430571</v>
      </c>
    </row>
    <row r="805" spans="1:23" x14ac:dyDescent="0.2">
      <c r="A805" s="40" t="s">
        <v>1234</v>
      </c>
      <c r="B805" s="40">
        <v>18.34</v>
      </c>
      <c r="C805" s="40">
        <v>18.34</v>
      </c>
      <c r="D805" s="40">
        <v>15.87</v>
      </c>
      <c r="E805" s="40">
        <v>15.87</v>
      </c>
      <c r="G805" s="36">
        <v>44522</v>
      </c>
      <c r="H805" s="40">
        <v>30.6</v>
      </c>
      <c r="I805" s="40">
        <v>31.956</v>
      </c>
      <c r="J805" s="44"/>
      <c r="K805" s="40"/>
      <c r="L805" s="45">
        <v>30.6</v>
      </c>
      <c r="M805" s="46">
        <v>31.956</v>
      </c>
      <c r="N805" s="40">
        <f t="shared" si="72"/>
        <v>0.72502238909039429</v>
      </c>
      <c r="O805" s="40">
        <f t="shared" si="73"/>
        <v>-3.1692956055038739E-2</v>
      </c>
      <c r="P805" s="40">
        <f t="shared" si="74"/>
        <v>-3.1195998180991356E-2</v>
      </c>
      <c r="Q805" s="40"/>
      <c r="R805" s="40"/>
      <c r="S805" t="s">
        <v>2406</v>
      </c>
      <c r="T805">
        <v>0.11</v>
      </c>
      <c r="U805" s="40">
        <f t="shared" si="75"/>
        <v>-8.7011376989629685E-2</v>
      </c>
      <c r="V805" s="40">
        <f t="shared" si="76"/>
        <v>0.11</v>
      </c>
      <c r="W805" s="40">
        <f t="shared" si="77"/>
        <v>-8.7011376989629685E-2</v>
      </c>
    </row>
    <row r="806" spans="1:23" x14ac:dyDescent="0.2">
      <c r="A806" s="40" t="s">
        <v>1235</v>
      </c>
      <c r="B806" s="40">
        <v>15.35</v>
      </c>
      <c r="C806" s="40">
        <v>15.54</v>
      </c>
      <c r="D806" s="40">
        <v>13.5</v>
      </c>
      <c r="E806" s="40">
        <v>14.23</v>
      </c>
      <c r="G806" s="36">
        <v>44519</v>
      </c>
      <c r="H806" s="40">
        <v>14.82</v>
      </c>
      <c r="I806" s="40">
        <v>32.984999999999999</v>
      </c>
      <c r="J806" s="44"/>
      <c r="K806" s="40"/>
      <c r="L806" s="45">
        <v>14.82</v>
      </c>
      <c r="M806" s="46">
        <v>32.984999999999999</v>
      </c>
      <c r="N806" s="40">
        <f t="shared" si="72"/>
        <v>-9.825027747532164E-2</v>
      </c>
      <c r="O806" s="40">
        <f t="shared" si="73"/>
        <v>4.052518646763132E-2</v>
      </c>
      <c r="P806" s="40">
        <f t="shared" si="74"/>
        <v>4.1357537490134134E-2</v>
      </c>
      <c r="Q806" s="40"/>
      <c r="R806" s="40"/>
      <c r="S806" t="s">
        <v>2405</v>
      </c>
      <c r="T806">
        <v>0.12</v>
      </c>
      <c r="U806" s="40">
        <f t="shared" si="75"/>
        <v>0.69314718055994529</v>
      </c>
      <c r="V806" s="40">
        <f t="shared" si="76"/>
        <v>0.12</v>
      </c>
      <c r="W806" s="40">
        <f t="shared" si="77"/>
        <v>0.69314718055994529</v>
      </c>
    </row>
    <row r="807" spans="1:23" x14ac:dyDescent="0.2">
      <c r="A807" s="40" t="s">
        <v>1236</v>
      </c>
      <c r="B807" s="40">
        <v>14.26</v>
      </c>
      <c r="C807" s="40">
        <v>16.36</v>
      </c>
      <c r="D807" s="40">
        <v>11.79</v>
      </c>
      <c r="E807" s="40">
        <v>15</v>
      </c>
      <c r="G807" s="36">
        <v>44518</v>
      </c>
      <c r="H807" s="40">
        <v>16.350000000000001</v>
      </c>
      <c r="I807" s="40">
        <v>31.675000000000001</v>
      </c>
      <c r="J807" s="44"/>
      <c r="K807" s="40"/>
      <c r="L807" s="45">
        <v>16.350000000000001</v>
      </c>
      <c r="M807" s="46">
        <v>31.675000000000001</v>
      </c>
      <c r="N807" s="40">
        <f t="shared" si="72"/>
        <v>1.7896188824646855E-2</v>
      </c>
      <c r="O807" s="40">
        <f t="shared" si="73"/>
        <v>7.9272154849256912E-2</v>
      </c>
      <c r="P807" s="40">
        <f t="shared" si="74"/>
        <v>8.249888930658561E-2</v>
      </c>
      <c r="Q807" s="40"/>
      <c r="R807" s="40"/>
      <c r="S807" t="s">
        <v>2404</v>
      </c>
      <c r="T807">
        <v>0.06</v>
      </c>
      <c r="U807" s="40">
        <f t="shared" si="75"/>
        <v>0</v>
      </c>
      <c r="V807" s="40">
        <f t="shared" si="76"/>
        <v>0.06</v>
      </c>
      <c r="W807" s="40">
        <f t="shared" si="77"/>
        <v>0</v>
      </c>
    </row>
    <row r="808" spans="1:23" x14ac:dyDescent="0.2">
      <c r="A808" s="40" t="s">
        <v>1237</v>
      </c>
      <c r="B808" s="40">
        <v>15.29</v>
      </c>
      <c r="C808" s="40">
        <v>15.64</v>
      </c>
      <c r="D808" s="40">
        <v>14.15</v>
      </c>
      <c r="E808" s="40">
        <v>14.22</v>
      </c>
      <c r="G808" s="36">
        <v>44517</v>
      </c>
      <c r="H808" s="40">
        <v>16.059999999999999</v>
      </c>
      <c r="I808" s="40">
        <v>29.260999999999999</v>
      </c>
      <c r="J808" s="44"/>
      <c r="K808" s="40"/>
      <c r="L808" s="45">
        <v>16.059999999999999</v>
      </c>
      <c r="M808" s="46">
        <v>29.260999999999999</v>
      </c>
      <c r="N808" s="40">
        <f t="shared" si="72"/>
        <v>0.25461108560789891</v>
      </c>
      <c r="O808" s="40">
        <f t="shared" si="73"/>
        <v>-3.1685685837554968E-2</v>
      </c>
      <c r="P808" s="40">
        <f t="shared" si="74"/>
        <v>-3.1188954739595411E-2</v>
      </c>
      <c r="Q808" s="40"/>
      <c r="R808" s="40"/>
      <c r="S808" t="s">
        <v>2403</v>
      </c>
      <c r="T808">
        <v>0.06</v>
      </c>
      <c r="U808" s="40">
        <f t="shared" si="75"/>
        <v>0</v>
      </c>
      <c r="V808" s="40">
        <f t="shared" si="76"/>
        <v>0.06</v>
      </c>
      <c r="W808" s="40">
        <f t="shared" si="77"/>
        <v>0</v>
      </c>
    </row>
    <row r="809" spans="1:23" x14ac:dyDescent="0.2">
      <c r="A809" s="40" t="s">
        <v>1238</v>
      </c>
      <c r="B809" s="40">
        <v>12.92</v>
      </c>
      <c r="C809" s="40">
        <v>15.12</v>
      </c>
      <c r="D809" s="40">
        <v>12.65</v>
      </c>
      <c r="E809" s="40">
        <v>14.7</v>
      </c>
      <c r="G809" s="36">
        <v>44516</v>
      </c>
      <c r="H809" s="40">
        <v>12.45</v>
      </c>
      <c r="I809" s="40">
        <v>30.202999999999999</v>
      </c>
      <c r="J809" s="44"/>
      <c r="K809" s="40"/>
      <c r="L809" s="45">
        <v>12.45</v>
      </c>
      <c r="M809" s="46">
        <v>30.202999999999999</v>
      </c>
      <c r="N809" s="40">
        <f t="shared" si="72"/>
        <v>1.6077173880968793E-3</v>
      </c>
      <c r="O809" s="40">
        <f t="shared" si="73"/>
        <v>5.9108892294536981E-3</v>
      </c>
      <c r="P809" s="40">
        <f t="shared" si="74"/>
        <v>5.928393005828504E-3</v>
      </c>
      <c r="Q809" s="40"/>
      <c r="R809" s="40"/>
      <c r="S809" t="s">
        <v>2402</v>
      </c>
      <c r="T809">
        <v>0.06</v>
      </c>
      <c r="U809" s="40">
        <f t="shared" si="75"/>
        <v>0.18232155679395459</v>
      </c>
      <c r="V809" s="40">
        <f t="shared" si="76"/>
        <v>0.06</v>
      </c>
      <c r="W809" s="40">
        <f t="shared" si="77"/>
        <v>0.18232155679395459</v>
      </c>
    </row>
    <row r="810" spans="1:23" x14ac:dyDescent="0.2">
      <c r="A810" s="40" t="s">
        <v>1239</v>
      </c>
      <c r="B810" s="40">
        <v>14.88</v>
      </c>
      <c r="C810" s="40">
        <v>17.440000000000001</v>
      </c>
      <c r="D810" s="40">
        <v>14.72</v>
      </c>
      <c r="E810" s="40">
        <v>15.3</v>
      </c>
      <c r="G810" s="36">
        <v>44515</v>
      </c>
      <c r="H810" s="40">
        <v>12.43</v>
      </c>
      <c r="I810" s="40">
        <v>30.024999999999999</v>
      </c>
      <c r="J810" s="44"/>
      <c r="K810" s="40"/>
      <c r="L810" s="45">
        <v>12.43</v>
      </c>
      <c r="M810" s="46">
        <v>30.024999999999999</v>
      </c>
      <c r="N810" s="40">
        <f t="shared" si="72"/>
        <v>7.6896682788828483E-2</v>
      </c>
      <c r="O810" s="40">
        <f t="shared" si="73"/>
        <v>-1.2083238962654489E-2</v>
      </c>
      <c r="P810" s="40">
        <f t="shared" si="74"/>
        <v>-1.2010529779532807E-2</v>
      </c>
      <c r="Q810" s="40"/>
      <c r="R810" s="40"/>
      <c r="S810" s="47">
        <v>44541</v>
      </c>
      <c r="T810">
        <v>0.05</v>
      </c>
      <c r="U810" s="40">
        <f t="shared" si="75"/>
        <v>-0.18232155679395459</v>
      </c>
      <c r="V810" s="40">
        <f t="shared" si="76"/>
        <v>0.05</v>
      </c>
      <c r="W810" s="40">
        <f t="shared" si="77"/>
        <v>-0.18232155679395459</v>
      </c>
    </row>
    <row r="811" spans="1:23" x14ac:dyDescent="0.2">
      <c r="A811" s="40" t="s">
        <v>1240</v>
      </c>
      <c r="B811" s="40">
        <v>13.94</v>
      </c>
      <c r="C811" s="40">
        <v>15.4</v>
      </c>
      <c r="D811" s="40">
        <v>13.24</v>
      </c>
      <c r="E811" s="40">
        <v>13.87</v>
      </c>
      <c r="G811" s="36">
        <v>44512</v>
      </c>
      <c r="H811" s="40">
        <v>11.51</v>
      </c>
      <c r="I811" s="40">
        <v>30.39</v>
      </c>
      <c r="J811" s="44"/>
      <c r="K811" s="40"/>
      <c r="L811" s="45">
        <v>11.51</v>
      </c>
      <c r="M811" s="46">
        <v>30.39</v>
      </c>
      <c r="N811" s="40">
        <f t="shared" si="72"/>
        <v>-3.6677885230664703E-2</v>
      </c>
      <c r="O811" s="40">
        <f t="shared" si="73"/>
        <v>0</v>
      </c>
      <c r="P811" s="40">
        <f t="shared" si="74"/>
        <v>0</v>
      </c>
      <c r="Q811" s="40"/>
      <c r="R811" s="40"/>
      <c r="S811" s="47">
        <v>44480</v>
      </c>
      <c r="T811">
        <v>0.06</v>
      </c>
      <c r="U811" s="40">
        <f t="shared" si="75"/>
        <v>0.40546510810816438</v>
      </c>
      <c r="V811" s="40">
        <f t="shared" si="76"/>
        <v>0.06</v>
      </c>
      <c r="W811" s="40">
        <f t="shared" si="77"/>
        <v>0.40546510810816438</v>
      </c>
    </row>
    <row r="812" spans="1:23" x14ac:dyDescent="0.2">
      <c r="A812" s="40" t="s">
        <v>1241</v>
      </c>
      <c r="B812" s="40">
        <v>13.23</v>
      </c>
      <c r="C812" s="40">
        <v>15.76</v>
      </c>
      <c r="D812" s="40">
        <v>13.1</v>
      </c>
      <c r="E812" s="40">
        <v>15.56</v>
      </c>
      <c r="G812" s="36">
        <v>44511</v>
      </c>
      <c r="H812" s="40">
        <v>11.94</v>
      </c>
      <c r="I812" s="40">
        <v>30.39</v>
      </c>
      <c r="J812" s="44"/>
      <c r="K812" s="40"/>
      <c r="L812" s="45">
        <v>11.94</v>
      </c>
      <c r="M812" s="46">
        <v>30.39</v>
      </c>
      <c r="N812" s="40">
        <f t="shared" si="72"/>
        <v>-2.1541843774754803E-2</v>
      </c>
      <c r="O812" s="40">
        <f t="shared" si="73"/>
        <v>3.1114140801636079E-2</v>
      </c>
      <c r="P812" s="40">
        <f t="shared" si="74"/>
        <v>3.1603245188227741E-2</v>
      </c>
      <c r="Q812" s="40"/>
      <c r="R812" s="40"/>
      <c r="S812" s="47">
        <v>44450</v>
      </c>
      <c r="T812">
        <v>0.04</v>
      </c>
      <c r="U812" s="40">
        <f t="shared" si="75"/>
        <v>0</v>
      </c>
      <c r="V812" s="40">
        <f t="shared" si="76"/>
        <v>0.04</v>
      </c>
      <c r="W812" s="40">
        <f t="shared" si="77"/>
        <v>0</v>
      </c>
    </row>
    <row r="813" spans="1:23" x14ac:dyDescent="0.2">
      <c r="A813" s="40" t="s">
        <v>1242</v>
      </c>
      <c r="B813" s="40">
        <v>15.33</v>
      </c>
      <c r="C813" s="40">
        <v>16.46</v>
      </c>
      <c r="D813" s="40">
        <v>14.87</v>
      </c>
      <c r="E813" s="40">
        <v>15.17</v>
      </c>
      <c r="G813" s="36">
        <v>44510</v>
      </c>
      <c r="H813" s="40">
        <v>12.2</v>
      </c>
      <c r="I813" s="40">
        <v>29.459</v>
      </c>
      <c r="J813" s="44"/>
      <c r="K813" s="40"/>
      <c r="L813" s="45">
        <v>12.2</v>
      </c>
      <c r="M813" s="46">
        <v>29.459</v>
      </c>
      <c r="N813" s="40">
        <f t="shared" si="72"/>
        <v>1.7362982699787914E-2</v>
      </c>
      <c r="O813" s="40">
        <f t="shared" si="73"/>
        <v>-3.9861555171116066E-2</v>
      </c>
      <c r="P813" s="40">
        <f t="shared" si="74"/>
        <v>-3.9077535310043397E-2</v>
      </c>
      <c r="Q813" s="40"/>
      <c r="R813" s="40"/>
      <c r="S813" s="47">
        <v>44419</v>
      </c>
      <c r="T813">
        <v>0.04</v>
      </c>
      <c r="U813" s="40">
        <f t="shared" si="75"/>
        <v>-0.22314355131420985</v>
      </c>
      <c r="V813" s="40">
        <f t="shared" si="76"/>
        <v>0.04</v>
      </c>
      <c r="W813" s="40">
        <f t="shared" si="77"/>
        <v>-0.22314355131420985</v>
      </c>
    </row>
    <row r="814" spans="1:23" x14ac:dyDescent="0.2">
      <c r="A814" s="40" t="s">
        <v>1243</v>
      </c>
      <c r="B814" s="40">
        <v>14.28</v>
      </c>
      <c r="C814" s="40">
        <v>15.31</v>
      </c>
      <c r="D814" s="40">
        <v>13.6</v>
      </c>
      <c r="E814" s="40">
        <v>14.41</v>
      </c>
      <c r="G814" s="36">
        <v>44509</v>
      </c>
      <c r="H814" s="40">
        <v>11.99</v>
      </c>
      <c r="I814" s="40">
        <v>30.657</v>
      </c>
      <c r="J814" s="44"/>
      <c r="K814" s="40"/>
      <c r="L814" s="45">
        <v>11.99</v>
      </c>
      <c r="M814" s="46">
        <v>30.657</v>
      </c>
      <c r="N814" s="40">
        <f t="shared" si="72"/>
        <v>-0.17618656822643869</v>
      </c>
      <c r="O814" s="40">
        <f t="shared" si="73"/>
        <v>-4.783530378821863E-3</v>
      </c>
      <c r="P814" s="40">
        <f t="shared" si="74"/>
        <v>-4.7721075185040412E-3</v>
      </c>
      <c r="Q814" s="40"/>
      <c r="R814" s="40"/>
      <c r="S814" s="47">
        <v>44327</v>
      </c>
      <c r="T814">
        <v>0.05</v>
      </c>
      <c r="U814" s="40">
        <f t="shared" si="75"/>
        <v>0</v>
      </c>
      <c r="V814" s="40">
        <f t="shared" si="76"/>
        <v>0.05</v>
      </c>
      <c r="W814" s="40">
        <f t="shared" si="77"/>
        <v>0</v>
      </c>
    </row>
    <row r="815" spans="1:23" x14ac:dyDescent="0.2">
      <c r="A815" s="40" t="s">
        <v>1244</v>
      </c>
      <c r="B815" s="40">
        <v>14.09</v>
      </c>
      <c r="C815" s="40">
        <v>14.33</v>
      </c>
      <c r="D815" s="40">
        <v>13.27</v>
      </c>
      <c r="E815" s="40">
        <v>13.75</v>
      </c>
      <c r="G815" s="36">
        <v>44508</v>
      </c>
      <c r="H815" s="40">
        <v>14.3</v>
      </c>
      <c r="I815" s="40">
        <v>30.803999999999998</v>
      </c>
      <c r="J815" s="44"/>
      <c r="K815" s="40"/>
      <c r="L815" s="45">
        <v>14.3</v>
      </c>
      <c r="M815" s="46">
        <v>30.803999999999998</v>
      </c>
      <c r="N815" s="40">
        <f t="shared" si="72"/>
        <v>-0.10919929196499184</v>
      </c>
      <c r="O815" s="40">
        <f t="shared" si="73"/>
        <v>3.4748195054234772E-2</v>
      </c>
      <c r="P815" s="40">
        <f t="shared" si="74"/>
        <v>3.5358967464372129E-2</v>
      </c>
      <c r="Q815" s="40"/>
      <c r="R815" s="40"/>
      <c r="S815" s="47">
        <v>44297</v>
      </c>
      <c r="T815">
        <v>0.05</v>
      </c>
      <c r="U815" s="40">
        <f t="shared" si="75"/>
        <v>0</v>
      </c>
      <c r="V815" s="40">
        <f t="shared" si="76"/>
        <v>0.05</v>
      </c>
      <c r="W815" s="40">
        <f t="shared" si="77"/>
        <v>0</v>
      </c>
    </row>
    <row r="816" spans="1:23" x14ac:dyDescent="0.2">
      <c r="A816" s="41">
        <v>41643</v>
      </c>
      <c r="B816" s="40">
        <v>13.09</v>
      </c>
      <c r="C816" s="40">
        <v>13.34</v>
      </c>
      <c r="D816" s="40">
        <v>12.24</v>
      </c>
      <c r="E816" s="40">
        <v>12.29</v>
      </c>
      <c r="G816" s="36">
        <v>44505</v>
      </c>
      <c r="H816" s="40">
        <v>15.95</v>
      </c>
      <c r="I816" s="40">
        <v>29.751999999999999</v>
      </c>
      <c r="J816" s="44"/>
      <c r="K816" s="40"/>
      <c r="L816" s="45">
        <v>15.95</v>
      </c>
      <c r="M816" s="46">
        <v>29.751999999999999</v>
      </c>
      <c r="N816" s="40">
        <f t="shared" si="72"/>
        <v>4.8821512623172095E-2</v>
      </c>
      <c r="O816" s="40">
        <f t="shared" si="73"/>
        <v>-1.6455933725446042E-3</v>
      </c>
      <c r="P816" s="40">
        <f t="shared" si="74"/>
        <v>-1.6442401261702456E-3</v>
      </c>
      <c r="Q816" s="40"/>
      <c r="R816" s="40"/>
      <c r="S816" s="47">
        <v>44266</v>
      </c>
      <c r="T816">
        <v>0.05</v>
      </c>
      <c r="U816" s="40">
        <f t="shared" si="75"/>
        <v>0</v>
      </c>
      <c r="V816" s="40">
        <f t="shared" si="76"/>
        <v>0.05</v>
      </c>
      <c r="W816" s="40">
        <f t="shared" si="77"/>
        <v>0</v>
      </c>
    </row>
    <row r="817" spans="1:23" x14ac:dyDescent="0.2">
      <c r="A817" s="41">
        <v>41674</v>
      </c>
      <c r="B817" s="40">
        <v>12.39</v>
      </c>
      <c r="C817" s="40">
        <v>12.63</v>
      </c>
      <c r="D817" s="40">
        <v>11.88</v>
      </c>
      <c r="E817" s="40">
        <v>12.13</v>
      </c>
      <c r="G817" s="36">
        <v>44504</v>
      </c>
      <c r="H817" s="40">
        <v>15.19</v>
      </c>
      <c r="I817" s="40">
        <v>29.800999999999998</v>
      </c>
      <c r="J817" s="44"/>
      <c r="K817" s="40"/>
      <c r="L817" s="45">
        <v>15.19</v>
      </c>
      <c r="M817" s="46">
        <v>29.800999999999998</v>
      </c>
      <c r="N817" s="40">
        <f t="shared" si="72"/>
        <v>5.1327943821902054E-2</v>
      </c>
      <c r="O817" s="40">
        <f t="shared" si="73"/>
        <v>0.11370592500434197</v>
      </c>
      <c r="P817" s="40">
        <f t="shared" si="74"/>
        <v>0.12042258816452363</v>
      </c>
      <c r="Q817" s="40"/>
      <c r="R817" s="40"/>
      <c r="S817" s="47">
        <v>44238</v>
      </c>
      <c r="T817">
        <v>0.05</v>
      </c>
      <c r="U817" s="40">
        <f t="shared" si="75"/>
        <v>0</v>
      </c>
      <c r="V817" s="40">
        <f t="shared" si="76"/>
        <v>0.05</v>
      </c>
      <c r="W817" s="40">
        <f t="shared" si="77"/>
        <v>0</v>
      </c>
    </row>
    <row r="818" spans="1:23" x14ac:dyDescent="0.2">
      <c r="A818" s="41">
        <v>41702</v>
      </c>
      <c r="B818" s="40">
        <v>12.07</v>
      </c>
      <c r="C818" s="40">
        <v>12.78</v>
      </c>
      <c r="D818" s="40">
        <v>11.91</v>
      </c>
      <c r="E818" s="40">
        <v>12.53</v>
      </c>
      <c r="G818" s="36">
        <v>44503</v>
      </c>
      <c r="H818" s="40">
        <v>14.43</v>
      </c>
      <c r="I818" s="40">
        <v>26.597999999999999</v>
      </c>
      <c r="J818" s="44"/>
      <c r="K818" s="40"/>
      <c r="L818" s="45">
        <v>14.43</v>
      </c>
      <c r="M818" s="46">
        <v>26.597999999999999</v>
      </c>
      <c r="N818" s="40">
        <f t="shared" si="72"/>
        <v>9.2887614162005819E-2</v>
      </c>
      <c r="O818" s="40">
        <f t="shared" si="73"/>
        <v>7.434136768205311E-3</v>
      </c>
      <c r="P818" s="40">
        <f t="shared" si="74"/>
        <v>7.4618385667209264E-3</v>
      </c>
      <c r="Q818" s="40"/>
      <c r="R818" s="40"/>
      <c r="S818" s="47">
        <v>44207</v>
      </c>
      <c r="T818">
        <v>0.05</v>
      </c>
      <c r="U818" s="40">
        <f t="shared" si="75"/>
        <v>-0.18232155679395459</v>
      </c>
      <c r="V818" s="40">
        <f t="shared" si="76"/>
        <v>0.05</v>
      </c>
      <c r="W818" s="40">
        <f t="shared" si="77"/>
        <v>-0.18232155679395459</v>
      </c>
    </row>
    <row r="819" spans="1:23" x14ac:dyDescent="0.2">
      <c r="A819" s="41">
        <v>41733</v>
      </c>
      <c r="B819" s="40">
        <v>11.63</v>
      </c>
      <c r="C819" s="40">
        <v>14.33</v>
      </c>
      <c r="D819" s="40">
        <v>11.31</v>
      </c>
      <c r="E819" s="40">
        <v>13.18</v>
      </c>
      <c r="G819" s="36">
        <v>44502</v>
      </c>
      <c r="H819" s="40">
        <v>13.15</v>
      </c>
      <c r="I819" s="40">
        <v>26.401</v>
      </c>
      <c r="J819" s="44"/>
      <c r="K819" s="40"/>
      <c r="L819" s="45">
        <v>13.15</v>
      </c>
      <c r="M819" s="46">
        <v>26.401</v>
      </c>
      <c r="N819" s="40">
        <f t="shared" si="72"/>
        <v>8.4002021252666693E-3</v>
      </c>
      <c r="O819" s="40">
        <f t="shared" si="73"/>
        <v>2.1981431878838706E-2</v>
      </c>
      <c r="P819" s="40">
        <f t="shared" si="74"/>
        <v>2.2224803500212879E-2</v>
      </c>
      <c r="Q819" s="40"/>
      <c r="R819" s="40"/>
      <c r="S819" t="s">
        <v>2401</v>
      </c>
      <c r="T819">
        <v>0.06</v>
      </c>
      <c r="U819" s="40">
        <f t="shared" si="75"/>
        <v>0</v>
      </c>
      <c r="V819" s="40">
        <f t="shared" si="76"/>
        <v>0.06</v>
      </c>
      <c r="W819" s="40">
        <f t="shared" si="77"/>
        <v>0</v>
      </c>
    </row>
    <row r="820" spans="1:23" x14ac:dyDescent="0.2">
      <c r="A820" s="41">
        <v>41824</v>
      </c>
      <c r="B820" s="40">
        <v>15.21</v>
      </c>
      <c r="C820" s="40">
        <v>17.12</v>
      </c>
      <c r="D820" s="40">
        <v>14.58</v>
      </c>
      <c r="E820" s="40">
        <v>16.079999999999998</v>
      </c>
      <c r="G820" s="36">
        <v>44501</v>
      </c>
      <c r="H820" s="40">
        <v>13.04</v>
      </c>
      <c r="I820" s="40">
        <v>25.827000000000002</v>
      </c>
      <c r="J820" s="44"/>
      <c r="K820" s="40"/>
      <c r="L820" s="45">
        <v>13.04</v>
      </c>
      <c r="M820" s="46">
        <v>25.827000000000002</v>
      </c>
      <c r="N820" s="40">
        <f t="shared" si="72"/>
        <v>-4.5906737085989512E-3</v>
      </c>
      <c r="O820" s="40">
        <f t="shared" si="73"/>
        <v>1.0117998914170088E-2</v>
      </c>
      <c r="P820" s="40">
        <f t="shared" si="74"/>
        <v>1.0169358939257698E-2</v>
      </c>
      <c r="Q820" s="40"/>
      <c r="R820" s="40"/>
      <c r="S820" t="s">
        <v>2400</v>
      </c>
      <c r="T820">
        <v>0.06</v>
      </c>
      <c r="U820" s="40">
        <f t="shared" si="75"/>
        <v>0</v>
      </c>
      <c r="V820" s="40">
        <f t="shared" si="76"/>
        <v>0.06</v>
      </c>
      <c r="W820" s="40">
        <f t="shared" si="77"/>
        <v>0</v>
      </c>
    </row>
    <row r="821" spans="1:23" x14ac:dyDescent="0.2">
      <c r="A821" s="41">
        <v>41855</v>
      </c>
      <c r="B821" s="40">
        <v>16.16</v>
      </c>
      <c r="C821" s="40">
        <v>17.03</v>
      </c>
      <c r="D821" s="40">
        <v>14.37</v>
      </c>
      <c r="E821" s="40">
        <v>14.51</v>
      </c>
      <c r="G821" s="36">
        <v>44498</v>
      </c>
      <c r="H821" s="40">
        <v>13.1</v>
      </c>
      <c r="I821" s="40">
        <v>25.567</v>
      </c>
      <c r="J821" s="44"/>
      <c r="K821" s="40"/>
      <c r="L821" s="45">
        <v>13.1</v>
      </c>
      <c r="M821" s="46">
        <v>25.567</v>
      </c>
      <c r="N821" s="40">
        <f t="shared" si="72"/>
        <v>-0.11795265655408474</v>
      </c>
      <c r="O821" s="40">
        <f t="shared" si="73"/>
        <v>2.4789421750745003E-2</v>
      </c>
      <c r="P821" s="40">
        <f t="shared" si="74"/>
        <v>2.509923419269481E-2</v>
      </c>
      <c r="Q821" s="40"/>
      <c r="R821" s="40"/>
      <c r="S821" t="s">
        <v>2399</v>
      </c>
      <c r="T821">
        <v>0.06</v>
      </c>
      <c r="U821" s="40">
        <f t="shared" si="75"/>
        <v>0</v>
      </c>
      <c r="V821" s="40">
        <f t="shared" si="76"/>
        <v>0.06</v>
      </c>
      <c r="W821" s="40">
        <f t="shared" si="77"/>
        <v>0</v>
      </c>
    </row>
    <row r="822" spans="1:23" x14ac:dyDescent="0.2">
      <c r="A822" s="41">
        <v>41886</v>
      </c>
      <c r="B822" s="40">
        <v>14.47</v>
      </c>
      <c r="C822" s="40">
        <v>15.07</v>
      </c>
      <c r="D822" s="40">
        <v>12.48</v>
      </c>
      <c r="E822" s="40">
        <v>12.69</v>
      </c>
      <c r="G822" s="36">
        <v>44497</v>
      </c>
      <c r="H822" s="40">
        <v>14.74</v>
      </c>
      <c r="I822" s="40">
        <v>24.940999999999999</v>
      </c>
      <c r="J822" s="44"/>
      <c r="K822" s="40"/>
      <c r="L822" s="45">
        <v>14.74</v>
      </c>
      <c r="M822" s="46">
        <v>24.940999999999999</v>
      </c>
      <c r="N822" s="40">
        <f t="shared" si="72"/>
        <v>-1.8817759574798098E-2</v>
      </c>
      <c r="O822" s="40">
        <f t="shared" si="73"/>
        <v>1.9841920799004098E-2</v>
      </c>
      <c r="P822" s="40">
        <f t="shared" si="74"/>
        <v>2.0040080160320578E-2</v>
      </c>
      <c r="Q822" s="40"/>
      <c r="R822" s="40"/>
      <c r="S822" t="s">
        <v>2398</v>
      </c>
      <c r="T822">
        <v>0.06</v>
      </c>
      <c r="U822" s="40">
        <f t="shared" si="75"/>
        <v>0</v>
      </c>
      <c r="V822" s="40">
        <f t="shared" si="76"/>
        <v>0.06</v>
      </c>
      <c r="W822" s="40">
        <f t="shared" si="77"/>
        <v>0</v>
      </c>
    </row>
    <row r="823" spans="1:23" x14ac:dyDescent="0.2">
      <c r="A823" s="41">
        <v>41916</v>
      </c>
      <c r="B823" s="40">
        <v>13.15</v>
      </c>
      <c r="C823" s="40">
        <v>17.36</v>
      </c>
      <c r="D823" s="40">
        <v>12.73</v>
      </c>
      <c r="E823" s="40">
        <v>16.5</v>
      </c>
      <c r="G823" s="36">
        <v>44496</v>
      </c>
      <c r="H823" s="40">
        <v>15.02</v>
      </c>
      <c r="I823" s="40">
        <v>24.451000000000001</v>
      </c>
      <c r="J823" s="44"/>
      <c r="K823" s="40"/>
      <c r="L823" s="45">
        <v>15.02</v>
      </c>
      <c r="M823" s="46">
        <v>24.451000000000001</v>
      </c>
      <c r="N823" s="40">
        <f t="shared" si="72"/>
        <v>9.4178995600130377E-2</v>
      </c>
      <c r="O823" s="40">
        <f t="shared" si="73"/>
        <v>-1.0820151121554378E-2</v>
      </c>
      <c r="P823" s="40">
        <f t="shared" si="74"/>
        <v>-1.0761823845935924E-2</v>
      </c>
      <c r="Q823" s="40"/>
      <c r="R823" s="40"/>
      <c r="S823" t="s">
        <v>2397</v>
      </c>
      <c r="T823">
        <v>0.06</v>
      </c>
      <c r="U823" s="40">
        <f t="shared" si="75"/>
        <v>0.18232155679395459</v>
      </c>
      <c r="V823" s="40">
        <f t="shared" si="76"/>
        <v>0.06</v>
      </c>
      <c r="W823" s="40">
        <f t="shared" si="77"/>
        <v>0.18232155679395459</v>
      </c>
    </row>
    <row r="824" spans="1:23" x14ac:dyDescent="0.2">
      <c r="A824" s="41">
        <v>41947</v>
      </c>
      <c r="B824" s="40">
        <v>17.97</v>
      </c>
      <c r="C824" s="40">
        <v>18.739999999999998</v>
      </c>
      <c r="D824" s="40">
        <v>16.27</v>
      </c>
      <c r="E824" s="40">
        <v>17.64</v>
      </c>
      <c r="G824" s="36">
        <v>44495</v>
      </c>
      <c r="H824" s="40">
        <v>13.67</v>
      </c>
      <c r="I824" s="40">
        <v>24.716999999999999</v>
      </c>
      <c r="J824" s="44"/>
      <c r="K824" s="40"/>
      <c r="L824" s="45">
        <v>13.67</v>
      </c>
      <c r="M824" s="46">
        <v>24.716999999999999</v>
      </c>
      <c r="N824" s="40">
        <f t="shared" si="72"/>
        <v>-4.5754942832501387E-2</v>
      </c>
      <c r="O824" s="40">
        <f t="shared" si="73"/>
        <v>6.4805579491408208E-2</v>
      </c>
      <c r="P824" s="40">
        <f t="shared" si="74"/>
        <v>6.6951566951566885E-2</v>
      </c>
      <c r="Q824" s="40"/>
      <c r="R824" s="40"/>
      <c r="S824" t="s">
        <v>2396</v>
      </c>
      <c r="T824">
        <v>0.05</v>
      </c>
      <c r="U824" s="40">
        <f t="shared" si="75"/>
        <v>-0.18232155679395459</v>
      </c>
      <c r="V824" s="40">
        <f t="shared" si="76"/>
        <v>0.05</v>
      </c>
      <c r="W824" s="40">
        <f t="shared" si="77"/>
        <v>-0.18232155679395459</v>
      </c>
    </row>
    <row r="825" spans="1:23" x14ac:dyDescent="0.2">
      <c r="A825" s="40" t="s">
        <v>1245</v>
      </c>
      <c r="B825" s="40">
        <v>16.440000000000001</v>
      </c>
      <c r="C825" s="40">
        <v>17.91</v>
      </c>
      <c r="D825" s="40">
        <v>15.95</v>
      </c>
      <c r="E825" s="40">
        <v>16</v>
      </c>
      <c r="G825" s="36">
        <v>44494</v>
      </c>
      <c r="H825" s="40">
        <v>14.31</v>
      </c>
      <c r="I825" s="40">
        <v>23.166</v>
      </c>
      <c r="J825" s="44"/>
      <c r="K825" s="40"/>
      <c r="L825" s="45">
        <v>14.31</v>
      </c>
      <c r="M825" s="46">
        <v>23.166</v>
      </c>
      <c r="N825" s="40">
        <f t="shared" si="72"/>
        <v>-5.7701786645866046E-2</v>
      </c>
      <c r="O825" s="40">
        <f t="shared" si="73"/>
        <v>1.9176043014336959E-2</v>
      </c>
      <c r="P825" s="40">
        <f t="shared" si="74"/>
        <v>1.9361084220716418E-2</v>
      </c>
      <c r="Q825" s="40"/>
      <c r="R825" s="40"/>
      <c r="S825" t="s">
        <v>2395</v>
      </c>
      <c r="T825">
        <v>0.06</v>
      </c>
      <c r="U825" s="40">
        <f t="shared" si="75"/>
        <v>0.18232155679395459</v>
      </c>
      <c r="V825" s="40">
        <f t="shared" si="76"/>
        <v>0.06</v>
      </c>
      <c r="W825" s="40">
        <f t="shared" si="77"/>
        <v>0.18232155679395459</v>
      </c>
    </row>
    <row r="826" spans="1:23" x14ac:dyDescent="0.2">
      <c r="A826" s="40" t="s">
        <v>1246</v>
      </c>
      <c r="B826" s="40">
        <v>16.05</v>
      </c>
      <c r="C826" s="40">
        <v>18.309999999999999</v>
      </c>
      <c r="D826" s="40">
        <v>15.03</v>
      </c>
      <c r="E826" s="40">
        <v>15.03</v>
      </c>
      <c r="G826" s="36">
        <v>44491</v>
      </c>
      <c r="H826" s="40">
        <v>15.16</v>
      </c>
      <c r="I826" s="40">
        <v>22.725999999999999</v>
      </c>
      <c r="J826" s="44"/>
      <c r="K826" s="40"/>
      <c r="L826" s="45">
        <v>15.16</v>
      </c>
      <c r="M826" s="46">
        <v>22.725999999999999</v>
      </c>
      <c r="N826" s="40">
        <f t="shared" si="72"/>
        <v>5.6305138374145039E-2</v>
      </c>
      <c r="O826" s="40">
        <f t="shared" si="73"/>
        <v>1.4972040314965576E-3</v>
      </c>
      <c r="P826" s="40">
        <f t="shared" si="74"/>
        <v>1.498325401022339E-3</v>
      </c>
      <c r="Q826" s="40"/>
      <c r="R826" s="40"/>
      <c r="S826" t="s">
        <v>2394</v>
      </c>
      <c r="T826">
        <v>0.05</v>
      </c>
      <c r="U826" s="40">
        <f t="shared" si="75"/>
        <v>0</v>
      </c>
      <c r="V826" s="40">
        <f t="shared" si="76"/>
        <v>0.05</v>
      </c>
      <c r="W826" s="40">
        <f t="shared" si="77"/>
        <v>0</v>
      </c>
    </row>
    <row r="827" spans="1:23" x14ac:dyDescent="0.2">
      <c r="A827" s="40" t="s">
        <v>1247</v>
      </c>
      <c r="B827" s="40">
        <v>14.07</v>
      </c>
      <c r="C827" s="40">
        <v>15.2</v>
      </c>
      <c r="D827" s="40">
        <v>13.3</v>
      </c>
      <c r="E827" s="40">
        <v>13.52</v>
      </c>
      <c r="G827" s="36">
        <v>44490</v>
      </c>
      <c r="H827" s="40">
        <v>14.33</v>
      </c>
      <c r="I827" s="40">
        <v>22.692</v>
      </c>
      <c r="J827" s="44"/>
      <c r="K827" s="40"/>
      <c r="L827" s="45">
        <v>14.33</v>
      </c>
      <c r="M827" s="46">
        <v>22.692</v>
      </c>
      <c r="N827" s="40">
        <f t="shared" si="72"/>
        <v>9.0506661918271891E-2</v>
      </c>
      <c r="O827" s="40">
        <f t="shared" si="73"/>
        <v>2.6299093547015488E-2</v>
      </c>
      <c r="P827" s="40">
        <f t="shared" si="74"/>
        <v>2.6647966339410877E-2</v>
      </c>
      <c r="Q827" s="40"/>
      <c r="R827" s="40"/>
      <c r="S827" t="s">
        <v>2393</v>
      </c>
      <c r="T827">
        <v>0.05</v>
      </c>
      <c r="U827" s="40">
        <f t="shared" si="75"/>
        <v>0.22314355131420976</v>
      </c>
      <c r="V827" s="40">
        <f t="shared" si="76"/>
        <v>0.05</v>
      </c>
      <c r="W827" s="40">
        <f t="shared" si="77"/>
        <v>0.22314355131420976</v>
      </c>
    </row>
    <row r="828" spans="1:23" x14ac:dyDescent="0.2">
      <c r="A828" s="40" t="s">
        <v>1248</v>
      </c>
      <c r="B828" s="40">
        <v>13.3</v>
      </c>
      <c r="C828" s="40">
        <v>13.55</v>
      </c>
      <c r="D828" s="40">
        <v>11.3</v>
      </c>
      <c r="E828" s="40">
        <v>11.68</v>
      </c>
      <c r="G828" s="36">
        <v>44489</v>
      </c>
      <c r="H828" s="40">
        <v>13.09</v>
      </c>
      <c r="I828" s="40">
        <v>22.103000000000002</v>
      </c>
      <c r="J828" s="44"/>
      <c r="K828" s="40"/>
      <c r="L828" s="45">
        <v>13.09</v>
      </c>
      <c r="M828" s="46">
        <v>22.103000000000002</v>
      </c>
      <c r="N828" s="40">
        <f t="shared" si="72"/>
        <v>8.8609987234505139E-2</v>
      </c>
      <c r="O828" s="40">
        <f t="shared" si="73"/>
        <v>-8.4248014804722861E-3</v>
      </c>
      <c r="P828" s="40">
        <f t="shared" si="74"/>
        <v>-8.3894122925077443E-3</v>
      </c>
      <c r="Q828" s="40"/>
      <c r="R828" s="40"/>
      <c r="S828" t="s">
        <v>2392</v>
      </c>
      <c r="T828">
        <v>0.04</v>
      </c>
      <c r="U828" s="40">
        <f t="shared" si="75"/>
        <v>0</v>
      </c>
      <c r="V828" s="40">
        <f t="shared" si="76"/>
        <v>0.04</v>
      </c>
      <c r="W828" s="40">
        <f t="shared" si="77"/>
        <v>0</v>
      </c>
    </row>
    <row r="829" spans="1:23" x14ac:dyDescent="0.2">
      <c r="A829" s="40" t="s">
        <v>1249</v>
      </c>
      <c r="B829" s="40">
        <v>14.03</v>
      </c>
      <c r="C829" s="40">
        <v>14.14</v>
      </c>
      <c r="D829" s="40">
        <v>12.94</v>
      </c>
      <c r="E829" s="40">
        <v>12.99</v>
      </c>
      <c r="G829" s="36">
        <v>44488</v>
      </c>
      <c r="H829" s="40">
        <v>11.98</v>
      </c>
      <c r="I829" s="40">
        <v>22.29</v>
      </c>
      <c r="J829" s="44"/>
      <c r="K829" s="40"/>
      <c r="L829" s="45">
        <v>11.98</v>
      </c>
      <c r="M829" s="46">
        <v>22.29</v>
      </c>
      <c r="N829" s="40">
        <f t="shared" si="72"/>
        <v>1.4291962478032456E-2</v>
      </c>
      <c r="O829" s="40">
        <f t="shared" si="73"/>
        <v>3.0553582359604315E-3</v>
      </c>
      <c r="P829" s="40">
        <f t="shared" si="74"/>
        <v>3.0600306003059057E-3</v>
      </c>
      <c r="Q829" s="40"/>
      <c r="R829" s="40"/>
      <c r="S829" t="s">
        <v>2391</v>
      </c>
      <c r="T829">
        <v>0.04</v>
      </c>
      <c r="U829" s="40">
        <f t="shared" si="75"/>
        <v>-0.22314355131420985</v>
      </c>
      <c r="V829" s="40">
        <f t="shared" si="76"/>
        <v>0.04</v>
      </c>
      <c r="W829" s="40">
        <f t="shared" si="77"/>
        <v>-0.22314355131420985</v>
      </c>
    </row>
    <row r="830" spans="1:23" x14ac:dyDescent="0.2">
      <c r="A830" s="40" t="s">
        <v>1250</v>
      </c>
      <c r="B830" s="40">
        <v>12.81</v>
      </c>
      <c r="C830" s="40">
        <v>13.11</v>
      </c>
      <c r="D830" s="40">
        <v>12.44</v>
      </c>
      <c r="E830" s="40">
        <v>12.51</v>
      </c>
      <c r="G830" s="36">
        <v>44487</v>
      </c>
      <c r="H830" s="40">
        <v>11.81</v>
      </c>
      <c r="I830" s="40">
        <v>22.222000000000001</v>
      </c>
      <c r="J830" s="44"/>
      <c r="K830" s="40"/>
      <c r="L830" s="45">
        <v>11.81</v>
      </c>
      <c r="M830" s="46">
        <v>22.222000000000001</v>
      </c>
      <c r="N830" s="40">
        <f t="shared" si="72"/>
        <v>-7.1867651517025219E-2</v>
      </c>
      <c r="O830" s="40">
        <f t="shared" si="73"/>
        <v>1.6332819290173425E-2</v>
      </c>
      <c r="P830" s="40">
        <f t="shared" si="74"/>
        <v>1.6466928917756977E-2</v>
      </c>
      <c r="Q830" s="40"/>
      <c r="R830" s="40"/>
      <c r="S830" t="s">
        <v>2390</v>
      </c>
      <c r="T830">
        <v>0.05</v>
      </c>
      <c r="U830" s="40">
        <f t="shared" si="75"/>
        <v>0.91629073187415511</v>
      </c>
      <c r="V830" s="40">
        <f t="shared" si="76"/>
        <v>0.05</v>
      </c>
      <c r="W830" s="40">
        <f t="shared" si="77"/>
        <v>0.91629073187415511</v>
      </c>
    </row>
    <row r="831" spans="1:23" x14ac:dyDescent="0.2">
      <c r="A831" s="40" t="s">
        <v>1251</v>
      </c>
      <c r="B831" s="40">
        <v>12.69</v>
      </c>
      <c r="C831" s="40">
        <v>13.41</v>
      </c>
      <c r="D831" s="40">
        <v>12.61</v>
      </c>
      <c r="E831" s="40">
        <v>12.67</v>
      </c>
      <c r="G831" s="36">
        <v>44484</v>
      </c>
      <c r="H831" s="40">
        <v>12.69</v>
      </c>
      <c r="I831" s="40">
        <v>21.861999999999998</v>
      </c>
      <c r="J831" s="44"/>
      <c r="K831" s="40"/>
      <c r="L831" s="45">
        <v>12.69</v>
      </c>
      <c r="M831" s="46">
        <v>21.861999999999998</v>
      </c>
      <c r="N831" s="40">
        <f t="shared" si="72"/>
        <v>-4.9952758761181396E-2</v>
      </c>
      <c r="O831" s="40">
        <f t="shared" si="73"/>
        <v>5.320137296086022E-3</v>
      </c>
      <c r="P831" s="40">
        <f t="shared" si="74"/>
        <v>5.3343143566632794E-3</v>
      </c>
      <c r="Q831" s="40"/>
      <c r="R831" s="40"/>
      <c r="S831" t="s">
        <v>2389</v>
      </c>
      <c r="T831">
        <v>0.02</v>
      </c>
      <c r="U831" s="40">
        <f t="shared" si="75"/>
        <v>0</v>
      </c>
      <c r="V831" s="40">
        <f t="shared" si="76"/>
        <v>0.02</v>
      </c>
      <c r="W831" s="40">
        <f t="shared" si="77"/>
        <v>0</v>
      </c>
    </row>
    <row r="832" spans="1:23" x14ac:dyDescent="0.2">
      <c r="A832" s="40" t="s">
        <v>1252</v>
      </c>
      <c r="B832" s="40">
        <v>12.76</v>
      </c>
      <c r="C832" s="40">
        <v>14.16</v>
      </c>
      <c r="D832" s="40">
        <v>12.76</v>
      </c>
      <c r="E832" s="40">
        <v>13.27</v>
      </c>
      <c r="G832" s="36">
        <v>44483</v>
      </c>
      <c r="H832" s="40">
        <v>13.34</v>
      </c>
      <c r="I832" s="40">
        <v>21.745999999999999</v>
      </c>
      <c r="J832" s="44"/>
      <c r="K832" s="40"/>
      <c r="L832" s="45">
        <v>13.34</v>
      </c>
      <c r="M832" s="46">
        <v>21.745999999999999</v>
      </c>
      <c r="N832" s="40">
        <f t="shared" si="72"/>
        <v>-4.1840965447873857E-2</v>
      </c>
      <c r="O832" s="40">
        <f t="shared" si="73"/>
        <v>3.7816383765378228E-2</v>
      </c>
      <c r="P832" s="40">
        <f t="shared" si="74"/>
        <v>3.8540522470031931E-2</v>
      </c>
      <c r="Q832" s="40"/>
      <c r="R832" s="40"/>
      <c r="S832" s="47">
        <v>44540</v>
      </c>
      <c r="T832">
        <v>0.02</v>
      </c>
      <c r="U832" s="40">
        <f t="shared" si="75"/>
        <v>0</v>
      </c>
      <c r="V832" s="40">
        <f t="shared" si="76"/>
        <v>0.02</v>
      </c>
      <c r="W832" s="40">
        <f t="shared" si="77"/>
        <v>0</v>
      </c>
    </row>
    <row r="833" spans="1:23" x14ac:dyDescent="0.2">
      <c r="A833" s="40" t="s">
        <v>1253</v>
      </c>
      <c r="B833" s="40">
        <v>14.07</v>
      </c>
      <c r="C833" s="40">
        <v>15.44</v>
      </c>
      <c r="D833" s="40">
        <v>13.42</v>
      </c>
      <c r="E833" s="40">
        <v>13.94</v>
      </c>
      <c r="G833" s="36">
        <v>44482</v>
      </c>
      <c r="H833" s="40">
        <v>13.91</v>
      </c>
      <c r="I833" s="40">
        <v>20.939</v>
      </c>
      <c r="J833" s="44"/>
      <c r="K833" s="40"/>
      <c r="L833" s="45">
        <v>13.91</v>
      </c>
      <c r="M833" s="46">
        <v>20.939</v>
      </c>
      <c r="N833" s="40">
        <f t="shared" si="72"/>
        <v>4.9365455426489277E-2</v>
      </c>
      <c r="O833" s="40">
        <f t="shared" si="73"/>
        <v>1.2881696993080435E-2</v>
      </c>
      <c r="P833" s="40">
        <f t="shared" si="74"/>
        <v>1.2965023462822346E-2</v>
      </c>
      <c r="Q833" s="40"/>
      <c r="R833" s="40"/>
      <c r="S833" s="47">
        <v>44418</v>
      </c>
      <c r="T833">
        <v>0.02</v>
      </c>
      <c r="U833" s="40">
        <f t="shared" si="75"/>
        <v>-0.40546510810816427</v>
      </c>
      <c r="V833" s="40">
        <f t="shared" si="76"/>
        <v>0.02</v>
      </c>
      <c r="W833" s="40">
        <f t="shared" si="77"/>
        <v>-0.40546510810816427</v>
      </c>
    </row>
    <row r="834" spans="1:23" x14ac:dyDescent="0.2">
      <c r="A834" s="40" t="s">
        <v>1254</v>
      </c>
      <c r="B834" s="40">
        <v>14.33</v>
      </c>
      <c r="C834" s="40">
        <v>16.48</v>
      </c>
      <c r="D834" s="40">
        <v>13.87</v>
      </c>
      <c r="E834" s="40">
        <v>14.08</v>
      </c>
      <c r="G834" s="36">
        <v>44481</v>
      </c>
      <c r="H834" s="40">
        <v>13.24</v>
      </c>
      <c r="I834" s="40">
        <v>20.670999999999999</v>
      </c>
      <c r="J834" s="44"/>
      <c r="K834" s="40"/>
      <c r="L834" s="45">
        <v>13.24</v>
      </c>
      <c r="M834" s="46">
        <v>20.670999999999999</v>
      </c>
      <c r="N834" s="40">
        <f t="shared" si="72"/>
        <v>-0.11138463026120726</v>
      </c>
      <c r="O834" s="40">
        <f t="shared" si="73"/>
        <v>-1.1603733835969031E-3</v>
      </c>
      <c r="P834" s="40">
        <f t="shared" si="74"/>
        <v>-1.1597004107272728E-3</v>
      </c>
      <c r="Q834" s="40"/>
      <c r="R834" s="40"/>
      <c r="S834" s="47">
        <v>44387</v>
      </c>
      <c r="T834">
        <v>0.03</v>
      </c>
      <c r="U834" s="40">
        <f t="shared" si="75"/>
        <v>-0.69314718055994529</v>
      </c>
      <c r="V834" s="40">
        <f t="shared" si="76"/>
        <v>0.03</v>
      </c>
      <c r="W834" s="40">
        <f t="shared" si="77"/>
        <v>-0.69314718055994529</v>
      </c>
    </row>
    <row r="835" spans="1:23" x14ac:dyDescent="0.2">
      <c r="A835" s="40" t="s">
        <v>1255</v>
      </c>
      <c r="B835" s="40">
        <v>13.89</v>
      </c>
      <c r="C835" s="40">
        <v>14.64</v>
      </c>
      <c r="D835" s="40">
        <v>13.39</v>
      </c>
      <c r="E835" s="40">
        <v>13.63</v>
      </c>
      <c r="G835" s="36">
        <v>44480</v>
      </c>
      <c r="H835" s="40">
        <v>14.8</v>
      </c>
      <c r="I835" s="40">
        <v>20.695</v>
      </c>
      <c r="J835" s="44"/>
      <c r="K835" s="40"/>
      <c r="L835" s="45">
        <v>14.8</v>
      </c>
      <c r="M835" s="46">
        <v>20.695</v>
      </c>
      <c r="N835" s="40">
        <f t="shared" ref="N835:N898" si="78">LN(L835/L836)</f>
        <v>-0.16471246787836669</v>
      </c>
      <c r="O835" s="40">
        <f t="shared" ref="O835:O898" si="79">LN(M835/M836)</f>
        <v>-6.5501366010819644E-3</v>
      </c>
      <c r="P835" s="40">
        <f t="shared" ref="P835:P898" si="80">(M835-M836)/M836</f>
        <v>-6.5287312178963679E-3</v>
      </c>
      <c r="Q835" s="40"/>
      <c r="R835" s="40"/>
      <c r="S835" s="47">
        <v>44357</v>
      </c>
      <c r="T835">
        <v>0.06</v>
      </c>
      <c r="U835" s="40">
        <f t="shared" ref="U835:U898" si="81">LN(T835/T836)</f>
        <v>-0.6061358035703156</v>
      </c>
      <c r="V835" s="40">
        <f t="shared" ref="V835:V898" si="82">IF(T835=0, 0.001,T835)</f>
        <v>0.06</v>
      </c>
      <c r="W835" s="40">
        <f t="shared" ref="W835:W898" si="83">LN(V835/V836)</f>
        <v>-0.6061358035703156</v>
      </c>
    </row>
    <row r="836" spans="1:23" x14ac:dyDescent="0.2">
      <c r="A836" s="40" t="s">
        <v>1256</v>
      </c>
      <c r="B836" s="40">
        <v>14.1</v>
      </c>
      <c r="C836" s="40">
        <v>14.37</v>
      </c>
      <c r="D836" s="40">
        <v>12.63</v>
      </c>
      <c r="E836" s="40">
        <v>12.73</v>
      </c>
      <c r="G836" s="36">
        <v>44477</v>
      </c>
      <c r="H836" s="40">
        <v>17.45</v>
      </c>
      <c r="I836" s="40">
        <v>20.831</v>
      </c>
      <c r="J836" s="44"/>
      <c r="K836" s="40"/>
      <c r="L836" s="45">
        <v>17.45</v>
      </c>
      <c r="M836" s="46">
        <v>20.831</v>
      </c>
      <c r="N836" s="40">
        <f t="shared" si="78"/>
        <v>-0.1064487485324828</v>
      </c>
      <c r="O836" s="40">
        <f t="shared" si="79"/>
        <v>-1.1645242086141323E-2</v>
      </c>
      <c r="P836" s="40">
        <f t="shared" si="80"/>
        <v>-1.1577698695136408E-2</v>
      </c>
      <c r="Q836" s="40"/>
      <c r="R836" s="40"/>
      <c r="S836" s="47">
        <v>44326</v>
      </c>
      <c r="T836">
        <v>0.11</v>
      </c>
      <c r="U836" s="40">
        <f t="shared" si="81"/>
        <v>9.5310179804324741E-2</v>
      </c>
      <c r="V836" s="40">
        <f t="shared" si="82"/>
        <v>0.11</v>
      </c>
      <c r="W836" s="40">
        <f t="shared" si="83"/>
        <v>9.5310179804324741E-2</v>
      </c>
    </row>
    <row r="837" spans="1:23" x14ac:dyDescent="0.2">
      <c r="A837" s="41">
        <v>41644</v>
      </c>
      <c r="B837" s="40">
        <v>12.88</v>
      </c>
      <c r="C837" s="40">
        <v>13.08</v>
      </c>
      <c r="D837" s="40">
        <v>11.93</v>
      </c>
      <c r="E837" s="40">
        <v>12.58</v>
      </c>
      <c r="G837" s="36">
        <v>44476</v>
      </c>
      <c r="H837" s="40">
        <v>19.41</v>
      </c>
      <c r="I837" s="40">
        <v>21.074999999999999</v>
      </c>
      <c r="J837" s="44"/>
      <c r="K837" s="40"/>
      <c r="L837" s="45">
        <v>19.41</v>
      </c>
      <c r="M837" s="46">
        <v>21.074999999999999</v>
      </c>
      <c r="N837" s="40">
        <f t="shared" si="78"/>
        <v>-1.7365094166212014E-2</v>
      </c>
      <c r="O837" s="40">
        <f t="shared" si="79"/>
        <v>1.7953803616595845E-2</v>
      </c>
      <c r="P837" s="40">
        <f t="shared" si="80"/>
        <v>1.8115942028985508E-2</v>
      </c>
      <c r="Q837" s="40"/>
      <c r="R837" s="40"/>
      <c r="S837" s="47">
        <v>44296</v>
      </c>
      <c r="T837">
        <v>0.1</v>
      </c>
      <c r="U837" s="40">
        <f t="shared" si="81"/>
        <v>0.22314355131420976</v>
      </c>
      <c r="V837" s="40">
        <f t="shared" si="82"/>
        <v>0.1</v>
      </c>
      <c r="W837" s="40">
        <f t="shared" si="83"/>
        <v>0.22314355131420976</v>
      </c>
    </row>
    <row r="838" spans="1:23" x14ac:dyDescent="0.2">
      <c r="A838" s="41">
        <v>41675</v>
      </c>
      <c r="B838" s="40">
        <v>12.32</v>
      </c>
      <c r="C838" s="40">
        <v>12.66</v>
      </c>
      <c r="D838" s="40">
        <v>11.19</v>
      </c>
      <c r="E838" s="40">
        <v>11.23</v>
      </c>
      <c r="G838" s="36">
        <v>44475</v>
      </c>
      <c r="H838" s="40">
        <v>19.75</v>
      </c>
      <c r="I838" s="40">
        <v>20.7</v>
      </c>
      <c r="J838" s="44"/>
      <c r="K838" s="40"/>
      <c r="L838" s="45">
        <v>19.75</v>
      </c>
      <c r="M838" s="46">
        <v>20.7</v>
      </c>
      <c r="N838" s="40">
        <f t="shared" si="78"/>
        <v>0.16535242628580174</v>
      </c>
      <c r="O838" s="40">
        <f t="shared" si="79"/>
        <v>1.2101919222565413E-2</v>
      </c>
      <c r="P838" s="40">
        <f t="shared" si="80"/>
        <v>1.217544374358216E-2</v>
      </c>
      <c r="Q838" s="40"/>
      <c r="R838" s="40"/>
      <c r="S838" s="47">
        <v>44206</v>
      </c>
      <c r="T838">
        <v>0.08</v>
      </c>
      <c r="U838" s="40">
        <f t="shared" si="81"/>
        <v>0.13353139262452257</v>
      </c>
      <c r="V838" s="40">
        <f t="shared" si="82"/>
        <v>0.08</v>
      </c>
      <c r="W838" s="40">
        <f t="shared" si="83"/>
        <v>0.13353139262452257</v>
      </c>
    </row>
    <row r="839" spans="1:23" x14ac:dyDescent="0.2">
      <c r="A839" s="41">
        <v>41764</v>
      </c>
      <c r="B839" s="40">
        <v>13.42</v>
      </c>
      <c r="C839" s="40">
        <v>13.78</v>
      </c>
      <c r="D839" s="40">
        <v>11.93</v>
      </c>
      <c r="E839" s="40">
        <v>12.25</v>
      </c>
      <c r="G839" s="36">
        <v>44474</v>
      </c>
      <c r="H839" s="40">
        <v>16.739999999999998</v>
      </c>
      <c r="I839" s="40">
        <v>20.451000000000001</v>
      </c>
      <c r="J839" s="44"/>
      <c r="K839" s="40"/>
      <c r="L839" s="45">
        <v>16.739999999999998</v>
      </c>
      <c r="M839" s="46">
        <v>20.451000000000001</v>
      </c>
      <c r="N839" s="40">
        <f t="shared" si="78"/>
        <v>-7.9766959705430462E-2</v>
      </c>
      <c r="O839" s="40">
        <f t="shared" si="79"/>
        <v>3.5790097677266222E-2</v>
      </c>
      <c r="P839" s="40">
        <f t="shared" si="80"/>
        <v>3.6438272856274136E-2</v>
      </c>
      <c r="Q839" s="40"/>
      <c r="R839" s="40"/>
      <c r="S839" t="s">
        <v>2388</v>
      </c>
      <c r="T839">
        <v>7.0000000000000007E-2</v>
      </c>
      <c r="U839" s="40">
        <f t="shared" si="81"/>
        <v>0.33647223662121301</v>
      </c>
      <c r="V839" s="40">
        <f t="shared" si="82"/>
        <v>7.0000000000000007E-2</v>
      </c>
      <c r="W839" s="40">
        <f t="shared" si="83"/>
        <v>0.33647223662121301</v>
      </c>
    </row>
    <row r="840" spans="1:23" x14ac:dyDescent="0.2">
      <c r="A840" s="41">
        <v>41795</v>
      </c>
      <c r="B840" s="40">
        <v>12.83</v>
      </c>
      <c r="C840" s="40">
        <v>13.23</v>
      </c>
      <c r="D840" s="40">
        <v>12.13</v>
      </c>
      <c r="E840" s="40">
        <v>13.19</v>
      </c>
      <c r="G840" s="36">
        <v>44473</v>
      </c>
      <c r="H840" s="40">
        <v>18.13</v>
      </c>
      <c r="I840" s="40">
        <v>19.731999999999999</v>
      </c>
      <c r="J840" s="44"/>
      <c r="K840" s="40"/>
      <c r="L840" s="45">
        <v>18.13</v>
      </c>
      <c r="M840" s="46">
        <v>19.731999999999999</v>
      </c>
      <c r="N840" s="40">
        <f t="shared" si="78"/>
        <v>-7.4895621847877028E-2</v>
      </c>
      <c r="O840" s="40">
        <f t="shared" si="79"/>
        <v>-4.9918946796050696E-2</v>
      </c>
      <c r="P840" s="40">
        <f t="shared" si="80"/>
        <v>-4.8693472182046164E-2</v>
      </c>
      <c r="Q840" s="40"/>
      <c r="R840" s="40"/>
      <c r="S840" t="s">
        <v>2387</v>
      </c>
      <c r="T840">
        <v>0.05</v>
      </c>
      <c r="U840" s="40">
        <f t="shared" si="81"/>
        <v>-0.33647223662121289</v>
      </c>
      <c r="V840" s="40">
        <f t="shared" si="82"/>
        <v>0.05</v>
      </c>
      <c r="W840" s="40">
        <f t="shared" si="83"/>
        <v>-0.33647223662121289</v>
      </c>
    </row>
    <row r="841" spans="1:23" x14ac:dyDescent="0.2">
      <c r="A841" s="41">
        <v>41825</v>
      </c>
      <c r="B841" s="40">
        <v>12.7</v>
      </c>
      <c r="C841" s="40">
        <v>14.39</v>
      </c>
      <c r="D841" s="40">
        <v>12.53</v>
      </c>
      <c r="E841" s="40">
        <v>12.82</v>
      </c>
      <c r="G841" s="36">
        <v>44470</v>
      </c>
      <c r="H841" s="40">
        <v>19.54</v>
      </c>
      <c r="I841" s="40">
        <v>20.742000000000001</v>
      </c>
      <c r="J841" s="44"/>
      <c r="K841" s="40"/>
      <c r="L841" s="45">
        <v>19.54</v>
      </c>
      <c r="M841" s="46">
        <v>20.742000000000001</v>
      </c>
      <c r="N841" s="40">
        <f t="shared" si="78"/>
        <v>-3.9141976095644508E-2</v>
      </c>
      <c r="O841" s="40">
        <f t="shared" si="79"/>
        <v>1.2542816058973786E-3</v>
      </c>
      <c r="P841" s="40">
        <f t="shared" si="80"/>
        <v>1.2550685460513515E-3</v>
      </c>
      <c r="Q841" s="40"/>
      <c r="R841" s="40"/>
      <c r="S841" t="s">
        <v>2386</v>
      </c>
      <c r="T841">
        <v>7.0000000000000007E-2</v>
      </c>
      <c r="U841" s="40">
        <f t="shared" si="81"/>
        <v>0.15415067982725836</v>
      </c>
      <c r="V841" s="40">
        <f t="shared" si="82"/>
        <v>7.0000000000000007E-2</v>
      </c>
      <c r="W841" s="40">
        <f t="shared" si="83"/>
        <v>0.15415067982725836</v>
      </c>
    </row>
    <row r="842" spans="1:23" x14ac:dyDescent="0.2">
      <c r="A842" s="41">
        <v>41856</v>
      </c>
      <c r="B842" s="40">
        <v>13.03</v>
      </c>
      <c r="C842" s="40">
        <v>13.26</v>
      </c>
      <c r="D842" s="40">
        <v>12.01</v>
      </c>
      <c r="E842" s="40">
        <v>12.51</v>
      </c>
      <c r="G842" s="36">
        <v>44469</v>
      </c>
      <c r="H842" s="40">
        <v>20.32</v>
      </c>
      <c r="I842" s="40">
        <v>20.716000000000001</v>
      </c>
      <c r="J842" s="44"/>
      <c r="K842" s="40"/>
      <c r="L842" s="45">
        <v>20.32</v>
      </c>
      <c r="M842" s="46">
        <v>20.716000000000001</v>
      </c>
      <c r="N842" s="40">
        <f t="shared" si="78"/>
        <v>-0.12562621311740926</v>
      </c>
      <c r="O842" s="40">
        <f t="shared" si="79"/>
        <v>9.6525377775764486E-3</v>
      </c>
      <c r="P842" s="40">
        <f t="shared" si="80"/>
        <v>9.6992737729688361E-3</v>
      </c>
      <c r="Q842" s="40"/>
      <c r="R842" s="40"/>
      <c r="S842" t="s">
        <v>2385</v>
      </c>
      <c r="T842">
        <v>0.06</v>
      </c>
      <c r="U842" s="40">
        <f t="shared" si="81"/>
        <v>0</v>
      </c>
      <c r="V842" s="40">
        <f t="shared" si="82"/>
        <v>0.06</v>
      </c>
      <c r="W842" s="40">
        <f t="shared" si="83"/>
        <v>0</v>
      </c>
    </row>
    <row r="843" spans="1:23" x14ac:dyDescent="0.2">
      <c r="A843" s="41">
        <v>41887</v>
      </c>
      <c r="B843" s="40">
        <v>12.61</v>
      </c>
      <c r="C843" s="40">
        <v>13.34</v>
      </c>
      <c r="D843" s="40">
        <v>11.06</v>
      </c>
      <c r="E843" s="40">
        <v>11.17</v>
      </c>
      <c r="G843" s="36">
        <v>44468</v>
      </c>
      <c r="H843" s="40">
        <v>23.04</v>
      </c>
      <c r="I843" s="40">
        <v>20.516999999999999</v>
      </c>
      <c r="J843" s="44"/>
      <c r="K843" s="40"/>
      <c r="L843" s="45">
        <v>23.04</v>
      </c>
      <c r="M843" s="46">
        <v>20.516999999999999</v>
      </c>
      <c r="N843" s="40">
        <f t="shared" si="78"/>
        <v>0.17092837296451147</v>
      </c>
      <c r="O843" s="40">
        <f t="shared" si="79"/>
        <v>-8.8315791415849096E-3</v>
      </c>
      <c r="P843" s="40">
        <f t="shared" si="80"/>
        <v>-8.7926952992899241E-3</v>
      </c>
      <c r="Q843" s="40"/>
      <c r="R843" s="40"/>
      <c r="S843" t="s">
        <v>2384</v>
      </c>
      <c r="T843">
        <v>0.06</v>
      </c>
      <c r="U843" s="40">
        <f t="shared" si="81"/>
        <v>0.18232155679395459</v>
      </c>
      <c r="V843" s="40">
        <f t="shared" si="82"/>
        <v>0.06</v>
      </c>
      <c r="W843" s="40">
        <f t="shared" si="83"/>
        <v>0.18232155679395459</v>
      </c>
    </row>
    <row r="844" spans="1:23" x14ac:dyDescent="0.2">
      <c r="A844" s="41">
        <v>41978</v>
      </c>
      <c r="B844" s="40">
        <v>11.61</v>
      </c>
      <c r="C844" s="40">
        <v>11.87</v>
      </c>
      <c r="D844" s="40">
        <v>10.98</v>
      </c>
      <c r="E844" s="40">
        <v>11.2</v>
      </c>
      <c r="G844" s="36">
        <v>44467</v>
      </c>
      <c r="H844" s="40">
        <v>19.420000000000002</v>
      </c>
      <c r="I844" s="40">
        <v>20.699000000000002</v>
      </c>
      <c r="J844" s="44"/>
      <c r="K844" s="40"/>
      <c r="L844" s="45">
        <v>19.420000000000002</v>
      </c>
      <c r="M844" s="46">
        <v>20.699000000000002</v>
      </c>
      <c r="N844" s="40">
        <f t="shared" si="78"/>
        <v>-0.17049425096941492</v>
      </c>
      <c r="O844" s="40">
        <f t="shared" si="79"/>
        <v>-4.5381851647190975E-2</v>
      </c>
      <c r="P844" s="40">
        <f t="shared" si="80"/>
        <v>-4.4367497691597348E-2</v>
      </c>
      <c r="Q844" s="40"/>
      <c r="R844" s="40"/>
      <c r="S844" t="s">
        <v>2383</v>
      </c>
      <c r="T844">
        <v>0.05</v>
      </c>
      <c r="U844" s="40">
        <f t="shared" si="81"/>
        <v>0.22314355131420976</v>
      </c>
      <c r="V844" s="40">
        <f t="shared" si="82"/>
        <v>0.05</v>
      </c>
      <c r="W844" s="40">
        <f t="shared" si="83"/>
        <v>0.22314355131420976</v>
      </c>
    </row>
    <row r="845" spans="1:23" x14ac:dyDescent="0.2">
      <c r="A845" s="40" t="s">
        <v>1257</v>
      </c>
      <c r="B845" s="40">
        <v>11.35</v>
      </c>
      <c r="C845" s="40">
        <v>11.41</v>
      </c>
      <c r="D845" s="40">
        <v>10.5</v>
      </c>
      <c r="E845" s="40">
        <v>10.75</v>
      </c>
      <c r="G845" s="36">
        <v>44466</v>
      </c>
      <c r="H845" s="40">
        <v>23.03</v>
      </c>
      <c r="I845" s="40">
        <v>21.66</v>
      </c>
      <c r="J845" s="44"/>
      <c r="K845" s="40"/>
      <c r="L845" s="45">
        <v>23.03</v>
      </c>
      <c r="M845" s="46">
        <v>21.66</v>
      </c>
      <c r="N845" s="40">
        <f t="shared" si="78"/>
        <v>5.5346564876065416E-2</v>
      </c>
      <c r="O845" s="40">
        <f t="shared" si="79"/>
        <v>-1.9250268665567911E-2</v>
      </c>
      <c r="P845" s="40">
        <f t="shared" si="80"/>
        <v>-1.9066165481635769E-2</v>
      </c>
      <c r="Q845" s="40"/>
      <c r="R845" s="40"/>
      <c r="S845" t="s">
        <v>2382</v>
      </c>
      <c r="T845">
        <v>0.04</v>
      </c>
      <c r="U845" s="40">
        <f t="shared" si="81"/>
        <v>-0.22314355131420985</v>
      </c>
      <c r="V845" s="40">
        <f t="shared" si="82"/>
        <v>0.04</v>
      </c>
      <c r="W845" s="40">
        <f t="shared" si="83"/>
        <v>-0.22314355131420985</v>
      </c>
    </row>
    <row r="846" spans="1:23" x14ac:dyDescent="0.2">
      <c r="A846" s="40" t="s">
        <v>1258</v>
      </c>
      <c r="B846" s="40">
        <v>10.88</v>
      </c>
      <c r="C846" s="40">
        <v>11.51</v>
      </c>
      <c r="D846" s="40">
        <v>10.44</v>
      </c>
      <c r="E846" s="40">
        <v>11.16</v>
      </c>
      <c r="G846" s="36">
        <v>44463</v>
      </c>
      <c r="H846" s="40">
        <v>21.79</v>
      </c>
      <c r="I846" s="40">
        <v>22.081</v>
      </c>
      <c r="J846" s="44"/>
      <c r="K846" s="40"/>
      <c r="L846" s="45">
        <v>21.79</v>
      </c>
      <c r="M846" s="46">
        <v>22.081</v>
      </c>
      <c r="N846" s="40">
        <f t="shared" si="78"/>
        <v>-0.1196679543224132</v>
      </c>
      <c r="O846" s="40">
        <f t="shared" si="79"/>
        <v>-1.799747880119279E-2</v>
      </c>
      <c r="P846" s="40">
        <f t="shared" si="80"/>
        <v>-1.7836491415354497E-2</v>
      </c>
      <c r="Q846" s="40"/>
      <c r="R846" s="40"/>
      <c r="S846" t="s">
        <v>2381</v>
      </c>
      <c r="T846">
        <v>0.05</v>
      </c>
      <c r="U846" s="40">
        <f t="shared" si="81"/>
        <v>-0.18232155679395459</v>
      </c>
      <c r="V846" s="40">
        <f t="shared" si="82"/>
        <v>0.05</v>
      </c>
      <c r="W846" s="40">
        <f t="shared" si="83"/>
        <v>-0.18232155679395459</v>
      </c>
    </row>
    <row r="847" spans="1:23" x14ac:dyDescent="0.2">
      <c r="A847" s="40" t="s">
        <v>1259</v>
      </c>
      <c r="B847" s="40">
        <v>11.38</v>
      </c>
      <c r="C847" s="40">
        <v>14.09</v>
      </c>
      <c r="D847" s="40">
        <v>11.38</v>
      </c>
      <c r="E847" s="40">
        <v>13.35</v>
      </c>
      <c r="G847" s="36">
        <v>44462</v>
      </c>
      <c r="H847" s="40">
        <v>24.56</v>
      </c>
      <c r="I847" s="40">
        <v>22.481999999999999</v>
      </c>
      <c r="J847" s="44"/>
      <c r="K847" s="40"/>
      <c r="L847" s="45">
        <v>24.56</v>
      </c>
      <c r="M847" s="46">
        <v>22.481999999999999</v>
      </c>
      <c r="N847" s="40">
        <f t="shared" si="78"/>
        <v>0.37026147291518458</v>
      </c>
      <c r="O847" s="40">
        <f t="shared" si="79"/>
        <v>2.4357956379792593E-2</v>
      </c>
      <c r="P847" s="40">
        <f t="shared" si="80"/>
        <v>2.4657034775078638E-2</v>
      </c>
      <c r="Q847" s="40"/>
      <c r="R847" s="40"/>
      <c r="S847" t="s">
        <v>2380</v>
      </c>
      <c r="T847">
        <v>0.06</v>
      </c>
      <c r="U847" s="40">
        <f t="shared" si="81"/>
        <v>0</v>
      </c>
      <c r="V847" s="40">
        <f t="shared" si="82"/>
        <v>0.06</v>
      </c>
      <c r="W847" s="40">
        <f t="shared" si="83"/>
        <v>0</v>
      </c>
    </row>
    <row r="848" spans="1:23" x14ac:dyDescent="0.2">
      <c r="A848" s="40" t="s">
        <v>1260</v>
      </c>
      <c r="B848" s="40">
        <v>12.62</v>
      </c>
      <c r="C848" s="40">
        <v>13.78</v>
      </c>
      <c r="D848" s="40">
        <v>10.95</v>
      </c>
      <c r="E848" s="40">
        <v>11</v>
      </c>
      <c r="G848" s="36">
        <v>44461</v>
      </c>
      <c r="H848" s="40">
        <v>16.96</v>
      </c>
      <c r="I848" s="40">
        <v>21.940999999999999</v>
      </c>
      <c r="J848" s="44"/>
      <c r="K848" s="40"/>
      <c r="L848" s="45">
        <v>16.96</v>
      </c>
      <c r="M848" s="46">
        <v>21.940999999999999</v>
      </c>
      <c r="N848" s="40">
        <f t="shared" si="78"/>
        <v>0.10693408010525689</v>
      </c>
      <c r="O848" s="40">
        <f t="shared" si="79"/>
        <v>3.2188390301991249E-2</v>
      </c>
      <c r="P848" s="40">
        <f t="shared" si="80"/>
        <v>3.2712039913395476E-2</v>
      </c>
      <c r="Q848" s="40"/>
      <c r="R848" s="40"/>
      <c r="S848" t="s">
        <v>2379</v>
      </c>
      <c r="T848">
        <v>0.06</v>
      </c>
      <c r="U848" s="40">
        <f t="shared" si="81"/>
        <v>0</v>
      </c>
      <c r="V848" s="40">
        <f t="shared" si="82"/>
        <v>0.06</v>
      </c>
      <c r="W848" s="40">
        <f t="shared" si="83"/>
        <v>0</v>
      </c>
    </row>
    <row r="849" spans="1:23" x14ac:dyDescent="0.2">
      <c r="A849" s="40" t="s">
        <v>1261</v>
      </c>
      <c r="B849" s="40">
        <v>12.5</v>
      </c>
      <c r="C849" s="40">
        <v>12.61</v>
      </c>
      <c r="D849" s="40">
        <v>10.96</v>
      </c>
      <c r="E849" s="40">
        <v>11.01</v>
      </c>
      <c r="G849" s="36">
        <v>44460</v>
      </c>
      <c r="H849" s="40">
        <v>15.24</v>
      </c>
      <c r="I849" s="40">
        <v>21.245999999999999</v>
      </c>
      <c r="J849" s="44"/>
      <c r="K849" s="40"/>
      <c r="L849" s="45">
        <v>15.24</v>
      </c>
      <c r="M849" s="46">
        <v>21.245999999999999</v>
      </c>
      <c r="N849" s="40">
        <f t="shared" si="78"/>
        <v>-0.11398463810192347</v>
      </c>
      <c r="O849" s="40">
        <f t="shared" si="79"/>
        <v>6.2796778518757462E-3</v>
      </c>
      <c r="P849" s="40">
        <f t="shared" si="80"/>
        <v>6.299436366219823E-3</v>
      </c>
      <c r="Q849" s="40"/>
      <c r="R849" s="40"/>
      <c r="S849" t="s">
        <v>2378</v>
      </c>
      <c r="T849">
        <v>0.06</v>
      </c>
      <c r="U849" s="40">
        <f t="shared" si="81"/>
        <v>0.40546510810816438</v>
      </c>
      <c r="V849" s="40">
        <f t="shared" si="82"/>
        <v>0.06</v>
      </c>
      <c r="W849" s="40">
        <f t="shared" si="83"/>
        <v>0.40546510810816438</v>
      </c>
    </row>
    <row r="850" spans="1:23" x14ac:dyDescent="0.2">
      <c r="A850" s="40" t="s">
        <v>1262</v>
      </c>
      <c r="B850" s="40">
        <v>11.24</v>
      </c>
      <c r="C850" s="40">
        <v>12.73</v>
      </c>
      <c r="D850" s="40">
        <v>10.91</v>
      </c>
      <c r="E850" s="40">
        <v>12.21</v>
      </c>
      <c r="G850" s="36">
        <v>44459</v>
      </c>
      <c r="H850" s="40">
        <v>17.079999999999998</v>
      </c>
      <c r="I850" s="40">
        <v>21.113</v>
      </c>
      <c r="J850" s="44"/>
      <c r="K850" s="40"/>
      <c r="L850" s="45">
        <v>17.079999999999998</v>
      </c>
      <c r="M850" s="46">
        <v>21.113</v>
      </c>
      <c r="N850" s="40">
        <f t="shared" si="78"/>
        <v>-0.13045288839743535</v>
      </c>
      <c r="O850" s="40">
        <f t="shared" si="79"/>
        <v>-3.6597672316509094E-2</v>
      </c>
      <c r="P850" s="40">
        <f t="shared" si="80"/>
        <v>-3.5936073059360689E-2</v>
      </c>
      <c r="Q850" s="40"/>
      <c r="R850" s="40"/>
      <c r="S850" t="s">
        <v>2377</v>
      </c>
      <c r="T850">
        <v>0.04</v>
      </c>
      <c r="U850" s="40">
        <f t="shared" si="81"/>
        <v>-0.22314355131420985</v>
      </c>
      <c r="V850" s="40">
        <f t="shared" si="82"/>
        <v>0.04</v>
      </c>
      <c r="W850" s="40">
        <f t="shared" si="83"/>
        <v>-0.22314355131420985</v>
      </c>
    </row>
    <row r="851" spans="1:23" x14ac:dyDescent="0.2">
      <c r="A851" s="40" t="s">
        <v>1263</v>
      </c>
      <c r="B851" s="40">
        <v>11.18</v>
      </c>
      <c r="C851" s="40">
        <v>11.42</v>
      </c>
      <c r="D851" s="40">
        <v>10.43</v>
      </c>
      <c r="E851" s="40">
        <v>10.47</v>
      </c>
      <c r="G851" s="36">
        <v>44456</v>
      </c>
      <c r="H851" s="40">
        <v>19.46</v>
      </c>
      <c r="I851" s="40">
        <v>21.9</v>
      </c>
      <c r="J851" s="44"/>
      <c r="K851" s="40"/>
      <c r="L851" s="45">
        <v>19.46</v>
      </c>
      <c r="M851" s="46">
        <v>21.9</v>
      </c>
      <c r="N851" s="40">
        <f t="shared" si="78"/>
        <v>-0.25570127479764171</v>
      </c>
      <c r="O851" s="40">
        <f t="shared" si="79"/>
        <v>-1.5495756574195168E-2</v>
      </c>
      <c r="P851" s="40">
        <f t="shared" si="80"/>
        <v>-1.5376315079579277E-2</v>
      </c>
      <c r="Q851" s="40"/>
      <c r="R851" s="40"/>
      <c r="S851" t="s">
        <v>2376</v>
      </c>
      <c r="T851">
        <v>0.05</v>
      </c>
      <c r="U851" s="40">
        <f t="shared" si="81"/>
        <v>-0.18232155679395459</v>
      </c>
      <c r="V851" s="40">
        <f t="shared" si="82"/>
        <v>0.05</v>
      </c>
      <c r="W851" s="40">
        <f t="shared" si="83"/>
        <v>-0.18232155679395459</v>
      </c>
    </row>
    <row r="852" spans="1:23" x14ac:dyDescent="0.2">
      <c r="A852" s="40" t="s">
        <v>1264</v>
      </c>
      <c r="B852" s="40">
        <v>10.39</v>
      </c>
      <c r="C852" s="40">
        <v>10.86</v>
      </c>
      <c r="D852" s="40">
        <v>9.9700000000000006</v>
      </c>
      <c r="E852" s="40">
        <v>10.27</v>
      </c>
      <c r="G852" s="36">
        <v>44455</v>
      </c>
      <c r="H852" s="40">
        <v>25.13</v>
      </c>
      <c r="I852" s="40">
        <v>22.242000000000001</v>
      </c>
      <c r="J852" s="44"/>
      <c r="K852" s="40"/>
      <c r="L852" s="45">
        <v>25.13</v>
      </c>
      <c r="M852" s="46">
        <v>22.242000000000001</v>
      </c>
      <c r="N852" s="40">
        <f t="shared" si="78"/>
        <v>-9.7370061637791994E-2</v>
      </c>
      <c r="O852" s="40">
        <f t="shared" si="79"/>
        <v>-4.4411619999679365E-3</v>
      </c>
      <c r="P852" s="40">
        <f t="shared" si="80"/>
        <v>-4.431314623338266E-3</v>
      </c>
      <c r="Q852" s="40"/>
      <c r="R852" s="40"/>
      <c r="S852" t="s">
        <v>2375</v>
      </c>
      <c r="T852">
        <v>0.06</v>
      </c>
      <c r="U852" s="40">
        <f t="shared" si="81"/>
        <v>0</v>
      </c>
      <c r="V852" s="40">
        <f t="shared" si="82"/>
        <v>0.06</v>
      </c>
      <c r="W852" s="40">
        <f t="shared" si="83"/>
        <v>0</v>
      </c>
    </row>
    <row r="853" spans="1:23" x14ac:dyDescent="0.2">
      <c r="A853" s="40" t="s">
        <v>1265</v>
      </c>
      <c r="B853" s="40">
        <v>10.42</v>
      </c>
      <c r="C853" s="40">
        <v>10.55</v>
      </c>
      <c r="D853" s="40">
        <v>9.4700000000000006</v>
      </c>
      <c r="E853" s="40">
        <v>9.49</v>
      </c>
      <c r="G853" s="36">
        <v>44454</v>
      </c>
      <c r="H853" s="40">
        <v>27.7</v>
      </c>
      <c r="I853" s="40">
        <v>22.341000000000001</v>
      </c>
      <c r="J853" s="44"/>
      <c r="K853" s="40"/>
      <c r="L853" s="45">
        <v>27.7</v>
      </c>
      <c r="M853" s="46">
        <v>22.341000000000001</v>
      </c>
      <c r="N853" s="40">
        <f t="shared" si="78"/>
        <v>0.34284629847427228</v>
      </c>
      <c r="O853" s="40">
        <f t="shared" si="79"/>
        <v>4.441161999968057E-3</v>
      </c>
      <c r="P853" s="40">
        <f t="shared" si="80"/>
        <v>4.4510385756676646E-3</v>
      </c>
      <c r="Q853" s="40"/>
      <c r="R853" s="40"/>
      <c r="S853" s="47">
        <v>44478</v>
      </c>
      <c r="T853">
        <v>0.06</v>
      </c>
      <c r="U853" s="40">
        <f t="shared" si="81"/>
        <v>-0.1541506798272585</v>
      </c>
      <c r="V853" s="40">
        <f t="shared" si="82"/>
        <v>0.06</v>
      </c>
      <c r="W853" s="40">
        <f t="shared" si="83"/>
        <v>-0.1541506798272585</v>
      </c>
    </row>
    <row r="854" spans="1:23" x14ac:dyDescent="0.2">
      <c r="A854" s="40" t="s">
        <v>1266</v>
      </c>
      <c r="B854" s="40">
        <v>10.95</v>
      </c>
      <c r="C854" s="40">
        <v>11.43</v>
      </c>
      <c r="D854" s="40">
        <v>10.56</v>
      </c>
      <c r="E854" s="40">
        <v>10.65</v>
      </c>
      <c r="G854" s="36">
        <v>44453</v>
      </c>
      <c r="H854" s="40">
        <v>19.66</v>
      </c>
      <c r="I854" s="40">
        <v>22.242000000000001</v>
      </c>
      <c r="J854" s="44"/>
      <c r="K854" s="40"/>
      <c r="L854" s="45">
        <v>19.66</v>
      </c>
      <c r="M854" s="46">
        <v>22.242000000000001</v>
      </c>
      <c r="N854" s="40">
        <f t="shared" si="78"/>
        <v>0.16677667932595794</v>
      </c>
      <c r="O854" s="40">
        <f t="shared" si="79"/>
        <v>4.0546075279895462E-3</v>
      </c>
      <c r="P854" s="40">
        <f t="shared" si="80"/>
        <v>4.0628385698808171E-3</v>
      </c>
      <c r="Q854" s="40"/>
      <c r="R854" s="40"/>
      <c r="S854" s="47">
        <v>44448</v>
      </c>
      <c r="T854">
        <v>7.0000000000000007E-2</v>
      </c>
      <c r="U854" s="40">
        <f t="shared" si="81"/>
        <v>0.33647223662121301</v>
      </c>
      <c r="V854" s="40">
        <f t="shared" si="82"/>
        <v>7.0000000000000007E-2</v>
      </c>
      <c r="W854" s="40">
        <f t="shared" si="83"/>
        <v>0.33647223662121301</v>
      </c>
    </row>
    <row r="855" spans="1:23" x14ac:dyDescent="0.2">
      <c r="A855" s="40" t="s">
        <v>1267</v>
      </c>
      <c r="B855" s="40">
        <v>10.81</v>
      </c>
      <c r="C855" s="40">
        <v>11.2</v>
      </c>
      <c r="D855" s="40">
        <v>10.46</v>
      </c>
      <c r="E855" s="40">
        <v>10.58</v>
      </c>
      <c r="G855" s="36">
        <v>44452</v>
      </c>
      <c r="H855" s="40">
        <v>16.64</v>
      </c>
      <c r="I855" s="40">
        <v>22.152000000000001</v>
      </c>
      <c r="J855" s="44"/>
      <c r="K855" s="40"/>
      <c r="L855" s="45">
        <v>16.64</v>
      </c>
      <c r="M855" s="46">
        <v>22.152000000000001</v>
      </c>
      <c r="N855" s="40">
        <f t="shared" si="78"/>
        <v>2.6798193154724217E-2</v>
      </c>
      <c r="O855" s="40">
        <f t="shared" si="79"/>
        <v>-1.4609267227414666E-2</v>
      </c>
      <c r="P855" s="40">
        <f t="shared" si="80"/>
        <v>-1.4503069668119961E-2</v>
      </c>
      <c r="Q855" s="40"/>
      <c r="R855" s="40"/>
      <c r="S855" s="47">
        <v>44417</v>
      </c>
      <c r="T855">
        <v>0.05</v>
      </c>
      <c r="U855" s="40">
        <f t="shared" si="81"/>
        <v>0.22314355131420976</v>
      </c>
      <c r="V855" s="40">
        <f t="shared" si="82"/>
        <v>0.05</v>
      </c>
      <c r="W855" s="40">
        <f t="shared" si="83"/>
        <v>0.22314355131420976</v>
      </c>
    </row>
    <row r="856" spans="1:23" x14ac:dyDescent="0.2">
      <c r="A856" s="40" t="s">
        <v>1268</v>
      </c>
      <c r="B856" s="40">
        <v>10.45</v>
      </c>
      <c r="C856" s="40">
        <v>10.9</v>
      </c>
      <c r="D856" s="40">
        <v>10.31</v>
      </c>
      <c r="E856" s="40">
        <v>10.31</v>
      </c>
      <c r="G856" s="36">
        <v>44449</v>
      </c>
      <c r="H856" s="40">
        <v>16.2</v>
      </c>
      <c r="I856" s="40">
        <v>22.478000000000002</v>
      </c>
      <c r="J856" s="44"/>
      <c r="K856" s="40"/>
      <c r="L856" s="45">
        <v>16.2</v>
      </c>
      <c r="M856" s="46">
        <v>22.478000000000002</v>
      </c>
      <c r="N856" s="40">
        <f t="shared" si="78"/>
        <v>-0.18180702115101033</v>
      </c>
      <c r="O856" s="40">
        <f t="shared" si="79"/>
        <v>1.348133731018358E-2</v>
      </c>
      <c r="P856" s="40">
        <f t="shared" si="80"/>
        <v>1.3572620282274515E-2</v>
      </c>
      <c r="Q856" s="40"/>
      <c r="R856" s="40"/>
      <c r="S856" s="47">
        <v>44386</v>
      </c>
      <c r="T856">
        <v>0.04</v>
      </c>
      <c r="U856" s="40">
        <f t="shared" si="81"/>
        <v>0</v>
      </c>
      <c r="V856" s="40">
        <f t="shared" si="82"/>
        <v>0.04</v>
      </c>
      <c r="W856" s="40">
        <f t="shared" si="83"/>
        <v>0</v>
      </c>
    </row>
    <row r="857" spans="1:23" x14ac:dyDescent="0.2">
      <c r="A857" s="40" t="s">
        <v>1269</v>
      </c>
      <c r="B857" s="40">
        <v>10.43</v>
      </c>
      <c r="C857" s="40">
        <v>10.58</v>
      </c>
      <c r="D857" s="40">
        <v>9.7200000000000006</v>
      </c>
      <c r="E857" s="40">
        <v>9.73</v>
      </c>
      <c r="G857" s="36">
        <v>44448</v>
      </c>
      <c r="H857" s="40">
        <v>19.43</v>
      </c>
      <c r="I857" s="40">
        <v>22.177</v>
      </c>
      <c r="J857" s="44"/>
      <c r="K857" s="40"/>
      <c r="L857" s="45">
        <v>19.43</v>
      </c>
      <c r="M857" s="46">
        <v>22.177</v>
      </c>
      <c r="N857" s="40">
        <f t="shared" si="78"/>
        <v>-3.8864341017810396E-2</v>
      </c>
      <c r="O857" s="40">
        <f t="shared" si="79"/>
        <v>-7.2783140958946838E-3</v>
      </c>
      <c r="P857" s="40">
        <f t="shared" si="80"/>
        <v>-7.2518913111598122E-3</v>
      </c>
      <c r="Q857" s="40"/>
      <c r="R857" s="40"/>
      <c r="S857" s="47">
        <v>44264</v>
      </c>
      <c r="T857">
        <v>0.04</v>
      </c>
      <c r="U857" s="40">
        <f t="shared" si="81"/>
        <v>-0.22314355131420985</v>
      </c>
      <c r="V857" s="40">
        <f t="shared" si="82"/>
        <v>0.04</v>
      </c>
      <c r="W857" s="40">
        <f t="shared" si="83"/>
        <v>-0.22314355131420985</v>
      </c>
    </row>
    <row r="858" spans="1:23" x14ac:dyDescent="0.2">
      <c r="A858" s="41">
        <v>41676</v>
      </c>
      <c r="B858" s="40">
        <v>10.57</v>
      </c>
      <c r="C858" s="40">
        <v>11.34</v>
      </c>
      <c r="D858" s="40">
        <v>9.91</v>
      </c>
      <c r="E858" s="40">
        <v>10.47</v>
      </c>
      <c r="G858" s="36">
        <v>44447</v>
      </c>
      <c r="H858" s="40">
        <v>20.2</v>
      </c>
      <c r="I858" s="40">
        <v>22.338999999999999</v>
      </c>
      <c r="J858" s="44"/>
      <c r="K858" s="40"/>
      <c r="L858" s="45">
        <v>20.2</v>
      </c>
      <c r="M858" s="46">
        <v>22.338999999999999</v>
      </c>
      <c r="N858" s="40">
        <f t="shared" si="78"/>
        <v>-0.11138195431435678</v>
      </c>
      <c r="O858" s="40">
        <f t="shared" si="79"/>
        <v>-1.4355483076588125E-2</v>
      </c>
      <c r="P858" s="40">
        <f t="shared" si="80"/>
        <v>-1.4252934427676304E-2</v>
      </c>
      <c r="Q858" s="40"/>
      <c r="R858" s="40"/>
      <c r="S858" s="47">
        <v>44236</v>
      </c>
      <c r="T858">
        <v>0.05</v>
      </c>
      <c r="U858" s="40">
        <f t="shared" si="81"/>
        <v>0.22314355131420976</v>
      </c>
      <c r="V858" s="40">
        <f t="shared" si="82"/>
        <v>0.05</v>
      </c>
      <c r="W858" s="40">
        <f t="shared" si="83"/>
        <v>0.22314355131420976</v>
      </c>
    </row>
    <row r="859" spans="1:23" x14ac:dyDescent="0.2">
      <c r="A859" s="41">
        <v>41704</v>
      </c>
      <c r="B859" s="40">
        <v>10.82</v>
      </c>
      <c r="C859" s="40">
        <v>11.13</v>
      </c>
      <c r="D859" s="40">
        <v>10.16</v>
      </c>
      <c r="E859" s="40">
        <v>11.01</v>
      </c>
      <c r="G859" s="36">
        <v>44446</v>
      </c>
      <c r="H859" s="40">
        <v>22.58</v>
      </c>
      <c r="I859" s="40">
        <v>22.661999999999999</v>
      </c>
      <c r="J859" s="44"/>
      <c r="K859" s="40"/>
      <c r="L859" s="45">
        <v>22.58</v>
      </c>
      <c r="M859" s="46">
        <v>22.661999999999999</v>
      </c>
      <c r="N859" s="40">
        <f t="shared" si="78"/>
        <v>0.31067845689844392</v>
      </c>
      <c r="O859" s="40">
        <f t="shared" si="79"/>
        <v>-7.9552117153578183E-3</v>
      </c>
      <c r="P859" s="40">
        <f t="shared" si="80"/>
        <v>-7.9236527601453804E-3</v>
      </c>
      <c r="Q859" s="40"/>
      <c r="R859" s="40"/>
      <c r="S859" s="47">
        <v>44205</v>
      </c>
      <c r="T859">
        <v>0.04</v>
      </c>
      <c r="U859" s="40">
        <f t="shared" si="81"/>
        <v>0.28768207245178101</v>
      </c>
      <c r="V859" s="40">
        <f t="shared" si="82"/>
        <v>0.04</v>
      </c>
      <c r="W859" s="40">
        <f t="shared" si="83"/>
        <v>0.28768207245178101</v>
      </c>
    </row>
    <row r="860" spans="1:23" x14ac:dyDescent="0.2">
      <c r="A860" s="41">
        <v>41735</v>
      </c>
      <c r="B860" s="40">
        <v>11.29</v>
      </c>
      <c r="C860" s="40">
        <v>11.74</v>
      </c>
      <c r="D860" s="40">
        <v>11.13</v>
      </c>
      <c r="E860" s="40">
        <v>11.59</v>
      </c>
      <c r="G860" s="36">
        <v>44442</v>
      </c>
      <c r="H860" s="40">
        <v>16.55</v>
      </c>
      <c r="I860" s="40">
        <v>22.843</v>
      </c>
      <c r="J860" s="44"/>
      <c r="K860" s="40"/>
      <c r="L860" s="45">
        <v>16.55</v>
      </c>
      <c r="M860" s="46">
        <v>22.843</v>
      </c>
      <c r="N860" s="40">
        <f t="shared" si="78"/>
        <v>0.11514301903724314</v>
      </c>
      <c r="O860" s="40">
        <f t="shared" si="79"/>
        <v>1.9762353187085739E-2</v>
      </c>
      <c r="P860" s="40">
        <f t="shared" si="80"/>
        <v>1.995892123593495E-2</v>
      </c>
      <c r="Q860" s="40"/>
      <c r="R860" s="40"/>
      <c r="S860" t="s">
        <v>2374</v>
      </c>
      <c r="T860">
        <v>0.03</v>
      </c>
      <c r="U860" s="40">
        <f t="shared" si="81"/>
        <v>-0.2876820724517809</v>
      </c>
      <c r="V860" s="40">
        <f t="shared" si="82"/>
        <v>0.03</v>
      </c>
      <c r="W860" s="40">
        <f t="shared" si="83"/>
        <v>-0.2876820724517809</v>
      </c>
    </row>
    <row r="861" spans="1:23" x14ac:dyDescent="0.2">
      <c r="A861" s="41">
        <v>41765</v>
      </c>
      <c r="B861" s="40">
        <v>11.52</v>
      </c>
      <c r="C861" s="40">
        <v>11.85</v>
      </c>
      <c r="D861" s="40">
        <v>10.38</v>
      </c>
      <c r="E861" s="40">
        <v>10.88</v>
      </c>
      <c r="G861" s="36">
        <v>44441</v>
      </c>
      <c r="H861" s="40">
        <v>14.75</v>
      </c>
      <c r="I861" s="40">
        <v>22.396000000000001</v>
      </c>
      <c r="J861" s="44"/>
      <c r="K861" s="40"/>
      <c r="L861" s="45">
        <v>14.75</v>
      </c>
      <c r="M861" s="46">
        <v>22.396000000000001</v>
      </c>
      <c r="N861" s="40">
        <f t="shared" si="78"/>
        <v>-3.8568610097893925E-2</v>
      </c>
      <c r="O861" s="40">
        <f t="shared" si="79"/>
        <v>-2.0072714547926117E-3</v>
      </c>
      <c r="P861" s="40">
        <f t="shared" si="80"/>
        <v>-2.0052582326989953E-3</v>
      </c>
      <c r="Q861" s="40"/>
      <c r="R861" s="40"/>
      <c r="S861" t="s">
        <v>2373</v>
      </c>
      <c r="T861">
        <v>0.04</v>
      </c>
      <c r="U861" s="40">
        <f t="shared" si="81"/>
        <v>0</v>
      </c>
      <c r="V861" s="40">
        <f t="shared" si="82"/>
        <v>0.04</v>
      </c>
      <c r="W861" s="40">
        <f t="shared" si="83"/>
        <v>0</v>
      </c>
    </row>
    <row r="862" spans="1:23" x14ac:dyDescent="0.2">
      <c r="A862" s="41">
        <v>41796</v>
      </c>
      <c r="B862" s="40">
        <v>9.94</v>
      </c>
      <c r="C862" s="40">
        <v>10.15</v>
      </c>
      <c r="D862" s="40">
        <v>9.25</v>
      </c>
      <c r="E862" s="40">
        <v>9.25</v>
      </c>
      <c r="G862" s="36">
        <v>44440</v>
      </c>
      <c r="H862" s="40">
        <v>15.33</v>
      </c>
      <c r="I862" s="40">
        <v>22.440999999999999</v>
      </c>
      <c r="J862" s="44"/>
      <c r="K862" s="40"/>
      <c r="L862" s="45">
        <v>15.33</v>
      </c>
      <c r="M862" s="46">
        <v>22.440999999999999</v>
      </c>
      <c r="N862" s="40">
        <f t="shared" si="78"/>
        <v>0.27364751196137632</v>
      </c>
      <c r="O862" s="40">
        <f t="shared" si="79"/>
        <v>2.4985512485104265E-3</v>
      </c>
      <c r="P862" s="40">
        <f t="shared" si="80"/>
        <v>2.5016752289478391E-3</v>
      </c>
      <c r="Q862" s="40"/>
      <c r="R862" s="40"/>
      <c r="S862" t="s">
        <v>2372</v>
      </c>
      <c r="T862">
        <v>0.04</v>
      </c>
      <c r="U862" s="40">
        <f t="shared" si="81"/>
        <v>0</v>
      </c>
      <c r="V862" s="40">
        <f t="shared" si="82"/>
        <v>0.04</v>
      </c>
      <c r="W862" s="40">
        <f t="shared" si="83"/>
        <v>0</v>
      </c>
    </row>
    <row r="863" spans="1:23" x14ac:dyDescent="0.2">
      <c r="A863" s="41">
        <v>41888</v>
      </c>
      <c r="B863" s="40">
        <v>10.48</v>
      </c>
      <c r="C863" s="40">
        <v>10.54</v>
      </c>
      <c r="D863" s="40">
        <v>9.75</v>
      </c>
      <c r="E863" s="40">
        <v>9.77</v>
      </c>
      <c r="G863" s="36">
        <v>44439</v>
      </c>
      <c r="H863" s="40">
        <v>11.66</v>
      </c>
      <c r="I863" s="40">
        <v>22.385000000000002</v>
      </c>
      <c r="J863" s="44"/>
      <c r="K863" s="40"/>
      <c r="L863" s="45">
        <v>11.66</v>
      </c>
      <c r="M863" s="46">
        <v>22.385000000000002</v>
      </c>
      <c r="N863" s="40">
        <f t="shared" si="78"/>
        <v>-8.7797231646968801E-2</v>
      </c>
      <c r="O863" s="40">
        <f t="shared" si="79"/>
        <v>-1.344505865678804E-2</v>
      </c>
      <c r="P863" s="40">
        <f t="shared" si="80"/>
        <v>-1.3355077574047835E-2</v>
      </c>
      <c r="Q863" s="40"/>
      <c r="R863" s="40"/>
      <c r="S863" t="s">
        <v>2371</v>
      </c>
      <c r="T863">
        <v>0.04</v>
      </c>
      <c r="U863" s="40">
        <f t="shared" si="81"/>
        <v>0</v>
      </c>
      <c r="V863" s="40">
        <f t="shared" si="82"/>
        <v>0.04</v>
      </c>
      <c r="W863" s="40">
        <f t="shared" si="83"/>
        <v>0</v>
      </c>
    </row>
    <row r="864" spans="1:23" x14ac:dyDescent="0.2">
      <c r="A864" s="41">
        <v>41918</v>
      </c>
      <c r="B864" s="40">
        <v>10.220000000000001</v>
      </c>
      <c r="C864" s="40">
        <v>10.45</v>
      </c>
      <c r="D864" s="40">
        <v>9.4600000000000009</v>
      </c>
      <c r="E864" s="40">
        <v>9.52</v>
      </c>
      <c r="G864" s="36">
        <v>44438</v>
      </c>
      <c r="H864" s="40">
        <v>12.73</v>
      </c>
      <c r="I864" s="40">
        <v>22.687999999999999</v>
      </c>
      <c r="J864" s="44"/>
      <c r="K864" s="40"/>
      <c r="L864" s="45">
        <v>12.73</v>
      </c>
      <c r="M864" s="46">
        <v>22.687999999999999</v>
      </c>
      <c r="N864" s="40">
        <f t="shared" si="78"/>
        <v>8.0108171979147214E-2</v>
      </c>
      <c r="O864" s="40">
        <f t="shared" si="79"/>
        <v>2.294591069439507E-3</v>
      </c>
      <c r="P864" s="40">
        <f t="shared" si="80"/>
        <v>2.2972256582434883E-3</v>
      </c>
      <c r="Q864" s="40"/>
      <c r="R864" s="40"/>
      <c r="S864" t="s">
        <v>2370</v>
      </c>
      <c r="T864">
        <v>0.04</v>
      </c>
      <c r="U864" s="40">
        <f t="shared" si="81"/>
        <v>0.28768207245178101</v>
      </c>
      <c r="V864" s="40">
        <f t="shared" si="82"/>
        <v>0.04</v>
      </c>
      <c r="W864" s="40">
        <f t="shared" si="83"/>
        <v>0.28768207245178101</v>
      </c>
    </row>
    <row r="865" spans="1:23" x14ac:dyDescent="0.2">
      <c r="A865" s="41">
        <v>41949</v>
      </c>
      <c r="B865" s="40">
        <v>10.23</v>
      </c>
      <c r="C865" s="40">
        <v>10.6</v>
      </c>
      <c r="D865" s="40">
        <v>9.84</v>
      </c>
      <c r="E865" s="40">
        <v>10.45</v>
      </c>
      <c r="G865" s="36">
        <v>44435</v>
      </c>
      <c r="H865" s="40">
        <v>11.75</v>
      </c>
      <c r="I865" s="40">
        <v>22.635999999999999</v>
      </c>
      <c r="J865" s="44"/>
      <c r="K865" s="40"/>
      <c r="L865" s="45">
        <v>11.75</v>
      </c>
      <c r="M865" s="46">
        <v>22.635999999999999</v>
      </c>
      <c r="N865" s="40">
        <f t="shared" si="78"/>
        <v>-8.1678031014267238E-2</v>
      </c>
      <c r="O865" s="40">
        <f t="shared" si="79"/>
        <v>2.5412963870092908E-2</v>
      </c>
      <c r="P865" s="40">
        <f t="shared" si="80"/>
        <v>2.573862606489024E-2</v>
      </c>
      <c r="Q865" s="40"/>
      <c r="R865" s="40"/>
      <c r="S865" t="s">
        <v>2369</v>
      </c>
      <c r="T865">
        <v>0.03</v>
      </c>
      <c r="U865" s="40">
        <f t="shared" si="81"/>
        <v>-0.2876820724517809</v>
      </c>
      <c r="V865" s="40">
        <f t="shared" si="82"/>
        <v>0.03</v>
      </c>
      <c r="W865" s="40">
        <f t="shared" si="83"/>
        <v>-0.2876820724517809</v>
      </c>
    </row>
    <row r="866" spans="1:23" x14ac:dyDescent="0.2">
      <c r="A866" s="41">
        <v>41979</v>
      </c>
      <c r="B866" s="40">
        <v>10.63</v>
      </c>
      <c r="C866" s="40">
        <v>12.51</v>
      </c>
      <c r="D866" s="40">
        <v>10.5</v>
      </c>
      <c r="E866" s="40">
        <v>11.99</v>
      </c>
      <c r="G866" s="36">
        <v>44434</v>
      </c>
      <c r="H866" s="40">
        <v>12.75</v>
      </c>
      <c r="I866" s="40">
        <v>22.068000000000001</v>
      </c>
      <c r="J866" s="44"/>
      <c r="K866" s="40"/>
      <c r="L866" s="45">
        <v>12.75</v>
      </c>
      <c r="M866" s="46">
        <v>22.068000000000001</v>
      </c>
      <c r="N866" s="40">
        <f t="shared" si="78"/>
        <v>6.062462181643484E-2</v>
      </c>
      <c r="O866" s="40">
        <f t="shared" si="79"/>
        <v>-6.5491076653011035E-3</v>
      </c>
      <c r="P866" s="40">
        <f t="shared" si="80"/>
        <v>-6.527708999234663E-3</v>
      </c>
      <c r="Q866" s="40"/>
      <c r="R866" s="40"/>
      <c r="S866" t="s">
        <v>2368</v>
      </c>
      <c r="T866">
        <v>0.04</v>
      </c>
      <c r="U866" s="40">
        <f t="shared" si="81"/>
        <v>0</v>
      </c>
      <c r="V866" s="40">
        <f t="shared" si="82"/>
        <v>0.04</v>
      </c>
      <c r="W866" s="40">
        <f t="shared" si="83"/>
        <v>0</v>
      </c>
    </row>
    <row r="867" spans="1:23" x14ac:dyDescent="0.2">
      <c r="A867" s="40" t="s">
        <v>1270</v>
      </c>
      <c r="B867" s="40">
        <v>11.9</v>
      </c>
      <c r="C867" s="40">
        <v>12.23</v>
      </c>
      <c r="D867" s="40">
        <v>11.39</v>
      </c>
      <c r="E867" s="40">
        <v>11.48</v>
      </c>
      <c r="G867" s="36">
        <v>44433</v>
      </c>
      <c r="H867" s="40">
        <v>12</v>
      </c>
      <c r="I867" s="40">
        <v>22.213000000000001</v>
      </c>
      <c r="J867" s="44"/>
      <c r="K867" s="40"/>
      <c r="L867" s="45">
        <v>12</v>
      </c>
      <c r="M867" s="46">
        <v>22.213000000000001</v>
      </c>
      <c r="N867" s="40">
        <f t="shared" si="78"/>
        <v>-2.6317308317373417E-2</v>
      </c>
      <c r="O867" s="40">
        <f t="shared" si="79"/>
        <v>1.9088885761811468E-2</v>
      </c>
      <c r="P867" s="40">
        <f t="shared" si="80"/>
        <v>1.9272243380902204E-2</v>
      </c>
      <c r="Q867" s="40"/>
      <c r="R867" s="40"/>
      <c r="S867" t="s">
        <v>2367</v>
      </c>
      <c r="T867">
        <v>0.04</v>
      </c>
      <c r="U867" s="40">
        <f t="shared" si="81"/>
        <v>0</v>
      </c>
      <c r="V867" s="40">
        <f t="shared" si="82"/>
        <v>0.04</v>
      </c>
      <c r="W867" s="40">
        <f t="shared" si="83"/>
        <v>0</v>
      </c>
    </row>
    <row r="868" spans="1:23" x14ac:dyDescent="0.2">
      <c r="A868" s="40" t="s">
        <v>1271</v>
      </c>
      <c r="B868" s="40">
        <v>12.98</v>
      </c>
      <c r="C868" s="40">
        <v>13.15</v>
      </c>
      <c r="D868" s="40">
        <v>12.09</v>
      </c>
      <c r="E868" s="40">
        <v>12.54</v>
      </c>
      <c r="G868" s="36">
        <v>44432</v>
      </c>
      <c r="H868" s="40">
        <v>12.32</v>
      </c>
      <c r="I868" s="40">
        <v>21.792999999999999</v>
      </c>
      <c r="J868" s="44"/>
      <c r="K868" s="40"/>
      <c r="L868" s="45">
        <v>12.32</v>
      </c>
      <c r="M868" s="46">
        <v>21.792999999999999</v>
      </c>
      <c r="N868" s="40">
        <f t="shared" si="78"/>
        <v>-0.32843912979872841</v>
      </c>
      <c r="O868" s="40">
        <f t="shared" si="79"/>
        <v>-7.5427204988665125E-3</v>
      </c>
      <c r="P868" s="40">
        <f t="shared" si="80"/>
        <v>-7.5143455688131506E-3</v>
      </c>
      <c r="Q868" s="40"/>
      <c r="R868" s="40"/>
      <c r="S868" t="s">
        <v>2366</v>
      </c>
      <c r="T868">
        <v>0.04</v>
      </c>
      <c r="U868" s="40">
        <f t="shared" si="81"/>
        <v>0.28768207245178101</v>
      </c>
      <c r="V868" s="40">
        <f t="shared" si="82"/>
        <v>0.04</v>
      </c>
      <c r="W868" s="40">
        <f t="shared" si="83"/>
        <v>0.28768207245178101</v>
      </c>
    </row>
    <row r="869" spans="1:23" x14ac:dyDescent="0.2">
      <c r="A869" s="40" t="s">
        <v>1272</v>
      </c>
      <c r="B869" s="40">
        <v>12.78</v>
      </c>
      <c r="C869" s="40">
        <v>12.93</v>
      </c>
      <c r="D869" s="40">
        <v>12.05</v>
      </c>
      <c r="E869" s="40">
        <v>12.68</v>
      </c>
      <c r="G869" s="36">
        <v>44431</v>
      </c>
      <c r="H869" s="40">
        <v>17.11</v>
      </c>
      <c r="I869" s="40">
        <v>21.957999999999998</v>
      </c>
      <c r="J869" s="44"/>
      <c r="K869" s="40"/>
      <c r="L869" s="45">
        <v>17.11</v>
      </c>
      <c r="M869" s="46">
        <v>21.957999999999998</v>
      </c>
      <c r="N869" s="40">
        <f t="shared" si="78"/>
        <v>0.27548325722159395</v>
      </c>
      <c r="O869" s="40">
        <f t="shared" si="79"/>
        <v>5.3409616042391209E-2</v>
      </c>
      <c r="P869" s="40">
        <f t="shared" si="80"/>
        <v>5.4861644888547251E-2</v>
      </c>
      <c r="Q869" s="40"/>
      <c r="R869" s="40"/>
      <c r="S869" t="s">
        <v>2365</v>
      </c>
      <c r="T869">
        <v>0.03</v>
      </c>
      <c r="U869" s="40">
        <f t="shared" si="81"/>
        <v>0</v>
      </c>
      <c r="V869" s="40">
        <f t="shared" si="82"/>
        <v>0.03</v>
      </c>
      <c r="W869" s="40">
        <f t="shared" si="83"/>
        <v>0</v>
      </c>
    </row>
    <row r="870" spans="1:23" x14ac:dyDescent="0.2">
      <c r="A870" s="40" t="s">
        <v>1273</v>
      </c>
      <c r="B870" s="40">
        <v>12.86</v>
      </c>
      <c r="C870" s="40">
        <v>12.9</v>
      </c>
      <c r="D870" s="40">
        <v>10.5</v>
      </c>
      <c r="E870" s="40">
        <v>10.55</v>
      </c>
      <c r="G870" s="36">
        <v>44428</v>
      </c>
      <c r="H870" s="40">
        <v>12.99</v>
      </c>
      <c r="I870" s="40">
        <v>20.815999999999999</v>
      </c>
      <c r="J870" s="44"/>
      <c r="K870" s="40"/>
      <c r="L870" s="45">
        <v>12.99</v>
      </c>
      <c r="M870" s="46">
        <v>20.815999999999999</v>
      </c>
      <c r="N870" s="40">
        <f t="shared" si="78"/>
        <v>-7.0582574649869625E-2</v>
      </c>
      <c r="O870" s="40">
        <f t="shared" si="79"/>
        <v>5.0140999272533793E-2</v>
      </c>
      <c r="P870" s="40">
        <f t="shared" si="80"/>
        <v>5.1419335286392601E-2</v>
      </c>
      <c r="Q870" s="40"/>
      <c r="R870" s="40"/>
      <c r="S870" t="s">
        <v>2364</v>
      </c>
      <c r="T870">
        <v>0.03</v>
      </c>
      <c r="U870" s="40">
        <f t="shared" si="81"/>
        <v>-0.2876820724517809</v>
      </c>
      <c r="V870" s="40">
        <f t="shared" si="82"/>
        <v>0.03</v>
      </c>
      <c r="W870" s="40">
        <f t="shared" si="83"/>
        <v>-0.2876820724517809</v>
      </c>
    </row>
    <row r="871" spans="1:23" x14ac:dyDescent="0.2">
      <c r="A871" s="40" t="s">
        <v>1274</v>
      </c>
      <c r="B871" s="40">
        <v>10.18</v>
      </c>
      <c r="C871" s="40">
        <v>10.41</v>
      </c>
      <c r="D871" s="40">
        <v>9.5</v>
      </c>
      <c r="E871" s="40">
        <v>10.07</v>
      </c>
      <c r="G871" s="36">
        <v>44427</v>
      </c>
      <c r="H871" s="40">
        <v>13.94</v>
      </c>
      <c r="I871" s="40">
        <v>19.797999999999998</v>
      </c>
      <c r="J871" s="44"/>
      <c r="K871" s="40"/>
      <c r="L871" s="45">
        <v>13.94</v>
      </c>
      <c r="M871" s="46">
        <v>19.797999999999998</v>
      </c>
      <c r="N871" s="40">
        <f t="shared" si="78"/>
        <v>-5.7224762740662105E-3</v>
      </c>
      <c r="O871" s="40">
        <f t="shared" si="79"/>
        <v>3.9038893134396242E-2</v>
      </c>
      <c r="P871" s="40">
        <f t="shared" si="80"/>
        <v>3.9810924369747855E-2</v>
      </c>
      <c r="Q871" s="40"/>
      <c r="R871" s="40"/>
      <c r="S871" t="s">
        <v>2363</v>
      </c>
      <c r="T871">
        <v>0.04</v>
      </c>
      <c r="U871" s="40">
        <f t="shared" si="81"/>
        <v>0</v>
      </c>
      <c r="V871" s="40">
        <f t="shared" si="82"/>
        <v>0.04</v>
      </c>
      <c r="W871" s="40">
        <f t="shared" si="83"/>
        <v>0</v>
      </c>
    </row>
    <row r="872" spans="1:23" x14ac:dyDescent="0.2">
      <c r="A872" s="40" t="s">
        <v>1275</v>
      </c>
      <c r="B872" s="40">
        <v>9.82</v>
      </c>
      <c r="C872" s="40">
        <v>10.53</v>
      </c>
      <c r="D872" s="40">
        <v>9.69</v>
      </c>
      <c r="E872" s="40">
        <v>10.33</v>
      </c>
      <c r="G872" s="36">
        <v>44426</v>
      </c>
      <c r="H872" s="40">
        <v>14.02</v>
      </c>
      <c r="I872" s="40">
        <v>19.04</v>
      </c>
      <c r="J872" s="44"/>
      <c r="K872" s="40"/>
      <c r="L872" s="45">
        <v>14.02</v>
      </c>
      <c r="M872" s="46">
        <v>19.04</v>
      </c>
      <c r="N872" s="40">
        <f t="shared" si="78"/>
        <v>-7.4209862214434597E-2</v>
      </c>
      <c r="O872" s="40">
        <f t="shared" si="79"/>
        <v>-2.1716267190016611E-2</v>
      </c>
      <c r="P872" s="40">
        <f t="shared" si="80"/>
        <v>-2.1482166718059373E-2</v>
      </c>
      <c r="Q872" s="40"/>
      <c r="R872" s="40"/>
      <c r="S872" t="s">
        <v>2362</v>
      </c>
      <c r="T872">
        <v>0.04</v>
      </c>
      <c r="U872" s="40">
        <f t="shared" si="81"/>
        <v>-0.22314355131420985</v>
      </c>
      <c r="V872" s="40">
        <f t="shared" si="82"/>
        <v>0.04</v>
      </c>
      <c r="W872" s="40">
        <f t="shared" si="83"/>
        <v>-0.22314355131420985</v>
      </c>
    </row>
    <row r="873" spans="1:23" x14ac:dyDescent="0.2">
      <c r="A873" s="40" t="s">
        <v>1276</v>
      </c>
      <c r="B873" s="40">
        <v>11.38</v>
      </c>
      <c r="C873" s="40">
        <v>11.62</v>
      </c>
      <c r="D873" s="40">
        <v>9.0299999999999994</v>
      </c>
      <c r="E873" s="40">
        <v>10.27</v>
      </c>
      <c r="G873" s="36">
        <v>44425</v>
      </c>
      <c r="H873" s="40">
        <v>15.1</v>
      </c>
      <c r="I873" s="40">
        <v>19.457999999999998</v>
      </c>
      <c r="J873" s="44"/>
      <c r="K873" s="40"/>
      <c r="L873" s="45">
        <v>15.1</v>
      </c>
      <c r="M873" s="46">
        <v>19.457999999999998</v>
      </c>
      <c r="N873" s="40">
        <f t="shared" si="78"/>
        <v>-0.34119145255285949</v>
      </c>
      <c r="O873" s="40">
        <f t="shared" si="79"/>
        <v>-2.4970846782636585E-2</v>
      </c>
      <c r="P873" s="40">
        <f t="shared" si="80"/>
        <v>-2.4661654135338391E-2</v>
      </c>
      <c r="Q873" s="40"/>
      <c r="R873" s="40"/>
      <c r="S873" s="47">
        <v>44538</v>
      </c>
      <c r="T873">
        <v>0.05</v>
      </c>
      <c r="U873" s="40">
        <f t="shared" si="81"/>
        <v>0</v>
      </c>
      <c r="V873" s="40">
        <f t="shared" si="82"/>
        <v>0.05</v>
      </c>
      <c r="W873" s="40">
        <f t="shared" si="83"/>
        <v>0</v>
      </c>
    </row>
    <row r="874" spans="1:23" x14ac:dyDescent="0.2">
      <c r="A874" s="40" t="s">
        <v>1277</v>
      </c>
      <c r="B874" s="40">
        <v>10.37</v>
      </c>
      <c r="C874" s="40">
        <v>12.63</v>
      </c>
      <c r="D874" s="40">
        <v>9.51</v>
      </c>
      <c r="E874" s="40">
        <v>12.01</v>
      </c>
      <c r="G874" s="36">
        <v>44424</v>
      </c>
      <c r="H874" s="40">
        <v>21.24</v>
      </c>
      <c r="I874" s="40">
        <v>19.95</v>
      </c>
      <c r="J874" s="44"/>
      <c r="K874" s="40"/>
      <c r="L874" s="45">
        <v>21.24</v>
      </c>
      <c r="M874" s="46">
        <v>19.95</v>
      </c>
      <c r="N874" s="40">
        <f t="shared" si="78"/>
        <v>-8.4811847430438778E-2</v>
      </c>
      <c r="O874" s="40">
        <f t="shared" si="79"/>
        <v>-1.1859225142143479E-2</v>
      </c>
      <c r="P874" s="40">
        <f t="shared" si="80"/>
        <v>-1.1789181692094291E-2</v>
      </c>
      <c r="Q874" s="40"/>
      <c r="R874" s="40"/>
      <c r="S874" s="47">
        <v>44508</v>
      </c>
      <c r="T874">
        <v>0.05</v>
      </c>
      <c r="U874" s="40">
        <f t="shared" si="81"/>
        <v>0</v>
      </c>
      <c r="V874" s="40">
        <f t="shared" si="82"/>
        <v>0.05</v>
      </c>
      <c r="W874" s="40">
        <f t="shared" si="83"/>
        <v>0</v>
      </c>
    </row>
    <row r="875" spans="1:23" x14ac:dyDescent="0.2">
      <c r="A875" s="40" t="s">
        <v>1278</v>
      </c>
      <c r="B875" s="40">
        <v>12.68</v>
      </c>
      <c r="C875" s="40">
        <v>12.7</v>
      </c>
      <c r="D875" s="40">
        <v>10.79</v>
      </c>
      <c r="E875" s="40">
        <v>11.11</v>
      </c>
      <c r="G875" s="36">
        <v>44421</v>
      </c>
      <c r="H875" s="40">
        <v>23.12</v>
      </c>
      <c r="I875" s="40">
        <v>20.187999999999999</v>
      </c>
      <c r="J875" s="44"/>
      <c r="K875" s="40"/>
      <c r="L875" s="45">
        <v>23.12</v>
      </c>
      <c r="M875" s="46">
        <v>20.187999999999999</v>
      </c>
      <c r="N875" s="40">
        <f t="shared" si="78"/>
        <v>0.35014662119022305</v>
      </c>
      <c r="O875" s="40">
        <f t="shared" si="79"/>
        <v>1.4117412025735224E-2</v>
      </c>
      <c r="P875" s="40">
        <f t="shared" si="80"/>
        <v>1.4217533283094583E-2</v>
      </c>
      <c r="Q875" s="40"/>
      <c r="R875" s="40"/>
      <c r="S875" s="47">
        <v>44477</v>
      </c>
      <c r="T875">
        <v>0.05</v>
      </c>
      <c r="U875" s="40">
        <f t="shared" si="81"/>
        <v>0.22314355131420976</v>
      </c>
      <c r="V875" s="40">
        <f t="shared" si="82"/>
        <v>0.05</v>
      </c>
      <c r="W875" s="40">
        <f t="shared" si="83"/>
        <v>0.22314355131420976</v>
      </c>
    </row>
    <row r="876" spans="1:23" x14ac:dyDescent="0.2">
      <c r="A876" s="40" t="s">
        <v>1279</v>
      </c>
      <c r="B876" s="40">
        <v>11.04</v>
      </c>
      <c r="C876" s="40">
        <v>12.79</v>
      </c>
      <c r="D876" s="40">
        <v>11</v>
      </c>
      <c r="E876" s="40">
        <v>11.26</v>
      </c>
      <c r="G876" s="36">
        <v>44420</v>
      </c>
      <c r="H876" s="40">
        <v>16.29</v>
      </c>
      <c r="I876" s="40">
        <v>19.905000000000001</v>
      </c>
      <c r="J876" s="44"/>
      <c r="K876" s="40"/>
      <c r="L876" s="45">
        <v>16.29</v>
      </c>
      <c r="M876" s="46">
        <v>19.905000000000001</v>
      </c>
      <c r="N876" s="40">
        <f t="shared" si="78"/>
        <v>0.22023189497782314</v>
      </c>
      <c r="O876" s="40">
        <f t="shared" si="79"/>
        <v>1.0403083418062066E-2</v>
      </c>
      <c r="P876" s="40">
        <f t="shared" si="80"/>
        <v>1.0457383623534164E-2</v>
      </c>
      <c r="Q876" s="40"/>
      <c r="R876" s="40"/>
      <c r="S876" s="47">
        <v>44447</v>
      </c>
      <c r="T876">
        <v>0.04</v>
      </c>
      <c r="U876" s="40">
        <f t="shared" si="81"/>
        <v>0</v>
      </c>
      <c r="V876" s="40">
        <f t="shared" si="82"/>
        <v>0.04</v>
      </c>
      <c r="W876" s="40">
        <f t="shared" si="83"/>
        <v>0</v>
      </c>
    </row>
    <row r="877" spans="1:23" x14ac:dyDescent="0.2">
      <c r="A877" s="40" t="s">
        <v>1280</v>
      </c>
      <c r="B877" s="40">
        <v>11.31</v>
      </c>
      <c r="C877" s="40">
        <v>11.67</v>
      </c>
      <c r="D877" s="40">
        <v>10.56</v>
      </c>
      <c r="E877" s="40">
        <v>10.65</v>
      </c>
      <c r="G877" s="36">
        <v>44419</v>
      </c>
      <c r="H877" s="40">
        <v>13.07</v>
      </c>
      <c r="I877" s="40">
        <v>19.699000000000002</v>
      </c>
      <c r="J877" s="44"/>
      <c r="K877" s="40"/>
      <c r="L877" s="45">
        <v>13.07</v>
      </c>
      <c r="M877" s="46">
        <v>19.699000000000002</v>
      </c>
      <c r="N877" s="40">
        <f t="shared" si="78"/>
        <v>0.15351329055206189</v>
      </c>
      <c r="O877" s="40">
        <f t="shared" si="79"/>
        <v>-1.1959269570824103E-2</v>
      </c>
      <c r="P877" s="40">
        <f t="shared" si="80"/>
        <v>-1.1888041733547268E-2</v>
      </c>
      <c r="Q877" s="40"/>
      <c r="R877" s="40"/>
      <c r="S877" s="47">
        <v>44355</v>
      </c>
      <c r="T877">
        <v>0.04</v>
      </c>
      <c r="U877" s="40">
        <f t="shared" si="81"/>
        <v>-0.22314355131420985</v>
      </c>
      <c r="V877" s="40">
        <f t="shared" si="82"/>
        <v>0.04</v>
      </c>
      <c r="W877" s="40">
        <f t="shared" si="83"/>
        <v>-0.22314355131420985</v>
      </c>
    </row>
    <row r="878" spans="1:23" x14ac:dyDescent="0.2">
      <c r="A878" s="40" t="s">
        <v>1281</v>
      </c>
      <c r="B878" s="40">
        <v>11.32</v>
      </c>
      <c r="C878" s="40">
        <v>11.67</v>
      </c>
      <c r="D878" s="40">
        <v>10.69</v>
      </c>
      <c r="E878" s="40">
        <v>11.17</v>
      </c>
      <c r="G878" s="36">
        <v>44418</v>
      </c>
      <c r="H878" s="40">
        <v>11.21</v>
      </c>
      <c r="I878" s="40">
        <v>19.936</v>
      </c>
      <c r="J878" s="44"/>
      <c r="K878" s="40"/>
      <c r="L878" s="45">
        <v>11.21</v>
      </c>
      <c r="M878" s="46">
        <v>19.936</v>
      </c>
      <c r="N878" s="40">
        <f t="shared" si="78"/>
        <v>-2.9013023995884825E-2</v>
      </c>
      <c r="O878" s="40">
        <f t="shared" si="79"/>
        <v>-1.7847407685818502E-2</v>
      </c>
      <c r="P878" s="40">
        <f t="shared" si="80"/>
        <v>-1.7689085981768993E-2</v>
      </c>
      <c r="Q878" s="40"/>
      <c r="R878" s="40"/>
      <c r="S878" s="47">
        <v>44324</v>
      </c>
      <c r="T878">
        <v>0.05</v>
      </c>
      <c r="U878" s="40">
        <f t="shared" si="81"/>
        <v>0</v>
      </c>
      <c r="V878" s="40">
        <f t="shared" si="82"/>
        <v>0.05</v>
      </c>
      <c r="W878" s="40">
        <f t="shared" si="83"/>
        <v>0</v>
      </c>
    </row>
    <row r="879" spans="1:23" x14ac:dyDescent="0.2">
      <c r="A879" s="41">
        <v>41646</v>
      </c>
      <c r="B879" s="40">
        <v>10.6</v>
      </c>
      <c r="C879" s="40">
        <v>10.7</v>
      </c>
      <c r="D879" s="40">
        <v>9.89</v>
      </c>
      <c r="E879" s="40">
        <v>10.050000000000001</v>
      </c>
      <c r="G879" s="36">
        <v>44417</v>
      </c>
      <c r="H879" s="40">
        <v>11.54</v>
      </c>
      <c r="I879" s="40">
        <v>20.295000000000002</v>
      </c>
      <c r="J879" s="44"/>
      <c r="K879" s="40"/>
      <c r="L879" s="45">
        <v>11.54</v>
      </c>
      <c r="M879" s="46">
        <v>20.295000000000002</v>
      </c>
      <c r="N879" s="40">
        <f t="shared" si="78"/>
        <v>-3.4602110648957311E-3</v>
      </c>
      <c r="O879" s="40">
        <f t="shared" si="79"/>
        <v>-3.4922934586125733E-3</v>
      </c>
      <c r="P879" s="40">
        <f t="shared" si="80"/>
        <v>-3.4862024943532336E-3</v>
      </c>
      <c r="Q879" s="40"/>
      <c r="R879" s="40"/>
      <c r="S879" s="47">
        <v>44294</v>
      </c>
      <c r="T879">
        <v>0.05</v>
      </c>
      <c r="U879" s="40">
        <f t="shared" si="81"/>
        <v>0</v>
      </c>
      <c r="V879" s="40">
        <f t="shared" si="82"/>
        <v>0.05</v>
      </c>
      <c r="W879" s="40">
        <f t="shared" si="83"/>
        <v>0</v>
      </c>
    </row>
    <row r="880" spans="1:23" x14ac:dyDescent="0.2">
      <c r="A880" s="41">
        <v>41677</v>
      </c>
      <c r="B880" s="40">
        <v>10.01</v>
      </c>
      <c r="C880" s="40">
        <v>10.17</v>
      </c>
      <c r="D880" s="40">
        <v>9.25</v>
      </c>
      <c r="E880" s="40">
        <v>9.42</v>
      </c>
      <c r="G880" s="36">
        <v>44414</v>
      </c>
      <c r="H880" s="40">
        <v>11.58</v>
      </c>
      <c r="I880" s="40">
        <v>20.366</v>
      </c>
      <c r="J880" s="44"/>
      <c r="K880" s="40"/>
      <c r="L880" s="45">
        <v>11.58</v>
      </c>
      <c r="M880" s="46">
        <v>20.366</v>
      </c>
      <c r="N880" s="40">
        <f t="shared" si="78"/>
        <v>-0.1332075059820152</v>
      </c>
      <c r="O880" s="40">
        <f t="shared" si="79"/>
        <v>-1.3218737462513076E-2</v>
      </c>
      <c r="P880" s="40">
        <f t="shared" si="80"/>
        <v>-1.3131753646363367E-2</v>
      </c>
      <c r="Q880" s="40"/>
      <c r="R880" s="40"/>
      <c r="S880" s="47">
        <v>44263</v>
      </c>
      <c r="T880">
        <v>0.05</v>
      </c>
      <c r="U880" s="40">
        <f t="shared" si="81"/>
        <v>0</v>
      </c>
      <c r="V880" s="40">
        <f t="shared" si="82"/>
        <v>0.05</v>
      </c>
      <c r="W880" s="40">
        <f t="shared" si="83"/>
        <v>0</v>
      </c>
    </row>
    <row r="881" spans="1:23" x14ac:dyDescent="0.2">
      <c r="A881" s="41">
        <v>41705</v>
      </c>
      <c r="B881" s="40">
        <v>8.52</v>
      </c>
      <c r="C881" s="40">
        <v>9.4</v>
      </c>
      <c r="D881" s="40">
        <v>8.44</v>
      </c>
      <c r="E881" s="40">
        <v>8.5399999999999991</v>
      </c>
      <c r="G881" s="36">
        <v>44413</v>
      </c>
      <c r="H881" s="40">
        <v>13.23</v>
      </c>
      <c r="I881" s="40">
        <v>20.637</v>
      </c>
      <c r="J881" s="44"/>
      <c r="K881" s="40"/>
      <c r="L881" s="45">
        <v>13.23</v>
      </c>
      <c r="M881" s="46">
        <v>20.637</v>
      </c>
      <c r="N881" s="40">
        <f t="shared" si="78"/>
        <v>3.6955706522429119E-2</v>
      </c>
      <c r="O881" s="40">
        <f t="shared" si="79"/>
        <v>1.7746304251778831E-2</v>
      </c>
      <c r="P881" s="40">
        <f t="shared" si="80"/>
        <v>1.7904705534181688E-2</v>
      </c>
      <c r="Q881" s="40"/>
      <c r="R881" s="40"/>
      <c r="S881" s="47">
        <v>44235</v>
      </c>
      <c r="T881">
        <v>0.05</v>
      </c>
      <c r="U881" s="40">
        <f t="shared" si="81"/>
        <v>0</v>
      </c>
      <c r="V881" s="40">
        <f t="shared" si="82"/>
        <v>0.05</v>
      </c>
      <c r="W881" s="40">
        <f t="shared" si="83"/>
        <v>0</v>
      </c>
    </row>
    <row r="882" spans="1:23" x14ac:dyDescent="0.2">
      <c r="A882" s="41">
        <v>41827</v>
      </c>
      <c r="B882" s="40">
        <v>9.56</v>
      </c>
      <c r="C882" s="40">
        <v>10.64</v>
      </c>
      <c r="D882" s="40">
        <v>9.56</v>
      </c>
      <c r="E882" s="40">
        <v>10.47</v>
      </c>
      <c r="G882" s="36">
        <v>44412</v>
      </c>
      <c r="H882" s="40">
        <v>12.75</v>
      </c>
      <c r="I882" s="40">
        <v>20.274000000000001</v>
      </c>
      <c r="J882" s="44"/>
      <c r="K882" s="40"/>
      <c r="L882" s="45">
        <v>12.75</v>
      </c>
      <c r="M882" s="46">
        <v>20.274000000000001</v>
      </c>
      <c r="N882" s="40">
        <f t="shared" si="78"/>
        <v>0.15127899008456561</v>
      </c>
      <c r="O882" s="40">
        <f t="shared" si="79"/>
        <v>2.2900050317809558E-2</v>
      </c>
      <c r="P882" s="40">
        <f t="shared" si="80"/>
        <v>2.3164269492808458E-2</v>
      </c>
      <c r="Q882" s="40"/>
      <c r="R882" s="40"/>
      <c r="S882" t="s">
        <v>2361</v>
      </c>
      <c r="T882">
        <v>0.05</v>
      </c>
      <c r="U882" s="40">
        <f t="shared" si="81"/>
        <v>0</v>
      </c>
      <c r="V882" s="40">
        <f t="shared" si="82"/>
        <v>0.05</v>
      </c>
      <c r="W882" s="40">
        <f t="shared" si="83"/>
        <v>0</v>
      </c>
    </row>
    <row r="883" spans="1:23" x14ac:dyDescent="0.2">
      <c r="A883" s="41">
        <v>41858</v>
      </c>
      <c r="B883" s="40">
        <v>10.85</v>
      </c>
      <c r="C883" s="40">
        <v>12.63</v>
      </c>
      <c r="D883" s="40">
        <v>10.5</v>
      </c>
      <c r="E883" s="40">
        <v>11.64</v>
      </c>
      <c r="G883" s="36">
        <v>44411</v>
      </c>
      <c r="H883" s="40">
        <v>10.96</v>
      </c>
      <c r="I883" s="40">
        <v>19.815000000000001</v>
      </c>
      <c r="J883" s="44"/>
      <c r="K883" s="40"/>
      <c r="L883" s="45">
        <v>10.96</v>
      </c>
      <c r="M883" s="46">
        <v>19.815000000000001</v>
      </c>
      <c r="N883" s="40">
        <f t="shared" si="78"/>
        <v>-0.18974527091236171</v>
      </c>
      <c r="O883" s="40">
        <f t="shared" si="79"/>
        <v>3.2857352952675193E-3</v>
      </c>
      <c r="P883" s="40">
        <f t="shared" si="80"/>
        <v>3.2911392405063937E-3</v>
      </c>
      <c r="Q883" s="40"/>
      <c r="R883" s="40"/>
      <c r="S883" t="s">
        <v>2360</v>
      </c>
      <c r="T883">
        <v>0.05</v>
      </c>
      <c r="U883" s="40">
        <f t="shared" si="81"/>
        <v>0.22314355131420976</v>
      </c>
      <c r="V883" s="40">
        <f t="shared" si="82"/>
        <v>0.05</v>
      </c>
      <c r="W883" s="40">
        <f t="shared" si="83"/>
        <v>0.22314355131420976</v>
      </c>
    </row>
    <row r="884" spans="1:23" x14ac:dyDescent="0.2">
      <c r="A884" s="41">
        <v>41889</v>
      </c>
      <c r="B884" s="40">
        <v>11.21</v>
      </c>
      <c r="C884" s="40">
        <v>11.64</v>
      </c>
      <c r="D884" s="40">
        <v>10.45</v>
      </c>
      <c r="E884" s="40">
        <v>10.48</v>
      </c>
      <c r="G884" s="36">
        <v>44410</v>
      </c>
      <c r="H884" s="40">
        <v>13.25</v>
      </c>
      <c r="I884" s="40">
        <v>19.75</v>
      </c>
      <c r="J884" s="44"/>
      <c r="K884" s="40"/>
      <c r="L884" s="45">
        <v>13.25</v>
      </c>
      <c r="M884" s="46">
        <v>19.75</v>
      </c>
      <c r="N884" s="40">
        <f t="shared" si="78"/>
        <v>-2.7541748289135082E-2</v>
      </c>
      <c r="O884" s="40">
        <f t="shared" si="79"/>
        <v>1.2790309143681152E-2</v>
      </c>
      <c r="P884" s="40">
        <f t="shared" si="80"/>
        <v>1.2872454997692254E-2</v>
      </c>
      <c r="Q884" s="40"/>
      <c r="R884" s="40"/>
      <c r="S884" t="s">
        <v>2359</v>
      </c>
      <c r="T884">
        <v>0.04</v>
      </c>
      <c r="U884" s="40">
        <f t="shared" si="81"/>
        <v>0</v>
      </c>
      <c r="V884" s="40">
        <f t="shared" si="82"/>
        <v>0.04</v>
      </c>
      <c r="W884" s="40">
        <f t="shared" si="83"/>
        <v>0</v>
      </c>
    </row>
    <row r="885" spans="1:23" x14ac:dyDescent="0.2">
      <c r="A885" s="41">
        <v>41919</v>
      </c>
      <c r="B885" s="40">
        <v>13.53</v>
      </c>
      <c r="C885" s="40">
        <v>13.58</v>
      </c>
      <c r="D885" s="40">
        <v>11.54</v>
      </c>
      <c r="E885" s="40">
        <v>12.08</v>
      </c>
      <c r="G885" s="36">
        <v>44407</v>
      </c>
      <c r="H885" s="40">
        <v>13.62</v>
      </c>
      <c r="I885" s="40">
        <v>19.498999999999999</v>
      </c>
      <c r="J885" s="44"/>
      <c r="K885" s="40"/>
      <c r="L885" s="45">
        <v>13.62</v>
      </c>
      <c r="M885" s="46">
        <v>19.498999999999999</v>
      </c>
      <c r="N885" s="40">
        <f t="shared" si="78"/>
        <v>-4.3956114730381093E-3</v>
      </c>
      <c r="O885" s="40">
        <f t="shared" si="79"/>
        <v>-8.3246567412828612E-3</v>
      </c>
      <c r="P885" s="40">
        <f t="shared" si="80"/>
        <v>-8.290102736242512E-3</v>
      </c>
      <c r="Q885" s="40"/>
      <c r="R885" s="40"/>
      <c r="S885" t="s">
        <v>2358</v>
      </c>
      <c r="T885">
        <v>0.04</v>
      </c>
      <c r="U885" s="40">
        <f t="shared" si="81"/>
        <v>-0.22314355131420985</v>
      </c>
      <c r="V885" s="40">
        <f t="shared" si="82"/>
        <v>0.04</v>
      </c>
      <c r="W885" s="40">
        <f t="shared" si="83"/>
        <v>-0.22314355131420985</v>
      </c>
    </row>
    <row r="886" spans="1:23" x14ac:dyDescent="0.2">
      <c r="A886" s="41">
        <v>41950</v>
      </c>
      <c r="B886" s="40">
        <v>11.91</v>
      </c>
      <c r="C886" s="40">
        <v>12.39</v>
      </c>
      <c r="D886" s="40">
        <v>11.09</v>
      </c>
      <c r="E886" s="40">
        <v>11.15</v>
      </c>
      <c r="G886" s="36">
        <v>44406</v>
      </c>
      <c r="H886" s="40">
        <v>13.68</v>
      </c>
      <c r="I886" s="40">
        <v>19.661999999999999</v>
      </c>
      <c r="J886" s="44"/>
      <c r="K886" s="40"/>
      <c r="L886" s="45">
        <v>13.68</v>
      </c>
      <c r="M886" s="46">
        <v>19.661999999999999</v>
      </c>
      <c r="N886" s="40">
        <f t="shared" si="78"/>
        <v>-0.16969342355318043</v>
      </c>
      <c r="O886" s="40">
        <f t="shared" si="79"/>
        <v>8.1195390542912107E-3</v>
      </c>
      <c r="P886" s="40">
        <f t="shared" si="80"/>
        <v>8.1525919089370305E-3</v>
      </c>
      <c r="Q886" s="40"/>
      <c r="R886" s="40"/>
      <c r="S886" t="s">
        <v>2357</v>
      </c>
      <c r="T886">
        <v>0.05</v>
      </c>
      <c r="U886" s="40">
        <f t="shared" si="81"/>
        <v>0</v>
      </c>
      <c r="V886" s="40">
        <f t="shared" si="82"/>
        <v>0.05</v>
      </c>
      <c r="W886" s="40">
        <f t="shared" si="83"/>
        <v>0</v>
      </c>
    </row>
    <row r="887" spans="1:23" x14ac:dyDescent="0.2">
      <c r="A887" s="40" t="s">
        <v>1282</v>
      </c>
      <c r="B887" s="40">
        <v>11.02</v>
      </c>
      <c r="C887" s="40">
        <v>11.26</v>
      </c>
      <c r="D887" s="40">
        <v>10.48</v>
      </c>
      <c r="E887" s="40">
        <v>10.62</v>
      </c>
      <c r="G887" s="36">
        <v>44405</v>
      </c>
      <c r="H887" s="40">
        <v>16.21</v>
      </c>
      <c r="I887" s="40">
        <v>19.503</v>
      </c>
      <c r="J887" s="44"/>
      <c r="K887" s="40"/>
      <c r="L887" s="45">
        <v>16.21</v>
      </c>
      <c r="M887" s="46">
        <v>19.503</v>
      </c>
      <c r="N887" s="40">
        <f t="shared" si="78"/>
        <v>0.12118177212750665</v>
      </c>
      <c r="O887" s="40">
        <f t="shared" si="79"/>
        <v>1.5241440971489358E-2</v>
      </c>
      <c r="P887" s="40">
        <f t="shared" si="80"/>
        <v>1.5358184089962605E-2</v>
      </c>
      <c r="Q887" s="40"/>
      <c r="R887" s="40"/>
      <c r="S887" t="s">
        <v>2356</v>
      </c>
      <c r="T887">
        <v>0.05</v>
      </c>
      <c r="U887" s="40">
        <f t="shared" si="81"/>
        <v>0.22314355131420976</v>
      </c>
      <c r="V887" s="40">
        <f t="shared" si="82"/>
        <v>0.05</v>
      </c>
      <c r="W887" s="40">
        <f t="shared" si="83"/>
        <v>0.22314355131420976</v>
      </c>
    </row>
    <row r="888" spans="1:23" x14ac:dyDescent="0.2">
      <c r="A888" s="40" t="s">
        <v>1283</v>
      </c>
      <c r="B888" s="40">
        <v>10.42</v>
      </c>
      <c r="C888" s="40">
        <v>11.96</v>
      </c>
      <c r="D888" s="40">
        <v>10.26</v>
      </c>
      <c r="E888" s="40">
        <v>11.08</v>
      </c>
      <c r="G888" s="36">
        <v>44404</v>
      </c>
      <c r="H888" s="40">
        <v>14.36</v>
      </c>
      <c r="I888" s="40">
        <v>19.207999999999998</v>
      </c>
      <c r="J888" s="44"/>
      <c r="K888" s="40"/>
      <c r="L888" s="45">
        <v>14.36</v>
      </c>
      <c r="M888" s="46">
        <v>19.207999999999998</v>
      </c>
      <c r="N888" s="40">
        <f t="shared" si="78"/>
        <v>5.0707041989109421E-2</v>
      </c>
      <c r="O888" s="40">
        <f t="shared" si="79"/>
        <v>-4.4673078294098518E-3</v>
      </c>
      <c r="P888" s="40">
        <f t="shared" si="80"/>
        <v>-4.4573442520992055E-3</v>
      </c>
      <c r="Q888" s="40"/>
      <c r="R888" s="40"/>
      <c r="S888" t="s">
        <v>2355</v>
      </c>
      <c r="T888">
        <v>0.04</v>
      </c>
      <c r="U888" s="40">
        <f t="shared" si="81"/>
        <v>0</v>
      </c>
      <c r="V888" s="40">
        <f t="shared" si="82"/>
        <v>0.04</v>
      </c>
      <c r="W888" s="40">
        <f t="shared" si="83"/>
        <v>0</v>
      </c>
    </row>
    <row r="889" spans="1:23" x14ac:dyDescent="0.2">
      <c r="A889" s="40" t="s">
        <v>1284</v>
      </c>
      <c r="B889" s="40">
        <v>9.9700000000000006</v>
      </c>
      <c r="C889" s="40">
        <v>10.79</v>
      </c>
      <c r="D889" s="40">
        <v>9.81</v>
      </c>
      <c r="E889" s="40">
        <v>10.26</v>
      </c>
      <c r="G889" s="36">
        <v>44403</v>
      </c>
      <c r="H889" s="40">
        <v>13.65</v>
      </c>
      <c r="I889" s="40">
        <v>19.294</v>
      </c>
      <c r="J889" s="44"/>
      <c r="K889" s="40"/>
      <c r="L889" s="45">
        <v>13.65</v>
      </c>
      <c r="M889" s="46">
        <v>19.294</v>
      </c>
      <c r="N889" s="40">
        <f t="shared" si="78"/>
        <v>-8.2238098236972118E-2</v>
      </c>
      <c r="O889" s="40">
        <f t="shared" si="79"/>
        <v>-1.3590243141721466E-2</v>
      </c>
      <c r="P889" s="40">
        <f t="shared" si="80"/>
        <v>-1.3498312710911103E-2</v>
      </c>
      <c r="Q889" s="40"/>
      <c r="R889" s="40"/>
      <c r="S889" t="s">
        <v>2354</v>
      </c>
      <c r="T889">
        <v>0.04</v>
      </c>
      <c r="U889" s="40">
        <f t="shared" si="81"/>
        <v>-0.22314355131420985</v>
      </c>
      <c r="V889" s="40">
        <f t="shared" si="82"/>
        <v>0.04</v>
      </c>
      <c r="W889" s="40">
        <f t="shared" si="83"/>
        <v>-0.22314355131420985</v>
      </c>
    </row>
    <row r="890" spans="1:23" x14ac:dyDescent="0.2">
      <c r="A890" s="40" t="s">
        <v>1285</v>
      </c>
      <c r="B890" s="40">
        <v>11.07</v>
      </c>
      <c r="C890" s="40">
        <v>17.47</v>
      </c>
      <c r="D890" s="40">
        <v>9.49</v>
      </c>
      <c r="E890" s="40">
        <v>16.23</v>
      </c>
      <c r="G890" s="36">
        <v>44400</v>
      </c>
      <c r="H890" s="40">
        <v>14.82</v>
      </c>
      <c r="I890" s="40">
        <v>19.558</v>
      </c>
      <c r="J890" s="44"/>
      <c r="K890" s="40"/>
      <c r="L890" s="45">
        <v>14.82</v>
      </c>
      <c r="M890" s="46">
        <v>19.558</v>
      </c>
      <c r="N890" s="40">
        <f t="shared" si="78"/>
        <v>-0.14660347419187539</v>
      </c>
      <c r="O890" s="40">
        <f t="shared" si="79"/>
        <v>-1.8389870323671685E-3</v>
      </c>
      <c r="P890" s="40">
        <f t="shared" si="80"/>
        <v>-1.8372971317751027E-3</v>
      </c>
      <c r="Q890" s="40"/>
      <c r="R890" s="40"/>
      <c r="S890" t="s">
        <v>2353</v>
      </c>
      <c r="T890">
        <v>0.05</v>
      </c>
      <c r="U890" s="40">
        <f t="shared" si="81"/>
        <v>0</v>
      </c>
      <c r="V890" s="40">
        <f t="shared" si="82"/>
        <v>0.05</v>
      </c>
      <c r="W890" s="40">
        <f t="shared" si="83"/>
        <v>0</v>
      </c>
    </row>
    <row r="891" spans="1:23" x14ac:dyDescent="0.2">
      <c r="A891" s="40" t="s">
        <v>1286</v>
      </c>
      <c r="B891" s="40">
        <v>13.5</v>
      </c>
      <c r="C891" s="40">
        <v>14.12</v>
      </c>
      <c r="D891" s="40">
        <v>11.99</v>
      </c>
      <c r="E891" s="40">
        <v>12.05</v>
      </c>
      <c r="G891" s="36">
        <v>44399</v>
      </c>
      <c r="H891" s="40">
        <v>17.16</v>
      </c>
      <c r="I891" s="40">
        <v>19.594000000000001</v>
      </c>
      <c r="J891" s="44"/>
      <c r="K891" s="40"/>
      <c r="L891" s="45">
        <v>17.16</v>
      </c>
      <c r="M891" s="46">
        <v>19.594000000000001</v>
      </c>
      <c r="N891" s="40">
        <f t="shared" si="78"/>
        <v>0.20280973371090052</v>
      </c>
      <c r="O891" s="40">
        <f t="shared" si="79"/>
        <v>9.4349997415316186E-3</v>
      </c>
      <c r="P891" s="40">
        <f t="shared" si="80"/>
        <v>9.4796496651211263E-3</v>
      </c>
      <c r="Q891" s="40"/>
      <c r="R891" s="40"/>
      <c r="S891" t="s">
        <v>2352</v>
      </c>
      <c r="T891">
        <v>0.05</v>
      </c>
      <c r="U891" s="40">
        <f t="shared" si="81"/>
        <v>0</v>
      </c>
      <c r="V891" s="40">
        <f t="shared" si="82"/>
        <v>0.05</v>
      </c>
      <c r="W891" s="40">
        <f t="shared" si="83"/>
        <v>0</v>
      </c>
    </row>
    <row r="892" spans="1:23" x14ac:dyDescent="0.2">
      <c r="A892" s="40" t="s">
        <v>1287</v>
      </c>
      <c r="B892" s="40">
        <v>13.9</v>
      </c>
      <c r="C892" s="40">
        <v>14.65</v>
      </c>
      <c r="D892" s="40">
        <v>12.7</v>
      </c>
      <c r="E892" s="40">
        <v>12.95</v>
      </c>
      <c r="G892" s="36">
        <v>44398</v>
      </c>
      <c r="H892" s="40">
        <v>14.01</v>
      </c>
      <c r="I892" s="40">
        <v>19.41</v>
      </c>
      <c r="J892" s="44"/>
      <c r="K892" s="40"/>
      <c r="L892" s="45">
        <v>14.01</v>
      </c>
      <c r="M892" s="46">
        <v>19.41</v>
      </c>
      <c r="N892" s="40">
        <f t="shared" si="78"/>
        <v>8.4872338740880446E-2</v>
      </c>
      <c r="O892" s="40">
        <f t="shared" si="79"/>
        <v>4.1981863198516996E-2</v>
      </c>
      <c r="P892" s="40">
        <f t="shared" si="80"/>
        <v>4.2875564152159998E-2</v>
      </c>
      <c r="Q892" s="40"/>
      <c r="R892" s="40"/>
      <c r="S892" t="s">
        <v>2351</v>
      </c>
      <c r="T892">
        <v>0.05</v>
      </c>
      <c r="U892" s="40">
        <f t="shared" si="81"/>
        <v>0</v>
      </c>
      <c r="V892" s="40">
        <f t="shared" si="82"/>
        <v>0.05</v>
      </c>
      <c r="W892" s="40">
        <f t="shared" si="83"/>
        <v>0</v>
      </c>
    </row>
    <row r="893" spans="1:23" x14ac:dyDescent="0.2">
      <c r="A893" s="40" t="s">
        <v>1288</v>
      </c>
      <c r="B893" s="40">
        <v>11.49</v>
      </c>
      <c r="C893" s="40">
        <v>11.79</v>
      </c>
      <c r="D893" s="40">
        <v>11.19</v>
      </c>
      <c r="E893" s="40">
        <v>11.54</v>
      </c>
      <c r="G893" s="36">
        <v>44397</v>
      </c>
      <c r="H893" s="40">
        <v>12.87</v>
      </c>
      <c r="I893" s="40">
        <v>18.611999999999998</v>
      </c>
      <c r="J893" s="44"/>
      <c r="K893" s="40"/>
      <c r="L893" s="45">
        <v>12.87</v>
      </c>
      <c r="M893" s="46">
        <v>18.611999999999998</v>
      </c>
      <c r="N893" s="40">
        <f t="shared" si="78"/>
        <v>-8.9145849518262432E-2</v>
      </c>
      <c r="O893" s="40">
        <f t="shared" si="79"/>
        <v>-8.9726276750300912E-3</v>
      </c>
      <c r="P893" s="40">
        <f t="shared" si="80"/>
        <v>-8.9324937765413084E-3</v>
      </c>
      <c r="Q893" s="40"/>
      <c r="R893" s="40"/>
      <c r="S893" t="s">
        <v>2350</v>
      </c>
      <c r="T893">
        <v>0.05</v>
      </c>
      <c r="U893" s="40">
        <f t="shared" si="81"/>
        <v>-0.18232155679395459</v>
      </c>
      <c r="V893" s="40">
        <f t="shared" si="82"/>
        <v>0.05</v>
      </c>
      <c r="W893" s="40">
        <f t="shared" si="83"/>
        <v>-0.18232155679395459</v>
      </c>
    </row>
    <row r="894" spans="1:23" x14ac:dyDescent="0.2">
      <c r="A894" s="40" t="s">
        <v>1289</v>
      </c>
      <c r="B894" s="40">
        <v>10.99</v>
      </c>
      <c r="C894" s="40">
        <v>11.73</v>
      </c>
      <c r="D894" s="40">
        <v>10.76</v>
      </c>
      <c r="E894" s="40">
        <v>10.83</v>
      </c>
      <c r="G894" s="36">
        <v>44396</v>
      </c>
      <c r="H894" s="40">
        <v>14.07</v>
      </c>
      <c r="I894" s="40">
        <v>18.77975</v>
      </c>
      <c r="J894" s="44"/>
      <c r="K894" s="40"/>
      <c r="L894" s="45">
        <v>14.07</v>
      </c>
      <c r="M894" s="46">
        <v>18.77975</v>
      </c>
      <c r="N894" s="40">
        <f t="shared" si="78"/>
        <v>-4.0395464336778639E-2</v>
      </c>
      <c r="O894" s="40">
        <f t="shared" si="79"/>
        <v>3.3502723921070468E-2</v>
      </c>
      <c r="P894" s="40">
        <f t="shared" si="80"/>
        <v>3.4070260448213124E-2</v>
      </c>
      <c r="Q894" s="40"/>
      <c r="R894" s="40"/>
      <c r="S894" t="s">
        <v>2349</v>
      </c>
      <c r="T894">
        <v>0.06</v>
      </c>
      <c r="U894" s="40">
        <f t="shared" si="81"/>
        <v>0.18232155679395459</v>
      </c>
      <c r="V894" s="40">
        <f t="shared" si="82"/>
        <v>0.06</v>
      </c>
      <c r="W894" s="40">
        <f t="shared" si="83"/>
        <v>0.18232155679395459</v>
      </c>
    </row>
    <row r="895" spans="1:23" x14ac:dyDescent="0.2">
      <c r="A895" s="40" t="s">
        <v>1290</v>
      </c>
      <c r="B895" s="40">
        <v>10.49</v>
      </c>
      <c r="C895" s="40">
        <v>11.28</v>
      </c>
      <c r="D895" s="40">
        <v>10.49</v>
      </c>
      <c r="E895" s="40">
        <v>10.88</v>
      </c>
      <c r="G895" s="36">
        <v>44393</v>
      </c>
      <c r="H895" s="40">
        <v>14.65</v>
      </c>
      <c r="I895" s="40">
        <v>18.161000000000001</v>
      </c>
      <c r="J895" s="44"/>
      <c r="K895" s="40"/>
      <c r="L895" s="45">
        <v>14.65</v>
      </c>
      <c r="M895" s="46">
        <v>18.161000000000001</v>
      </c>
      <c r="N895" s="40">
        <f t="shared" si="78"/>
        <v>-0.19812323998527659</v>
      </c>
      <c r="O895" s="40">
        <f t="shared" si="79"/>
        <v>-4.3384646120952226E-2</v>
      </c>
      <c r="P895" s="40">
        <f t="shared" si="80"/>
        <v>-4.2456995979700644E-2</v>
      </c>
      <c r="Q895" s="40"/>
      <c r="R895" s="40"/>
      <c r="S895" t="s">
        <v>2348</v>
      </c>
      <c r="T895">
        <v>0.05</v>
      </c>
      <c r="U895" s="40">
        <f t="shared" si="81"/>
        <v>0</v>
      </c>
      <c r="V895" s="40">
        <f t="shared" si="82"/>
        <v>0.05</v>
      </c>
      <c r="W895" s="40">
        <f t="shared" si="83"/>
        <v>0</v>
      </c>
    </row>
    <row r="896" spans="1:23" x14ac:dyDescent="0.2">
      <c r="A896" s="40" t="s">
        <v>1291</v>
      </c>
      <c r="B896" s="40">
        <v>11.17</v>
      </c>
      <c r="C896" s="40">
        <v>12.31</v>
      </c>
      <c r="D896" s="40">
        <v>11.17</v>
      </c>
      <c r="E896" s="40">
        <v>11.84</v>
      </c>
      <c r="G896" s="36">
        <v>44392</v>
      </c>
      <c r="H896" s="40">
        <v>17.86</v>
      </c>
      <c r="I896" s="40">
        <v>18.966249999999999</v>
      </c>
      <c r="J896" s="44"/>
      <c r="K896" s="40"/>
      <c r="L896" s="45">
        <v>17.86</v>
      </c>
      <c r="M896" s="46">
        <v>18.966249999999999</v>
      </c>
      <c r="N896" s="40">
        <f t="shared" si="78"/>
        <v>-0.21527392104279169</v>
      </c>
      <c r="O896" s="40">
        <f t="shared" si="79"/>
        <v>-4.5114619980220809E-2</v>
      </c>
      <c r="P896" s="40">
        <f t="shared" si="80"/>
        <v>-4.4112088299775781E-2</v>
      </c>
      <c r="Q896" s="40"/>
      <c r="R896" s="40"/>
      <c r="S896" s="47">
        <v>44537</v>
      </c>
      <c r="T896">
        <v>0.05</v>
      </c>
      <c r="U896" s="40">
        <f t="shared" si="81"/>
        <v>-0.18232155679395459</v>
      </c>
      <c r="V896" s="40">
        <f t="shared" si="82"/>
        <v>0.05</v>
      </c>
      <c r="W896" s="40">
        <f t="shared" si="83"/>
        <v>-0.18232155679395459</v>
      </c>
    </row>
    <row r="897" spans="1:23" x14ac:dyDescent="0.2">
      <c r="A897" s="40" t="s">
        <v>1292</v>
      </c>
      <c r="B897" s="40">
        <v>12.98</v>
      </c>
      <c r="C897" s="40">
        <v>14.22</v>
      </c>
      <c r="D897" s="40">
        <v>11.78</v>
      </c>
      <c r="E897" s="40">
        <v>12.02</v>
      </c>
      <c r="G897" s="36">
        <v>44391</v>
      </c>
      <c r="H897" s="40">
        <v>22.15</v>
      </c>
      <c r="I897" s="40">
        <v>19.8415</v>
      </c>
      <c r="J897" s="44"/>
      <c r="K897" s="40"/>
      <c r="L897" s="45">
        <v>22.15</v>
      </c>
      <c r="M897" s="46">
        <v>19.8415</v>
      </c>
      <c r="N897" s="40">
        <f t="shared" si="78"/>
        <v>0.30667238867842794</v>
      </c>
      <c r="O897" s="40">
        <f t="shared" si="79"/>
        <v>-2.0379089715013548E-2</v>
      </c>
      <c r="P897" s="40">
        <f t="shared" si="80"/>
        <v>-2.0172839506172845E-2</v>
      </c>
      <c r="Q897" s="40"/>
      <c r="R897" s="40"/>
      <c r="S897" s="47">
        <v>44446</v>
      </c>
      <c r="T897">
        <v>0.06</v>
      </c>
      <c r="U897" s="40">
        <f t="shared" si="81"/>
        <v>0</v>
      </c>
      <c r="V897" s="40">
        <f t="shared" si="82"/>
        <v>0.06</v>
      </c>
      <c r="W897" s="40">
        <f t="shared" si="83"/>
        <v>0</v>
      </c>
    </row>
    <row r="898" spans="1:23" x14ac:dyDescent="0.2">
      <c r="A898" s="40" t="s">
        <v>1293</v>
      </c>
      <c r="B898" s="40">
        <v>11.58</v>
      </c>
      <c r="C898" s="40">
        <v>13.65</v>
      </c>
      <c r="D898" s="40">
        <v>10.96</v>
      </c>
      <c r="E898" s="40">
        <v>13.47</v>
      </c>
      <c r="G898" s="36">
        <v>44390</v>
      </c>
      <c r="H898" s="40">
        <v>16.3</v>
      </c>
      <c r="I898" s="40">
        <v>20.25</v>
      </c>
      <c r="J898" s="44"/>
      <c r="K898" s="40"/>
      <c r="L898" s="45">
        <v>16.3</v>
      </c>
      <c r="M898" s="46">
        <v>20.25</v>
      </c>
      <c r="N898" s="40">
        <f t="shared" si="78"/>
        <v>0.11357411419521514</v>
      </c>
      <c r="O898" s="40">
        <f t="shared" si="79"/>
        <v>-1.2879662863661139E-2</v>
      </c>
      <c r="P898" s="40">
        <f t="shared" si="80"/>
        <v>-1.2797074954296127E-2</v>
      </c>
      <c r="Q898" s="40"/>
      <c r="R898" s="40"/>
      <c r="S898" s="47">
        <v>44415</v>
      </c>
      <c r="T898">
        <v>0.06</v>
      </c>
      <c r="U898" s="40">
        <f t="shared" si="81"/>
        <v>0.18232155679395459</v>
      </c>
      <c r="V898" s="40">
        <f t="shared" si="82"/>
        <v>0.06</v>
      </c>
      <c r="W898" s="40">
        <f t="shared" si="83"/>
        <v>0.18232155679395459</v>
      </c>
    </row>
    <row r="899" spans="1:23" x14ac:dyDescent="0.2">
      <c r="A899" s="40" t="s">
        <v>1294</v>
      </c>
      <c r="B899" s="40">
        <v>12.38</v>
      </c>
      <c r="C899" s="40">
        <v>14.97</v>
      </c>
      <c r="D899" s="40">
        <v>12.26</v>
      </c>
      <c r="E899" s="40">
        <v>13.29</v>
      </c>
      <c r="G899" s="36">
        <v>44389</v>
      </c>
      <c r="H899" s="40">
        <v>14.55</v>
      </c>
      <c r="I899" s="40">
        <v>20.512499999999999</v>
      </c>
      <c r="J899" s="44"/>
      <c r="K899" s="40"/>
      <c r="L899" s="45">
        <v>14.55</v>
      </c>
      <c r="M899" s="46">
        <v>20.512499999999999</v>
      </c>
      <c r="N899" s="40">
        <f t="shared" ref="N899:N962" si="84">LN(L899/L900)</f>
        <v>7.8611887569653441E-2</v>
      </c>
      <c r="O899" s="40">
        <f t="shared" ref="O899:O962" si="85">LN(M899/M900)</f>
        <v>2.2792833913436145E-2</v>
      </c>
      <c r="P899" s="40">
        <f t="shared" ref="P899:P962" si="86">(M899-M900)/M900</f>
        <v>2.3054575379359409E-2</v>
      </c>
      <c r="Q899" s="40"/>
      <c r="R899" s="40"/>
      <c r="S899" s="47">
        <v>44384</v>
      </c>
      <c r="T899">
        <v>0.05</v>
      </c>
      <c r="U899" s="40">
        <f t="shared" ref="U899:U962" si="87">LN(T899/T900)</f>
        <v>0</v>
      </c>
      <c r="V899" s="40">
        <f t="shared" ref="V899:V962" si="88">IF(T899=0, 0.001,T899)</f>
        <v>0.05</v>
      </c>
      <c r="W899" s="40">
        <f t="shared" ref="W899:W962" si="89">LN(V899/V900)</f>
        <v>0</v>
      </c>
    </row>
    <row r="900" spans="1:23" x14ac:dyDescent="0.2">
      <c r="A900" s="40" t="s">
        <v>1295</v>
      </c>
      <c r="B900" s="40">
        <v>15.1</v>
      </c>
      <c r="C900" s="40">
        <v>19.989999999999998</v>
      </c>
      <c r="D900" s="40">
        <v>14.83</v>
      </c>
      <c r="E900" s="40">
        <v>19.59</v>
      </c>
      <c r="G900" s="36">
        <v>44386</v>
      </c>
      <c r="H900" s="40">
        <v>13.45</v>
      </c>
      <c r="I900" s="40">
        <v>20.050249999999998</v>
      </c>
      <c r="J900" s="44"/>
      <c r="K900" s="40"/>
      <c r="L900" s="45">
        <v>13.45</v>
      </c>
      <c r="M900" s="46">
        <v>20.050249999999998</v>
      </c>
      <c r="N900" s="40">
        <f t="shared" si="84"/>
        <v>-0.10773687204122544</v>
      </c>
      <c r="O900" s="40">
        <f t="shared" si="85"/>
        <v>7.3837093650429061E-3</v>
      </c>
      <c r="P900" s="40">
        <f t="shared" si="86"/>
        <v>7.4110361633441257E-3</v>
      </c>
      <c r="Q900" s="40"/>
      <c r="R900" s="40"/>
      <c r="S900" s="47">
        <v>44354</v>
      </c>
      <c r="T900">
        <v>0.05</v>
      </c>
      <c r="U900" s="40">
        <f t="shared" si="87"/>
        <v>0</v>
      </c>
      <c r="V900" s="40">
        <f t="shared" si="88"/>
        <v>0.05</v>
      </c>
      <c r="W900" s="40">
        <f t="shared" si="89"/>
        <v>0</v>
      </c>
    </row>
    <row r="901" spans="1:23" x14ac:dyDescent="0.2">
      <c r="A901" s="41">
        <v>41647</v>
      </c>
      <c r="B901" s="40">
        <v>18.899999999999999</v>
      </c>
      <c r="C901" s="40">
        <v>20.059999999999999</v>
      </c>
      <c r="D901" s="40">
        <v>16.95</v>
      </c>
      <c r="E901" s="40">
        <v>19.010000000000002</v>
      </c>
      <c r="G901" s="36">
        <v>44385</v>
      </c>
      <c r="H901" s="40">
        <v>14.98</v>
      </c>
      <c r="I901" s="40">
        <v>19.902750000000001</v>
      </c>
      <c r="J901" s="44"/>
      <c r="K901" s="40"/>
      <c r="L901" s="45">
        <v>14.98</v>
      </c>
      <c r="M901" s="46">
        <v>19.902750000000001</v>
      </c>
      <c r="N901" s="40">
        <f t="shared" si="84"/>
        <v>0.10254590747425553</v>
      </c>
      <c r="O901" s="40">
        <f t="shared" si="85"/>
        <v>-2.3291224063796277E-2</v>
      </c>
      <c r="P901" s="40">
        <f t="shared" si="86"/>
        <v>-2.3022077141138964E-2</v>
      </c>
      <c r="Q901" s="40"/>
      <c r="R901" s="40"/>
      <c r="S901" s="47">
        <v>44234</v>
      </c>
      <c r="T901">
        <v>0.05</v>
      </c>
      <c r="U901" s="40">
        <f t="shared" si="87"/>
        <v>0</v>
      </c>
      <c r="V901" s="40">
        <f t="shared" si="88"/>
        <v>0.05</v>
      </c>
      <c r="W901" s="40">
        <f t="shared" si="89"/>
        <v>0</v>
      </c>
    </row>
    <row r="902" spans="1:23" x14ac:dyDescent="0.2">
      <c r="A902" s="41">
        <v>41737</v>
      </c>
      <c r="B902" s="40">
        <v>18.079999999999998</v>
      </c>
      <c r="C902" s="40">
        <v>18.399999999999999</v>
      </c>
      <c r="D902" s="40">
        <v>14.15</v>
      </c>
      <c r="E902" s="40">
        <v>14.87</v>
      </c>
      <c r="G902" s="36">
        <v>44384</v>
      </c>
      <c r="H902" s="40">
        <v>13.52</v>
      </c>
      <c r="I902" s="40">
        <v>20.371749999999999</v>
      </c>
      <c r="J902" s="44"/>
      <c r="K902" s="40"/>
      <c r="L902" s="45">
        <v>13.52</v>
      </c>
      <c r="M902" s="46">
        <v>20.371749999999999</v>
      </c>
      <c r="N902" s="40">
        <f t="shared" si="84"/>
        <v>3.7683433834394937E-2</v>
      </c>
      <c r="O902" s="40">
        <f t="shared" si="85"/>
        <v>-1.5912096676055188E-2</v>
      </c>
      <c r="P902" s="40">
        <f t="shared" si="86"/>
        <v>-1.5786168079812573E-2</v>
      </c>
      <c r="Q902" s="40"/>
      <c r="R902" s="40"/>
      <c r="S902" s="47">
        <v>44203</v>
      </c>
      <c r="T902">
        <v>0.05</v>
      </c>
      <c r="U902" s="40">
        <f t="shared" si="87"/>
        <v>0</v>
      </c>
      <c r="V902" s="40">
        <f t="shared" si="88"/>
        <v>0.05</v>
      </c>
      <c r="W902" s="40">
        <f t="shared" si="89"/>
        <v>0</v>
      </c>
    </row>
    <row r="903" spans="1:23" x14ac:dyDescent="0.2">
      <c r="A903" s="41">
        <v>41767</v>
      </c>
      <c r="B903" s="40">
        <v>15.72</v>
      </c>
      <c r="C903" s="40">
        <v>18</v>
      </c>
      <c r="D903" s="40">
        <v>14.74</v>
      </c>
      <c r="E903" s="40">
        <v>17.18</v>
      </c>
      <c r="G903" s="36">
        <v>44383</v>
      </c>
      <c r="H903" s="40">
        <v>13.02</v>
      </c>
      <c r="I903" s="40">
        <v>20.698499999999999</v>
      </c>
      <c r="J903" s="44"/>
      <c r="K903" s="40"/>
      <c r="L903" s="45">
        <v>13.02</v>
      </c>
      <c r="M903" s="46">
        <v>20.698499999999999</v>
      </c>
      <c r="N903" s="40">
        <f t="shared" si="84"/>
        <v>-0.28074562845512374</v>
      </c>
      <c r="O903" s="40">
        <f t="shared" si="85"/>
        <v>1.0270695230519938E-2</v>
      </c>
      <c r="P903" s="40">
        <f t="shared" si="86"/>
        <v>1.0323619856494408E-2</v>
      </c>
      <c r="Q903" s="40"/>
      <c r="R903" s="40"/>
      <c r="S903" t="s">
        <v>2347</v>
      </c>
      <c r="T903">
        <v>0.05</v>
      </c>
      <c r="U903" s="40">
        <f t="shared" si="87"/>
        <v>0.22314355131420976</v>
      </c>
      <c r="V903" s="40">
        <f t="shared" si="88"/>
        <v>0.05</v>
      </c>
      <c r="W903" s="40">
        <f t="shared" si="89"/>
        <v>0.22314355131420976</v>
      </c>
    </row>
    <row r="904" spans="1:23" x14ac:dyDescent="0.2">
      <c r="A904" s="41">
        <v>41798</v>
      </c>
      <c r="B904" s="40">
        <v>17.88</v>
      </c>
      <c r="C904" s="40">
        <v>17.940000000000001</v>
      </c>
      <c r="D904" s="40">
        <v>15.31</v>
      </c>
      <c r="E904" s="40">
        <v>16.25</v>
      </c>
      <c r="G904" s="36">
        <v>44379</v>
      </c>
      <c r="H904" s="40">
        <v>17.239999999999998</v>
      </c>
      <c r="I904" s="40">
        <v>20.486999999999998</v>
      </c>
      <c r="J904" s="44"/>
      <c r="K904" s="40"/>
      <c r="L904" s="45">
        <v>17.239999999999998</v>
      </c>
      <c r="M904" s="46">
        <v>20.486999999999998</v>
      </c>
      <c r="N904" s="40">
        <f t="shared" si="84"/>
        <v>0.27691273759941631</v>
      </c>
      <c r="O904" s="40">
        <f t="shared" si="85"/>
        <v>1.3514051217399597E-2</v>
      </c>
      <c r="P904" s="40">
        <f t="shared" si="86"/>
        <v>1.3605778745299751E-2</v>
      </c>
      <c r="Q904" s="40"/>
      <c r="R904" s="40"/>
      <c r="S904" t="s">
        <v>2346</v>
      </c>
      <c r="T904">
        <v>0.04</v>
      </c>
      <c r="U904" s="40">
        <f t="shared" si="87"/>
        <v>0</v>
      </c>
      <c r="V904" s="40">
        <f t="shared" si="88"/>
        <v>0.04</v>
      </c>
      <c r="W904" s="40">
        <f t="shared" si="89"/>
        <v>0</v>
      </c>
    </row>
    <row r="905" spans="1:23" x14ac:dyDescent="0.2">
      <c r="A905" s="41">
        <v>41828</v>
      </c>
      <c r="B905" s="40">
        <v>15.26</v>
      </c>
      <c r="C905" s="40">
        <v>18.18</v>
      </c>
      <c r="D905" s="40">
        <v>14.94</v>
      </c>
      <c r="E905" s="40">
        <v>16.760000000000002</v>
      </c>
      <c r="G905" s="36">
        <v>44378</v>
      </c>
      <c r="H905" s="40">
        <v>13.07</v>
      </c>
      <c r="I905" s="40">
        <v>20.212</v>
      </c>
      <c r="J905" s="44"/>
      <c r="K905" s="40"/>
      <c r="L905" s="45">
        <v>13.07</v>
      </c>
      <c r="M905" s="46">
        <v>20.212</v>
      </c>
      <c r="N905" s="40">
        <f t="shared" si="84"/>
        <v>-5.1446304869066942E-2</v>
      </c>
      <c r="O905" s="40">
        <f t="shared" si="85"/>
        <v>1.0419221687520101E-2</v>
      </c>
      <c r="P905" s="40">
        <f t="shared" si="86"/>
        <v>1.0473690788651341E-2</v>
      </c>
      <c r="Q905" s="40"/>
      <c r="R905" s="40"/>
      <c r="S905" t="s">
        <v>2345</v>
      </c>
      <c r="T905">
        <v>0.04</v>
      </c>
      <c r="U905" s="40">
        <f t="shared" si="87"/>
        <v>-0.22314355131420985</v>
      </c>
      <c r="V905" s="40">
        <f t="shared" si="88"/>
        <v>0.04</v>
      </c>
      <c r="W905" s="40">
        <f t="shared" si="89"/>
        <v>-0.22314355131420985</v>
      </c>
    </row>
    <row r="906" spans="1:23" x14ac:dyDescent="0.2">
      <c r="A906" s="41">
        <v>41859</v>
      </c>
      <c r="B906" s="40">
        <v>17.09</v>
      </c>
      <c r="C906" s="40">
        <v>17.57</v>
      </c>
      <c r="D906" s="40">
        <v>15.31</v>
      </c>
      <c r="E906" s="40">
        <v>15.39</v>
      </c>
      <c r="G906" s="36">
        <v>44377</v>
      </c>
      <c r="H906" s="40">
        <v>13.76</v>
      </c>
      <c r="I906" s="40">
        <v>20.002500000000001</v>
      </c>
      <c r="J906" s="44"/>
      <c r="K906" s="40"/>
      <c r="L906" s="45">
        <v>13.76</v>
      </c>
      <c r="M906" s="46">
        <v>20.002500000000001</v>
      </c>
      <c r="N906" s="40">
        <f t="shared" si="84"/>
        <v>0.27996002635787059</v>
      </c>
      <c r="O906" s="40">
        <f t="shared" si="85"/>
        <v>-1.2116141554787386E-3</v>
      </c>
      <c r="P906" s="40">
        <f t="shared" si="86"/>
        <v>-1.2108804474015281E-3</v>
      </c>
      <c r="Q906" s="40"/>
      <c r="R906" s="40"/>
      <c r="S906" t="s">
        <v>2344</v>
      </c>
      <c r="T906">
        <v>0.05</v>
      </c>
      <c r="U906" s="40">
        <f t="shared" si="87"/>
        <v>0</v>
      </c>
      <c r="V906" s="40">
        <f t="shared" si="88"/>
        <v>0.05</v>
      </c>
      <c r="W906" s="40">
        <f t="shared" si="89"/>
        <v>0</v>
      </c>
    </row>
    <row r="907" spans="1:23" x14ac:dyDescent="0.2">
      <c r="A907" s="41">
        <v>41951</v>
      </c>
      <c r="B907" s="40">
        <v>15.69</v>
      </c>
      <c r="C907" s="40">
        <v>15.71</v>
      </c>
      <c r="D907" s="40">
        <v>13.95</v>
      </c>
      <c r="E907" s="40">
        <v>14.84</v>
      </c>
      <c r="G907" s="36">
        <v>44376</v>
      </c>
      <c r="H907" s="40">
        <v>10.4</v>
      </c>
      <c r="I907" s="40">
        <v>20.02675</v>
      </c>
      <c r="J907" s="44"/>
      <c r="K907" s="40"/>
      <c r="L907" s="45">
        <v>10.4</v>
      </c>
      <c r="M907" s="46">
        <v>20.02675</v>
      </c>
      <c r="N907" s="40">
        <f t="shared" si="84"/>
        <v>-9.4435671659392234E-2</v>
      </c>
      <c r="O907" s="40">
        <f t="shared" si="85"/>
        <v>2.0868877343340445E-3</v>
      </c>
      <c r="P907" s="40">
        <f t="shared" si="86"/>
        <v>2.0890668001000952E-3</v>
      </c>
      <c r="Q907" s="40"/>
      <c r="R907" s="40"/>
      <c r="S907" t="s">
        <v>2343</v>
      </c>
      <c r="T907">
        <v>0.05</v>
      </c>
      <c r="U907" s="40">
        <f t="shared" si="87"/>
        <v>0.22314355131420976</v>
      </c>
      <c r="V907" s="40">
        <f t="shared" si="88"/>
        <v>0.05</v>
      </c>
      <c r="W907" s="40">
        <f t="shared" si="89"/>
        <v>0.22314355131420976</v>
      </c>
    </row>
    <row r="908" spans="1:23" x14ac:dyDescent="0.2">
      <c r="A908" s="41">
        <v>41981</v>
      </c>
      <c r="B908" s="40">
        <v>15.2</v>
      </c>
      <c r="C908" s="40">
        <v>15.44</v>
      </c>
      <c r="D908" s="40">
        <v>14.35</v>
      </c>
      <c r="E908" s="40">
        <v>14.49</v>
      </c>
      <c r="G908" s="36">
        <v>44375</v>
      </c>
      <c r="H908" s="40">
        <v>11.43</v>
      </c>
      <c r="I908" s="40">
        <v>19.984999999999999</v>
      </c>
      <c r="J908" s="44"/>
      <c r="K908" s="40"/>
      <c r="L908" s="45">
        <v>11.43</v>
      </c>
      <c r="M908" s="46">
        <v>19.984999999999999</v>
      </c>
      <c r="N908" s="40">
        <f t="shared" si="84"/>
        <v>2.8395874155180766E-2</v>
      </c>
      <c r="O908" s="40">
        <f t="shared" si="85"/>
        <v>4.8912763628396513E-2</v>
      </c>
      <c r="P908" s="40">
        <f t="shared" si="86"/>
        <v>5.0128737323314625E-2</v>
      </c>
      <c r="Q908" s="40"/>
      <c r="R908" s="40"/>
      <c r="S908" t="s">
        <v>2342</v>
      </c>
      <c r="T908">
        <v>0.04</v>
      </c>
      <c r="U908" s="40">
        <f t="shared" si="87"/>
        <v>0</v>
      </c>
      <c r="V908" s="40">
        <f t="shared" si="88"/>
        <v>0.04</v>
      </c>
      <c r="W908" s="40">
        <f t="shared" si="89"/>
        <v>0</v>
      </c>
    </row>
    <row r="909" spans="1:23" x14ac:dyDescent="0.2">
      <c r="A909" s="40" t="s">
        <v>1296</v>
      </c>
      <c r="B909" s="40">
        <v>13.33</v>
      </c>
      <c r="C909" s="40">
        <v>13.84</v>
      </c>
      <c r="D909" s="40">
        <v>12.51</v>
      </c>
      <c r="E909" s="40">
        <v>12.63</v>
      </c>
      <c r="G909" s="36">
        <v>44372</v>
      </c>
      <c r="H909" s="40">
        <v>11.11</v>
      </c>
      <c r="I909" s="40">
        <v>19.030999999999999</v>
      </c>
      <c r="J909" s="44"/>
      <c r="K909" s="40"/>
      <c r="L909" s="45">
        <v>11.11</v>
      </c>
      <c r="M909" s="46">
        <v>19.030999999999999</v>
      </c>
      <c r="N909" s="40">
        <f t="shared" si="84"/>
        <v>-6.5325789918040764E-2</v>
      </c>
      <c r="O909" s="40">
        <f t="shared" si="85"/>
        <v>-9.127467810824335E-3</v>
      </c>
      <c r="P909" s="40">
        <f t="shared" si="86"/>
        <v>-9.0859389237458992E-3</v>
      </c>
      <c r="Q909" s="40"/>
      <c r="R909" s="40"/>
      <c r="S909" t="s">
        <v>2341</v>
      </c>
      <c r="T909">
        <v>0.04</v>
      </c>
      <c r="U909" s="40">
        <f t="shared" si="87"/>
        <v>0</v>
      </c>
      <c r="V909" s="40">
        <f t="shared" si="88"/>
        <v>0.04</v>
      </c>
      <c r="W909" s="40">
        <f t="shared" si="89"/>
        <v>0</v>
      </c>
    </row>
    <row r="910" spans="1:23" x14ac:dyDescent="0.2">
      <c r="A910" s="40" t="s">
        <v>1297</v>
      </c>
      <c r="B910" s="40">
        <v>12.31</v>
      </c>
      <c r="C910" s="40">
        <v>12.74</v>
      </c>
      <c r="D910" s="40">
        <v>11.77</v>
      </c>
      <c r="E910" s="40">
        <v>12.29</v>
      </c>
      <c r="G910" s="36">
        <v>44371</v>
      </c>
      <c r="H910" s="40">
        <v>11.86</v>
      </c>
      <c r="I910" s="40">
        <v>19.205500000000001</v>
      </c>
      <c r="J910" s="44"/>
      <c r="K910" s="40"/>
      <c r="L910" s="45">
        <v>11.86</v>
      </c>
      <c r="M910" s="46">
        <v>19.205500000000001</v>
      </c>
      <c r="N910" s="40">
        <f t="shared" si="84"/>
        <v>-5.046268067624384E-3</v>
      </c>
      <c r="O910" s="40">
        <f t="shared" si="85"/>
        <v>7.7490897464035438E-3</v>
      </c>
      <c r="P910" s="40">
        <f t="shared" si="86"/>
        <v>7.7791916462239246E-3</v>
      </c>
      <c r="Q910" s="40"/>
      <c r="R910" s="40"/>
      <c r="S910" t="s">
        <v>2340</v>
      </c>
      <c r="T910">
        <v>0.04</v>
      </c>
      <c r="U910" s="40">
        <f t="shared" si="87"/>
        <v>-0.22314355131420985</v>
      </c>
      <c r="V910" s="40">
        <f t="shared" si="88"/>
        <v>0.04</v>
      </c>
      <c r="W910" s="40">
        <f t="shared" si="89"/>
        <v>-0.22314355131420985</v>
      </c>
    </row>
    <row r="911" spans="1:23" x14ac:dyDescent="0.2">
      <c r="A911" s="40" t="s">
        <v>1298</v>
      </c>
      <c r="B911" s="40">
        <v>11.56</v>
      </c>
      <c r="C911" s="40">
        <v>17.059999999999999</v>
      </c>
      <c r="D911" s="40">
        <v>11.55</v>
      </c>
      <c r="E911" s="40">
        <v>14.34</v>
      </c>
      <c r="G911" s="36">
        <v>44370</v>
      </c>
      <c r="H911" s="40">
        <v>11.92</v>
      </c>
      <c r="I911" s="40">
        <v>19.05725</v>
      </c>
      <c r="J911" s="44"/>
      <c r="K911" s="40"/>
      <c r="L911" s="45">
        <v>11.92</v>
      </c>
      <c r="M911" s="46">
        <v>19.05725</v>
      </c>
      <c r="N911" s="40">
        <f t="shared" si="84"/>
        <v>5.0462680676244395E-3</v>
      </c>
      <c r="O911" s="40">
        <f t="shared" si="85"/>
        <v>8.9869885909864538E-3</v>
      </c>
      <c r="P911" s="40">
        <f t="shared" si="86"/>
        <v>9.0274928190398323E-3</v>
      </c>
      <c r="Q911" s="40"/>
      <c r="R911" s="40"/>
      <c r="S911" t="s">
        <v>2339</v>
      </c>
      <c r="T911">
        <v>0.05</v>
      </c>
      <c r="U911" s="40">
        <f t="shared" si="87"/>
        <v>0</v>
      </c>
      <c r="V911" s="40">
        <f t="shared" si="88"/>
        <v>0.05</v>
      </c>
      <c r="W911" s="40">
        <f t="shared" si="89"/>
        <v>0</v>
      </c>
    </row>
    <row r="912" spans="1:23" x14ac:dyDescent="0.2">
      <c r="A912" s="40" t="s">
        <v>1299</v>
      </c>
      <c r="B912" s="40">
        <v>13.6</v>
      </c>
      <c r="C912" s="40">
        <v>13.69</v>
      </c>
      <c r="D912" s="40">
        <v>11.86</v>
      </c>
      <c r="E912" s="40">
        <v>12.07</v>
      </c>
      <c r="G912" s="36">
        <v>44369</v>
      </c>
      <c r="H912" s="40">
        <v>11.86</v>
      </c>
      <c r="I912" s="40">
        <v>18.886749999999999</v>
      </c>
      <c r="J912" s="44"/>
      <c r="K912" s="40"/>
      <c r="L912" s="45">
        <v>11.86</v>
      </c>
      <c r="M912" s="46">
        <v>18.886749999999999</v>
      </c>
      <c r="N912" s="40">
        <f t="shared" si="84"/>
        <v>-7.392727647486852E-2</v>
      </c>
      <c r="O912" s="40">
        <f t="shared" si="85"/>
        <v>2.4630070699279444E-2</v>
      </c>
      <c r="P912" s="40">
        <f t="shared" si="86"/>
        <v>2.4935896566226565E-2</v>
      </c>
      <c r="Q912" s="40"/>
      <c r="R912" s="40"/>
      <c r="S912" t="s">
        <v>2338</v>
      </c>
      <c r="T912">
        <v>0.05</v>
      </c>
      <c r="U912" s="40">
        <f t="shared" si="87"/>
        <v>0.22314355131420976</v>
      </c>
      <c r="V912" s="40">
        <f t="shared" si="88"/>
        <v>0.05</v>
      </c>
      <c r="W912" s="40">
        <f t="shared" si="89"/>
        <v>0.22314355131420976</v>
      </c>
    </row>
    <row r="913" spans="1:23" x14ac:dyDescent="0.2">
      <c r="A913" s="40" t="s">
        <v>1300</v>
      </c>
      <c r="B913" s="40">
        <v>11.58</v>
      </c>
      <c r="C913" s="40">
        <v>11.97</v>
      </c>
      <c r="D913" s="40">
        <v>10.9</v>
      </c>
      <c r="E913" s="40">
        <v>11</v>
      </c>
      <c r="G913" s="36">
        <v>44368</v>
      </c>
      <c r="H913" s="40">
        <v>12.77</v>
      </c>
      <c r="I913" s="40">
        <v>18.427250000000001</v>
      </c>
      <c r="J913" s="44"/>
      <c r="K913" s="40"/>
      <c r="L913" s="45">
        <v>12.77</v>
      </c>
      <c r="M913" s="46">
        <v>18.427250000000001</v>
      </c>
      <c r="N913" s="40">
        <f t="shared" si="84"/>
        <v>-6.517457566399347E-2</v>
      </c>
      <c r="O913" s="40">
        <f t="shared" si="85"/>
        <v>-1.1412199613934965E-2</v>
      </c>
      <c r="P913" s="40">
        <f t="shared" si="86"/>
        <v>-1.1347327476359782E-2</v>
      </c>
      <c r="Q913" s="40"/>
      <c r="R913" s="40"/>
      <c r="S913" t="s">
        <v>2337</v>
      </c>
      <c r="T913">
        <v>0.04</v>
      </c>
      <c r="U913" s="40">
        <f t="shared" si="87"/>
        <v>0.69314718055994529</v>
      </c>
      <c r="V913" s="40">
        <f t="shared" si="88"/>
        <v>0.04</v>
      </c>
      <c r="W913" s="40">
        <f t="shared" si="89"/>
        <v>0.69314718055994529</v>
      </c>
    </row>
    <row r="914" spans="1:23" x14ac:dyDescent="0.2">
      <c r="A914" s="40" t="s">
        <v>1301</v>
      </c>
      <c r="B914" s="40">
        <v>11.2</v>
      </c>
      <c r="C914" s="40">
        <v>11.31</v>
      </c>
      <c r="D914" s="40">
        <v>10.32</v>
      </c>
      <c r="E914" s="40">
        <v>10.8</v>
      </c>
      <c r="G914" s="36">
        <v>44365</v>
      </c>
      <c r="H914" s="40">
        <v>13.63</v>
      </c>
      <c r="I914" s="40">
        <v>18.638750000000002</v>
      </c>
      <c r="J914" s="44"/>
      <c r="K914" s="40"/>
      <c r="L914" s="45">
        <v>13.63</v>
      </c>
      <c r="M914" s="46">
        <v>18.638750000000002</v>
      </c>
      <c r="N914" s="40">
        <f t="shared" si="84"/>
        <v>-6.737748087207078E-2</v>
      </c>
      <c r="O914" s="40">
        <f t="shared" si="85"/>
        <v>-9.9206357342836431E-4</v>
      </c>
      <c r="P914" s="40">
        <f t="shared" si="86"/>
        <v>-9.9157164105104006E-4</v>
      </c>
      <c r="Q914" s="40"/>
      <c r="R914" s="40"/>
      <c r="S914" t="s">
        <v>2336</v>
      </c>
      <c r="T914">
        <v>0.02</v>
      </c>
      <c r="U914" s="40">
        <f t="shared" si="87"/>
        <v>0.69314718055994529</v>
      </c>
      <c r="V914" s="40">
        <f t="shared" si="88"/>
        <v>0.02</v>
      </c>
      <c r="W914" s="40">
        <f t="shared" si="89"/>
        <v>0.69314718055994529</v>
      </c>
    </row>
    <row r="915" spans="1:23" x14ac:dyDescent="0.2">
      <c r="A915" s="40" t="s">
        <v>1302</v>
      </c>
      <c r="B915" s="40">
        <v>11.04</v>
      </c>
      <c r="C915" s="40">
        <v>11.4</v>
      </c>
      <c r="D915" s="40">
        <v>10.77</v>
      </c>
      <c r="E915" s="40">
        <v>10.94</v>
      </c>
      <c r="G915" s="36">
        <v>44364</v>
      </c>
      <c r="H915" s="40">
        <v>14.58</v>
      </c>
      <c r="I915" s="40">
        <v>18.657250000000001</v>
      </c>
      <c r="J915" s="44"/>
      <c r="K915" s="40"/>
      <c r="L915" s="45">
        <v>14.58</v>
      </c>
      <c r="M915" s="46">
        <v>18.657250000000001</v>
      </c>
      <c r="N915" s="40">
        <f t="shared" si="84"/>
        <v>-0.14351228162220239</v>
      </c>
      <c r="O915" s="40">
        <f t="shared" si="85"/>
        <v>4.6460676235524329E-2</v>
      </c>
      <c r="P915" s="40">
        <f t="shared" si="86"/>
        <v>4.7556884378377691E-2</v>
      </c>
      <c r="Q915" s="40"/>
      <c r="R915" s="40"/>
      <c r="S915" t="s">
        <v>2335</v>
      </c>
      <c r="T915">
        <v>0.01</v>
      </c>
      <c r="U915" s="40">
        <f t="shared" si="87"/>
        <v>0</v>
      </c>
      <c r="V915" s="40">
        <f t="shared" si="88"/>
        <v>0.01</v>
      </c>
      <c r="W915" s="40">
        <f t="shared" si="89"/>
        <v>0</v>
      </c>
    </row>
    <row r="916" spans="1:23" x14ac:dyDescent="0.2">
      <c r="A916" s="40" t="s">
        <v>1303</v>
      </c>
      <c r="B916" s="40">
        <v>11.01</v>
      </c>
      <c r="C916" s="40">
        <v>12.2</v>
      </c>
      <c r="D916" s="40">
        <v>10.08</v>
      </c>
      <c r="E916" s="40">
        <v>10.08</v>
      </c>
      <c r="G916" s="36">
        <v>44363</v>
      </c>
      <c r="H916" s="40">
        <v>16.829999999999998</v>
      </c>
      <c r="I916" s="40">
        <v>17.81025</v>
      </c>
      <c r="J916" s="44"/>
      <c r="K916" s="40"/>
      <c r="L916" s="45">
        <v>16.829999999999998</v>
      </c>
      <c r="M916" s="46">
        <v>17.81025</v>
      </c>
      <c r="N916" s="40">
        <f t="shared" si="84"/>
        <v>-0.17954487908770175</v>
      </c>
      <c r="O916" s="40">
        <f t="shared" si="85"/>
        <v>1.2219531700619825E-3</v>
      </c>
      <c r="P916" s="40">
        <f t="shared" si="86"/>
        <v>1.2227000590269458E-3</v>
      </c>
      <c r="Q916" s="40"/>
      <c r="R916" s="40"/>
      <c r="S916" s="47">
        <v>44506</v>
      </c>
      <c r="T916">
        <v>0.01</v>
      </c>
      <c r="U916" s="40">
        <f t="shared" si="87"/>
        <v>0</v>
      </c>
      <c r="V916" s="40">
        <f t="shared" si="88"/>
        <v>0.01</v>
      </c>
      <c r="W916" s="40">
        <f t="shared" si="89"/>
        <v>0</v>
      </c>
    </row>
    <row r="917" spans="1:23" x14ac:dyDescent="0.2">
      <c r="A917" s="40" t="s">
        <v>1304</v>
      </c>
      <c r="B917" s="40">
        <v>10.26</v>
      </c>
      <c r="C917" s="40">
        <v>10.74</v>
      </c>
      <c r="D917" s="40">
        <v>10.1</v>
      </c>
      <c r="E917" s="40">
        <v>10.42</v>
      </c>
      <c r="G917" s="36">
        <v>44362</v>
      </c>
      <c r="H917" s="40">
        <v>20.14</v>
      </c>
      <c r="I917" s="40">
        <v>17.788499999999999</v>
      </c>
      <c r="J917" s="44"/>
      <c r="K917" s="40"/>
      <c r="L917" s="45">
        <v>20.14</v>
      </c>
      <c r="M917" s="46">
        <v>17.788499999999999</v>
      </c>
      <c r="N917" s="40">
        <f t="shared" si="84"/>
        <v>0.18909719052771351</v>
      </c>
      <c r="O917" s="40">
        <f t="shared" si="85"/>
        <v>-1.2860701313752875E-2</v>
      </c>
      <c r="P917" s="40">
        <f t="shared" si="86"/>
        <v>-1.2778355879292493E-2</v>
      </c>
      <c r="Q917" s="40"/>
      <c r="R917" s="40"/>
      <c r="S917" s="47">
        <v>44475</v>
      </c>
      <c r="T917">
        <v>0.01</v>
      </c>
      <c r="U917" s="40">
        <f t="shared" si="87"/>
        <v>0</v>
      </c>
      <c r="V917" s="40">
        <f t="shared" si="88"/>
        <v>0.01</v>
      </c>
      <c r="W917" s="40">
        <f t="shared" si="89"/>
        <v>0</v>
      </c>
    </row>
    <row r="918" spans="1:23" x14ac:dyDescent="0.2">
      <c r="A918" s="40" t="s">
        <v>1305</v>
      </c>
      <c r="B918" s="40">
        <v>10.3</v>
      </c>
      <c r="C918" s="40">
        <v>10.51</v>
      </c>
      <c r="D918" s="40">
        <v>9.85</v>
      </c>
      <c r="E918" s="40">
        <v>10.14</v>
      </c>
      <c r="G918" s="36">
        <v>44361</v>
      </c>
      <c r="H918" s="40">
        <v>16.670000000000002</v>
      </c>
      <c r="I918" s="40">
        <v>18.018750000000001</v>
      </c>
      <c r="J918" s="44"/>
      <c r="K918" s="40"/>
      <c r="L918" s="45">
        <v>16.670000000000002</v>
      </c>
      <c r="M918" s="46">
        <v>18.018750000000001</v>
      </c>
      <c r="N918" s="40">
        <f t="shared" si="84"/>
        <v>-7.3422159867947409E-2</v>
      </c>
      <c r="O918" s="40">
        <f t="shared" si="85"/>
        <v>1.0796890957126741E-2</v>
      </c>
      <c r="P918" s="40">
        <f t="shared" si="86"/>
        <v>1.0855387722472349E-2</v>
      </c>
      <c r="Q918" s="40"/>
      <c r="R918" s="40"/>
      <c r="S918" s="47">
        <v>44445</v>
      </c>
      <c r="T918">
        <v>0.01</v>
      </c>
      <c r="U918" s="40">
        <f t="shared" si="87"/>
        <v>0</v>
      </c>
      <c r="V918" s="40">
        <f t="shared" si="88"/>
        <v>0.01</v>
      </c>
      <c r="W918" s="40">
        <f t="shared" si="89"/>
        <v>0</v>
      </c>
    </row>
    <row r="919" spans="1:23" x14ac:dyDescent="0.2">
      <c r="A919" s="40" t="s">
        <v>1306</v>
      </c>
      <c r="B919" s="40">
        <v>9.99</v>
      </c>
      <c r="C919" s="40">
        <v>10.45</v>
      </c>
      <c r="D919" s="40">
        <v>9.81</v>
      </c>
      <c r="E919" s="40">
        <v>9.89</v>
      </c>
      <c r="G919" s="36">
        <v>44358</v>
      </c>
      <c r="H919" s="40">
        <v>17.940000000000001</v>
      </c>
      <c r="I919" s="40">
        <v>17.82525</v>
      </c>
      <c r="J919" s="44"/>
      <c r="K919" s="40"/>
      <c r="L919" s="45">
        <v>17.940000000000001</v>
      </c>
      <c r="M919" s="46">
        <v>17.82525</v>
      </c>
      <c r="N919" s="40">
        <f t="shared" si="84"/>
        <v>0.11945667621441328</v>
      </c>
      <c r="O919" s="40">
        <f t="shared" si="85"/>
        <v>2.2710034800860993E-2</v>
      </c>
      <c r="P919" s="40">
        <f t="shared" si="86"/>
        <v>2.2969870875179325E-2</v>
      </c>
      <c r="Q919" s="40"/>
      <c r="R919" s="40"/>
      <c r="S919" s="47">
        <v>44414</v>
      </c>
      <c r="T919">
        <v>0.01</v>
      </c>
      <c r="U919" s="40">
        <f t="shared" si="87"/>
        <v>0</v>
      </c>
      <c r="V919" s="40">
        <f t="shared" si="88"/>
        <v>0.01</v>
      </c>
      <c r="W919" s="40">
        <f t="shared" si="89"/>
        <v>0</v>
      </c>
    </row>
    <row r="920" spans="1:23" x14ac:dyDescent="0.2">
      <c r="A920" s="40" t="s">
        <v>1307</v>
      </c>
      <c r="B920" s="40">
        <v>10.81</v>
      </c>
      <c r="C920" s="40">
        <v>11.46</v>
      </c>
      <c r="D920" s="40">
        <v>10.27</v>
      </c>
      <c r="E920" s="40">
        <v>10.34</v>
      </c>
      <c r="G920" s="36">
        <v>44357</v>
      </c>
      <c r="H920" s="40">
        <v>15.92</v>
      </c>
      <c r="I920" s="40">
        <v>17.425000000000001</v>
      </c>
      <c r="J920" s="44"/>
      <c r="K920" s="40"/>
      <c r="L920" s="45">
        <v>15.92</v>
      </c>
      <c r="M920" s="46">
        <v>17.425000000000001</v>
      </c>
      <c r="N920" s="40">
        <f t="shared" si="84"/>
        <v>6.4873585640622206E-2</v>
      </c>
      <c r="O920" s="40">
        <f t="shared" si="85"/>
        <v>3.8380589473081708E-3</v>
      </c>
      <c r="P920" s="40">
        <f t="shared" si="86"/>
        <v>3.8454337274782292E-3</v>
      </c>
      <c r="Q920" s="40"/>
      <c r="R920" s="40"/>
      <c r="S920" s="47">
        <v>44383</v>
      </c>
      <c r="T920">
        <v>0.01</v>
      </c>
      <c r="U920" s="40">
        <f t="shared" si="87"/>
        <v>0</v>
      </c>
      <c r="V920" s="40">
        <f t="shared" si="88"/>
        <v>0.01</v>
      </c>
      <c r="W920" s="40">
        <f t="shared" si="89"/>
        <v>0</v>
      </c>
    </row>
    <row r="921" spans="1:23" x14ac:dyDescent="0.2">
      <c r="A921" s="40" t="s">
        <v>1308</v>
      </c>
      <c r="B921" s="40">
        <v>10.23</v>
      </c>
      <c r="C921" s="40">
        <v>11.11</v>
      </c>
      <c r="D921" s="40">
        <v>9.89</v>
      </c>
      <c r="E921" s="40">
        <v>10</v>
      </c>
      <c r="G921" s="36">
        <v>44356</v>
      </c>
      <c r="H921" s="40">
        <v>14.92</v>
      </c>
      <c r="I921" s="40">
        <v>17.358250000000002</v>
      </c>
      <c r="J921" s="44"/>
      <c r="K921" s="40"/>
      <c r="L921" s="45">
        <v>14.92</v>
      </c>
      <c r="M921" s="46">
        <v>17.358250000000002</v>
      </c>
      <c r="N921" s="40">
        <f t="shared" si="84"/>
        <v>0.13314847092732973</v>
      </c>
      <c r="O921" s="40">
        <f t="shared" si="85"/>
        <v>-5.6728166433630996E-3</v>
      </c>
      <c r="P921" s="40">
        <f t="shared" si="86"/>
        <v>-5.6567566019361292E-3</v>
      </c>
      <c r="Q921" s="40"/>
      <c r="R921" s="40"/>
      <c r="S921" s="47">
        <v>44292</v>
      </c>
      <c r="T921">
        <v>0.01</v>
      </c>
      <c r="U921" s="40" t="e">
        <f t="shared" si="87"/>
        <v>#DIV/0!</v>
      </c>
      <c r="V921" s="40">
        <f t="shared" si="88"/>
        <v>0.01</v>
      </c>
      <c r="W921" s="40">
        <f t="shared" si="89"/>
        <v>2.3025850929940459</v>
      </c>
    </row>
    <row r="922" spans="1:23" x14ac:dyDescent="0.2">
      <c r="A922" s="41">
        <v>41679</v>
      </c>
      <c r="B922" s="40">
        <v>10.8</v>
      </c>
      <c r="C922" s="40">
        <v>11.43</v>
      </c>
      <c r="D922" s="40">
        <v>10.199999999999999</v>
      </c>
      <c r="E922" s="40">
        <v>10.32</v>
      </c>
      <c r="G922" s="36">
        <v>44355</v>
      </c>
      <c r="H922" s="40">
        <v>13.06</v>
      </c>
      <c r="I922" s="40">
        <v>17.457000000000001</v>
      </c>
      <c r="J922" s="44"/>
      <c r="K922" s="40"/>
      <c r="L922" s="45">
        <v>13.06</v>
      </c>
      <c r="M922" s="46">
        <v>17.457000000000001</v>
      </c>
      <c r="N922" s="40">
        <f t="shared" si="84"/>
        <v>-5.7286021828381814E-2</v>
      </c>
      <c r="O922" s="40">
        <f t="shared" si="85"/>
        <v>-9.237150865849534E-3</v>
      </c>
      <c r="P922" s="40">
        <f t="shared" si="86"/>
        <v>-9.1946194449173645E-3</v>
      </c>
      <c r="Q922" s="40"/>
      <c r="R922" s="40"/>
      <c r="S922" s="47">
        <v>44261</v>
      </c>
      <c r="T922">
        <v>0</v>
      </c>
      <c r="U922" s="40" t="e">
        <f t="shared" si="87"/>
        <v>#NUM!</v>
      </c>
      <c r="V922" s="40">
        <f t="shared" si="88"/>
        <v>1E-3</v>
      </c>
      <c r="W922" s="40">
        <f t="shared" si="89"/>
        <v>-2.3025850929940455</v>
      </c>
    </row>
    <row r="923" spans="1:23" x14ac:dyDescent="0.2">
      <c r="A923" s="41">
        <v>41707</v>
      </c>
      <c r="B923" s="40">
        <v>9.85</v>
      </c>
      <c r="C923" s="40">
        <v>11.03</v>
      </c>
      <c r="D923" s="40">
        <v>9.85</v>
      </c>
      <c r="E923" s="40">
        <v>10.83</v>
      </c>
      <c r="G923" s="36">
        <v>44354</v>
      </c>
      <c r="H923" s="40">
        <v>13.83</v>
      </c>
      <c r="I923" s="40">
        <v>17.619</v>
      </c>
      <c r="J923" s="44"/>
      <c r="K923" s="40"/>
      <c r="L923" s="45">
        <v>13.83</v>
      </c>
      <c r="M923" s="46">
        <v>17.619</v>
      </c>
      <c r="N923" s="40">
        <f t="shared" si="84"/>
        <v>-0.21165335145083261</v>
      </c>
      <c r="O923" s="40">
        <f t="shared" si="85"/>
        <v>2.315522843816083E-3</v>
      </c>
      <c r="P923" s="40">
        <f t="shared" si="86"/>
        <v>2.3182057372035996E-3</v>
      </c>
      <c r="Q923" s="40"/>
      <c r="R923" s="40"/>
      <c r="S923" s="47">
        <v>44233</v>
      </c>
      <c r="T923">
        <v>0.01</v>
      </c>
      <c r="U923" s="40">
        <f t="shared" si="87"/>
        <v>0</v>
      </c>
      <c r="V923" s="40">
        <f t="shared" si="88"/>
        <v>0.01</v>
      </c>
      <c r="W923" s="40">
        <f t="shared" si="89"/>
        <v>0</v>
      </c>
    </row>
    <row r="924" spans="1:23" x14ac:dyDescent="0.2">
      <c r="A924" s="41">
        <v>41738</v>
      </c>
      <c r="B924" s="40">
        <v>10.87</v>
      </c>
      <c r="C924" s="40">
        <v>12.31</v>
      </c>
      <c r="D924" s="40">
        <v>10.220000000000001</v>
      </c>
      <c r="E924" s="40">
        <v>11.8</v>
      </c>
      <c r="G924" s="36">
        <v>44351</v>
      </c>
      <c r="H924" s="40">
        <v>17.09</v>
      </c>
      <c r="I924" s="40">
        <v>17.578250000000001</v>
      </c>
      <c r="J924" s="44"/>
      <c r="K924" s="40"/>
      <c r="L924" s="45">
        <v>17.09</v>
      </c>
      <c r="M924" s="46">
        <v>17.578250000000001</v>
      </c>
      <c r="N924" s="40">
        <f t="shared" si="84"/>
        <v>0.10217983075242999</v>
      </c>
      <c r="O924" s="40">
        <f t="shared" si="85"/>
        <v>3.5229995106844103E-2</v>
      </c>
      <c r="P924" s="40">
        <f t="shared" si="86"/>
        <v>3.5857923658274241E-2</v>
      </c>
      <c r="Q924" s="40"/>
      <c r="R924" s="40"/>
      <c r="S924" s="47">
        <v>44202</v>
      </c>
      <c r="T924">
        <v>0.01</v>
      </c>
      <c r="U924" s="40">
        <f t="shared" si="87"/>
        <v>0</v>
      </c>
      <c r="V924" s="40">
        <f t="shared" si="88"/>
        <v>0.01</v>
      </c>
      <c r="W924" s="40">
        <f t="shared" si="89"/>
        <v>0</v>
      </c>
    </row>
    <row r="925" spans="1:23" x14ac:dyDescent="0.2">
      <c r="A925" s="41">
        <v>41768</v>
      </c>
      <c r="B925" s="40">
        <v>11.2</v>
      </c>
      <c r="C925" s="40">
        <v>12.2</v>
      </c>
      <c r="D925" s="40">
        <v>10.26</v>
      </c>
      <c r="E925" s="40">
        <v>10.27</v>
      </c>
      <c r="G925" s="36">
        <v>44350</v>
      </c>
      <c r="H925" s="40">
        <v>15.43</v>
      </c>
      <c r="I925" s="40">
        <v>16.969750000000001</v>
      </c>
      <c r="J925" s="44"/>
      <c r="K925" s="40"/>
      <c r="L925" s="45">
        <v>15.43</v>
      </c>
      <c r="M925" s="46">
        <v>16.969750000000001</v>
      </c>
      <c r="N925" s="40">
        <f t="shared" si="84"/>
        <v>0.10370566043971788</v>
      </c>
      <c r="O925" s="40">
        <f t="shared" si="85"/>
        <v>1.1348942479845464E-2</v>
      </c>
      <c r="P925" s="40">
        <f t="shared" si="86"/>
        <v>1.1413586041452555E-2</v>
      </c>
      <c r="Q925" s="40"/>
      <c r="R925" s="40"/>
      <c r="S925" t="s">
        <v>2334</v>
      </c>
      <c r="T925">
        <v>0.01</v>
      </c>
      <c r="U925" s="40" t="e">
        <f t="shared" si="87"/>
        <v>#DIV/0!</v>
      </c>
      <c r="V925" s="40">
        <f t="shared" si="88"/>
        <v>0.01</v>
      </c>
      <c r="W925" s="40">
        <f t="shared" si="89"/>
        <v>2.3025850929940459</v>
      </c>
    </row>
    <row r="926" spans="1:23" x14ac:dyDescent="0.2">
      <c r="A926" s="41">
        <v>41860</v>
      </c>
      <c r="B926" s="40">
        <v>12.42</v>
      </c>
      <c r="C926" s="40">
        <v>12.55</v>
      </c>
      <c r="D926" s="40">
        <v>11.66</v>
      </c>
      <c r="E926" s="40">
        <v>12.05</v>
      </c>
      <c r="G926" s="36">
        <v>44349</v>
      </c>
      <c r="H926" s="40">
        <v>13.91</v>
      </c>
      <c r="I926" s="40">
        <v>16.77825</v>
      </c>
      <c r="J926" s="44"/>
      <c r="K926" s="40"/>
      <c r="L926" s="45">
        <v>13.91</v>
      </c>
      <c r="M926" s="46">
        <v>16.77825</v>
      </c>
      <c r="N926" s="40">
        <f t="shared" si="84"/>
        <v>9.1006012470805919E-2</v>
      </c>
      <c r="O926" s="40">
        <f t="shared" si="85"/>
        <v>3.1098586179777239E-2</v>
      </c>
      <c r="P926" s="40">
        <f t="shared" si="86"/>
        <v>3.1587199114636054E-2</v>
      </c>
      <c r="Q926" s="40"/>
      <c r="R926" s="40"/>
      <c r="S926" t="s">
        <v>2333</v>
      </c>
      <c r="T926">
        <v>0</v>
      </c>
      <c r="U926" s="40" t="e">
        <f t="shared" si="87"/>
        <v>#DIV/0!</v>
      </c>
      <c r="V926" s="40">
        <f t="shared" si="88"/>
        <v>1E-3</v>
      </c>
      <c r="W926" s="40">
        <f t="shared" si="89"/>
        <v>0</v>
      </c>
    </row>
    <row r="927" spans="1:23" x14ac:dyDescent="0.2">
      <c r="A927" s="41">
        <v>41891</v>
      </c>
      <c r="B927" s="40">
        <v>12.72</v>
      </c>
      <c r="C927" s="40">
        <v>14.08</v>
      </c>
      <c r="D927" s="40">
        <v>12.21</v>
      </c>
      <c r="E927" s="40">
        <v>13.33</v>
      </c>
      <c r="G927" s="36">
        <v>44348</v>
      </c>
      <c r="H927" s="40">
        <v>12.7</v>
      </c>
      <c r="I927" s="40">
        <v>16.264500000000002</v>
      </c>
      <c r="J927" s="44"/>
      <c r="K927" s="40"/>
      <c r="L927" s="45">
        <v>12.7</v>
      </c>
      <c r="M927" s="46">
        <v>16.264500000000002</v>
      </c>
      <c r="N927" s="40">
        <f t="shared" si="84"/>
        <v>-0.17837677850293829</v>
      </c>
      <c r="O927" s="40">
        <f t="shared" si="85"/>
        <v>1.2304286519586539E-3</v>
      </c>
      <c r="P927" s="40">
        <f t="shared" si="86"/>
        <v>1.2311859398567594E-3</v>
      </c>
      <c r="Q927" s="40"/>
      <c r="R927" s="40"/>
      <c r="S927" t="s">
        <v>2332</v>
      </c>
      <c r="T927">
        <v>0</v>
      </c>
      <c r="U927" s="40" t="e">
        <f t="shared" si="87"/>
        <v>#NUM!</v>
      </c>
      <c r="V927" s="40">
        <f t="shared" si="88"/>
        <v>1E-3</v>
      </c>
      <c r="W927" s="40">
        <f t="shared" si="89"/>
        <v>-2.3025850929940455</v>
      </c>
    </row>
    <row r="928" spans="1:23" x14ac:dyDescent="0.2">
      <c r="A928" s="41">
        <v>41921</v>
      </c>
      <c r="B928" s="40">
        <v>13.94</v>
      </c>
      <c r="C928" s="40">
        <v>14.64</v>
      </c>
      <c r="D928" s="40">
        <v>12.71</v>
      </c>
      <c r="E928" s="40">
        <v>12.74</v>
      </c>
      <c r="G928" s="36">
        <v>44344</v>
      </c>
      <c r="H928" s="40">
        <v>15.18</v>
      </c>
      <c r="I928" s="40">
        <v>16.244499999999999</v>
      </c>
      <c r="J928" s="44"/>
      <c r="K928" s="40"/>
      <c r="L928" s="45">
        <v>15.18</v>
      </c>
      <c r="M928" s="46">
        <v>16.244499999999999</v>
      </c>
      <c r="N928" s="40">
        <f t="shared" si="84"/>
        <v>0.10258293913340467</v>
      </c>
      <c r="O928" s="40">
        <f t="shared" si="85"/>
        <v>4.7688859412029543E-2</v>
      </c>
      <c r="P928" s="40">
        <f t="shared" si="86"/>
        <v>4.884426652892556E-2</v>
      </c>
      <c r="Q928" s="40"/>
      <c r="R928" s="40"/>
      <c r="S928" t="s">
        <v>2331</v>
      </c>
      <c r="T928">
        <v>0.01</v>
      </c>
      <c r="U928" s="40">
        <f t="shared" si="87"/>
        <v>0</v>
      </c>
      <c r="V928" s="40">
        <f t="shared" si="88"/>
        <v>0.01</v>
      </c>
      <c r="W928" s="40">
        <f t="shared" si="89"/>
        <v>0</v>
      </c>
    </row>
    <row r="929" spans="1:23" x14ac:dyDescent="0.2">
      <c r="A929" s="41">
        <v>41952</v>
      </c>
      <c r="B929" s="40">
        <v>14.15</v>
      </c>
      <c r="C929" s="40">
        <v>14.16</v>
      </c>
      <c r="D929" s="40">
        <v>12.05</v>
      </c>
      <c r="E929" s="40">
        <v>12.07</v>
      </c>
      <c r="G929" s="36">
        <v>44343</v>
      </c>
      <c r="H929" s="40">
        <v>13.7</v>
      </c>
      <c r="I929" s="40">
        <v>15.488</v>
      </c>
      <c r="J929" s="44"/>
      <c r="K929" s="40"/>
      <c r="L929" s="45">
        <v>13.7</v>
      </c>
      <c r="M929" s="46">
        <v>15.488</v>
      </c>
      <c r="N929" s="40">
        <f t="shared" si="84"/>
        <v>-9.0654368268130836E-2</v>
      </c>
      <c r="O929" s="40">
        <f t="shared" si="85"/>
        <v>-1.3595181820041123E-2</v>
      </c>
      <c r="P929" s="40">
        <f t="shared" si="86"/>
        <v>-1.350318471337578E-2</v>
      </c>
      <c r="Q929" s="40"/>
      <c r="R929" s="40"/>
      <c r="S929" t="s">
        <v>2330</v>
      </c>
      <c r="T929">
        <v>0.01</v>
      </c>
      <c r="U929" s="40" t="e">
        <f t="shared" si="87"/>
        <v>#DIV/0!</v>
      </c>
      <c r="V929" s="40">
        <f t="shared" si="88"/>
        <v>0.01</v>
      </c>
      <c r="W929" s="40">
        <f t="shared" si="89"/>
        <v>2.3025850929940459</v>
      </c>
    </row>
    <row r="930" spans="1:23" x14ac:dyDescent="0.2">
      <c r="A930" s="41">
        <v>41982</v>
      </c>
      <c r="B930" s="40">
        <v>12.15</v>
      </c>
      <c r="C930" s="40">
        <v>15.09</v>
      </c>
      <c r="D930" s="40">
        <v>12.15</v>
      </c>
      <c r="E930" s="40">
        <v>13.28</v>
      </c>
      <c r="G930" s="36">
        <v>44342</v>
      </c>
      <c r="H930" s="40">
        <v>15</v>
      </c>
      <c r="I930" s="40">
        <v>15.7</v>
      </c>
      <c r="J930" s="44"/>
      <c r="K930" s="40"/>
      <c r="L930" s="45">
        <v>15</v>
      </c>
      <c r="M930" s="46">
        <v>15.7</v>
      </c>
      <c r="N930" s="40">
        <f t="shared" si="84"/>
        <v>0.16408878853289496</v>
      </c>
      <c r="O930" s="40">
        <f t="shared" si="85"/>
        <v>3.3335756720436617E-3</v>
      </c>
      <c r="P930" s="40">
        <f t="shared" si="86"/>
        <v>3.3391382147592479E-3</v>
      </c>
      <c r="Q930" s="40"/>
      <c r="R930" s="40"/>
      <c r="S930" t="s">
        <v>2329</v>
      </c>
      <c r="T930">
        <v>0</v>
      </c>
      <c r="U930" s="40" t="e">
        <f t="shared" si="87"/>
        <v>#NUM!</v>
      </c>
      <c r="V930" s="40">
        <f t="shared" si="88"/>
        <v>1E-3</v>
      </c>
      <c r="W930" s="40">
        <f t="shared" si="89"/>
        <v>-2.3025850929940455</v>
      </c>
    </row>
    <row r="931" spans="1:23" x14ac:dyDescent="0.2">
      <c r="A931" s="40" t="s">
        <v>1309</v>
      </c>
      <c r="B931" s="40">
        <v>14.58</v>
      </c>
      <c r="C931" s="40">
        <v>15.71</v>
      </c>
      <c r="D931" s="40">
        <v>14.56</v>
      </c>
      <c r="E931" s="40">
        <v>15.27</v>
      </c>
      <c r="G931" s="36">
        <v>44341</v>
      </c>
      <c r="H931" s="40">
        <v>12.73</v>
      </c>
      <c r="I931" s="40">
        <v>15.64775</v>
      </c>
      <c r="J931" s="44"/>
      <c r="K931" s="40"/>
      <c r="L931" s="45">
        <v>12.73</v>
      </c>
      <c r="M931" s="46">
        <v>15.64775</v>
      </c>
      <c r="N931" s="40">
        <f t="shared" si="84"/>
        <v>-2.3292978567438484E-2</v>
      </c>
      <c r="O931" s="40">
        <f t="shared" si="85"/>
        <v>2.2872873638500784E-3</v>
      </c>
      <c r="P931" s="40">
        <f t="shared" si="86"/>
        <v>2.2899052011273488E-3</v>
      </c>
      <c r="Q931" s="40"/>
      <c r="R931" s="40"/>
      <c r="S931" t="s">
        <v>2328</v>
      </c>
      <c r="T931">
        <v>0.01</v>
      </c>
      <c r="U931" s="40" t="e">
        <f t="shared" si="87"/>
        <v>#DIV/0!</v>
      </c>
      <c r="V931" s="40">
        <f t="shared" si="88"/>
        <v>0.01</v>
      </c>
      <c r="W931" s="40">
        <f t="shared" si="89"/>
        <v>2.3025850929940459</v>
      </c>
    </row>
    <row r="932" spans="1:23" x14ac:dyDescent="0.2">
      <c r="A932" s="40" t="s">
        <v>1310</v>
      </c>
      <c r="B932" s="40">
        <v>16.25</v>
      </c>
      <c r="C932" s="40">
        <v>16.29</v>
      </c>
      <c r="D932" s="40">
        <v>13.12</v>
      </c>
      <c r="E932" s="40">
        <v>13.21</v>
      </c>
      <c r="G932" s="36">
        <v>44340</v>
      </c>
      <c r="H932" s="40">
        <v>13.03</v>
      </c>
      <c r="I932" s="40">
        <v>15.612</v>
      </c>
      <c r="J932" s="44"/>
      <c r="K932" s="40"/>
      <c r="L932" s="45">
        <v>13.03</v>
      </c>
      <c r="M932" s="46">
        <v>15.612</v>
      </c>
      <c r="N932" s="40">
        <f t="shared" si="84"/>
        <v>-6.0308559052769821E-2</v>
      </c>
      <c r="O932" s="40">
        <f t="shared" si="85"/>
        <v>4.0539799521639788E-2</v>
      </c>
      <c r="P932" s="40">
        <f t="shared" si="86"/>
        <v>4.1372755015258424E-2</v>
      </c>
      <c r="Q932" s="40"/>
      <c r="R932" s="40"/>
      <c r="S932" t="s">
        <v>2327</v>
      </c>
      <c r="T932">
        <v>0</v>
      </c>
      <c r="U932" s="40" t="e">
        <f t="shared" si="87"/>
        <v>#DIV/0!</v>
      </c>
      <c r="V932" s="40">
        <f t="shared" si="88"/>
        <v>1E-3</v>
      </c>
      <c r="W932" s="40">
        <f t="shared" si="89"/>
        <v>0</v>
      </c>
    </row>
    <row r="933" spans="1:23" x14ac:dyDescent="0.2">
      <c r="A933" s="40" t="s">
        <v>1311</v>
      </c>
      <c r="B933" s="40">
        <v>13.1</v>
      </c>
      <c r="C933" s="40">
        <v>14.04</v>
      </c>
      <c r="D933" s="40">
        <v>10.62</v>
      </c>
      <c r="E933" s="40">
        <v>11.81</v>
      </c>
      <c r="G933" s="36">
        <v>44337</v>
      </c>
      <c r="H933" s="40">
        <v>13.84</v>
      </c>
      <c r="I933" s="40">
        <v>14.99175</v>
      </c>
      <c r="J933" s="44"/>
      <c r="K933" s="40"/>
      <c r="L933" s="45">
        <v>13.84</v>
      </c>
      <c r="M933" s="46">
        <v>14.99175</v>
      </c>
      <c r="N933" s="40">
        <f t="shared" si="84"/>
        <v>-0.13181387807802719</v>
      </c>
      <c r="O933" s="40">
        <f t="shared" si="85"/>
        <v>2.5622722998541961E-2</v>
      </c>
      <c r="P933" s="40">
        <f t="shared" si="86"/>
        <v>2.5953806672369475E-2</v>
      </c>
      <c r="Q933" s="40"/>
      <c r="R933" s="40"/>
      <c r="S933" t="s">
        <v>2326</v>
      </c>
      <c r="T933">
        <v>0</v>
      </c>
      <c r="U933" s="40" t="e">
        <f t="shared" si="87"/>
        <v>#DIV/0!</v>
      </c>
      <c r="V933" s="40">
        <f t="shared" si="88"/>
        <v>1E-3</v>
      </c>
      <c r="W933" s="40">
        <f t="shared" si="89"/>
        <v>0</v>
      </c>
    </row>
    <row r="934" spans="1:23" x14ac:dyDescent="0.2">
      <c r="A934" s="40" t="s">
        <v>1312</v>
      </c>
      <c r="B934" s="40">
        <v>11.32</v>
      </c>
      <c r="C934" s="40">
        <v>11.52</v>
      </c>
      <c r="D934" s="40">
        <v>10.85</v>
      </c>
      <c r="E934" s="40">
        <v>11.05</v>
      </c>
      <c r="G934" s="36">
        <v>44336</v>
      </c>
      <c r="H934" s="40">
        <v>15.79</v>
      </c>
      <c r="I934" s="40">
        <v>14.612500000000001</v>
      </c>
      <c r="J934" s="44"/>
      <c r="K934" s="40"/>
      <c r="L934" s="45">
        <v>15.79</v>
      </c>
      <c r="M934" s="46">
        <v>14.612500000000001</v>
      </c>
      <c r="N934" s="40">
        <f t="shared" si="84"/>
        <v>7.3572236112660255E-2</v>
      </c>
      <c r="O934" s="40">
        <f t="shared" si="85"/>
        <v>3.8134562424495734E-2</v>
      </c>
      <c r="P934" s="40">
        <f t="shared" si="86"/>
        <v>3.8871016476192254E-2</v>
      </c>
      <c r="Q934" s="40"/>
      <c r="R934" s="40"/>
      <c r="S934" t="s">
        <v>2325</v>
      </c>
      <c r="T934">
        <v>0</v>
      </c>
      <c r="U934" s="40" t="e">
        <f t="shared" si="87"/>
        <v>#NUM!</v>
      </c>
      <c r="V934" s="40">
        <f t="shared" si="88"/>
        <v>1E-3</v>
      </c>
      <c r="W934" s="40">
        <f t="shared" si="89"/>
        <v>-2.3025850929940455</v>
      </c>
    </row>
    <row r="935" spans="1:23" x14ac:dyDescent="0.2">
      <c r="A935" s="40" t="s">
        <v>1313</v>
      </c>
      <c r="B935" s="40">
        <v>10.09</v>
      </c>
      <c r="C935" s="40">
        <v>11.56</v>
      </c>
      <c r="D935" s="40">
        <v>10.02</v>
      </c>
      <c r="E935" s="40">
        <v>10.41</v>
      </c>
      <c r="G935" s="36">
        <v>44335</v>
      </c>
      <c r="H935" s="40">
        <v>14.67</v>
      </c>
      <c r="I935" s="40">
        <v>14.06575</v>
      </c>
      <c r="J935" s="44"/>
      <c r="K935" s="40"/>
      <c r="L935" s="45">
        <v>14.67</v>
      </c>
      <c r="M935" s="46">
        <v>14.06575</v>
      </c>
      <c r="N935" s="40">
        <f t="shared" si="84"/>
        <v>-0.15444277855870572</v>
      </c>
      <c r="O935" s="40">
        <f t="shared" si="85"/>
        <v>3.5610670967231601E-3</v>
      </c>
      <c r="P935" s="40">
        <f t="shared" si="86"/>
        <v>3.5674152292955378E-3</v>
      </c>
      <c r="Q935" s="40"/>
      <c r="R935" s="40"/>
      <c r="S935" t="s">
        <v>2324</v>
      </c>
      <c r="T935">
        <v>0.01</v>
      </c>
      <c r="U935" s="40" t="e">
        <f t="shared" si="87"/>
        <v>#DIV/0!</v>
      </c>
      <c r="V935" s="40">
        <f t="shared" si="88"/>
        <v>0.01</v>
      </c>
      <c r="W935" s="40">
        <f t="shared" si="89"/>
        <v>2.3025850929940459</v>
      </c>
    </row>
    <row r="936" spans="1:23" x14ac:dyDescent="0.2">
      <c r="A936" s="40" t="s">
        <v>1314</v>
      </c>
      <c r="B936" s="40">
        <v>12.39</v>
      </c>
      <c r="C936" s="40">
        <v>14.15</v>
      </c>
      <c r="D936" s="40">
        <v>12.39</v>
      </c>
      <c r="E936" s="40">
        <v>13.46</v>
      </c>
      <c r="G936" s="36">
        <v>44334</v>
      </c>
      <c r="H936" s="40">
        <v>17.12</v>
      </c>
      <c r="I936" s="40">
        <v>14.015750000000001</v>
      </c>
      <c r="J936" s="44"/>
      <c r="K936" s="40"/>
      <c r="L936" s="45">
        <v>17.12</v>
      </c>
      <c r="M936" s="46">
        <v>14.015750000000001</v>
      </c>
      <c r="N936" s="40">
        <f t="shared" si="84"/>
        <v>-8.076135664445834E-2</v>
      </c>
      <c r="O936" s="40">
        <f t="shared" si="85"/>
        <v>-1.0627733652927426E-2</v>
      </c>
      <c r="P936" s="40">
        <f t="shared" si="86"/>
        <v>-1.0571458826020907E-2</v>
      </c>
      <c r="Q936" s="40"/>
      <c r="R936" s="40"/>
      <c r="S936" t="s">
        <v>2323</v>
      </c>
      <c r="T936">
        <v>0</v>
      </c>
      <c r="U936" s="40" t="e">
        <f t="shared" si="87"/>
        <v>#NUM!</v>
      </c>
      <c r="V936" s="40">
        <f t="shared" si="88"/>
        <v>1E-3</v>
      </c>
      <c r="W936" s="40">
        <f t="shared" si="89"/>
        <v>-2.3025850929940455</v>
      </c>
    </row>
    <row r="937" spans="1:23" x14ac:dyDescent="0.2">
      <c r="A937" s="40" t="s">
        <v>1315</v>
      </c>
      <c r="B937" s="40">
        <v>15.06</v>
      </c>
      <c r="C937" s="40">
        <v>15.7</v>
      </c>
      <c r="D937" s="40">
        <v>13.59</v>
      </c>
      <c r="E937" s="40">
        <v>15.6</v>
      </c>
      <c r="G937" s="36">
        <v>44333</v>
      </c>
      <c r="H937" s="40">
        <v>18.559999999999999</v>
      </c>
      <c r="I937" s="40">
        <v>14.1655</v>
      </c>
      <c r="J937" s="44"/>
      <c r="K937" s="40"/>
      <c r="L937" s="45">
        <v>18.559999999999999</v>
      </c>
      <c r="M937" s="46">
        <v>14.1655</v>
      </c>
      <c r="N937" s="40">
        <f t="shared" si="84"/>
        <v>-0.13346404121853672</v>
      </c>
      <c r="O937" s="40">
        <f t="shared" si="85"/>
        <v>-5.4561270225538831E-3</v>
      </c>
      <c r="P937" s="40">
        <f t="shared" si="86"/>
        <v>-5.4412693954925626E-3</v>
      </c>
      <c r="Q937" s="40"/>
      <c r="R937" s="40"/>
      <c r="S937" s="47">
        <v>44535</v>
      </c>
      <c r="T937">
        <v>0.01</v>
      </c>
      <c r="U937" s="40">
        <f t="shared" si="87"/>
        <v>0</v>
      </c>
      <c r="V937" s="40">
        <f t="shared" si="88"/>
        <v>0.01</v>
      </c>
      <c r="W937" s="40">
        <f t="shared" si="89"/>
        <v>0</v>
      </c>
    </row>
    <row r="938" spans="1:23" x14ac:dyDescent="0.2">
      <c r="A938" s="40" t="s">
        <v>1316</v>
      </c>
      <c r="B938" s="40">
        <v>14.83</v>
      </c>
      <c r="C938" s="40">
        <v>15.64</v>
      </c>
      <c r="D938" s="40">
        <v>12.56</v>
      </c>
      <c r="E938" s="40">
        <v>12.89</v>
      </c>
      <c r="G938" s="36">
        <v>44330</v>
      </c>
      <c r="H938" s="40">
        <v>21.21</v>
      </c>
      <c r="I938" s="40">
        <v>14.243</v>
      </c>
      <c r="J938" s="44"/>
      <c r="K938" s="40"/>
      <c r="L938" s="45">
        <v>21.21</v>
      </c>
      <c r="M938" s="46">
        <v>14.243</v>
      </c>
      <c r="N938" s="40">
        <f t="shared" si="84"/>
        <v>1.0426634744049522E-2</v>
      </c>
      <c r="O938" s="40">
        <f t="shared" si="85"/>
        <v>4.1409443825753768E-2</v>
      </c>
      <c r="P938" s="40">
        <f t="shared" si="86"/>
        <v>4.2278772799619474E-2</v>
      </c>
      <c r="Q938" s="40"/>
      <c r="R938" s="40"/>
      <c r="S938" s="47">
        <v>44505</v>
      </c>
      <c r="T938">
        <v>0.01</v>
      </c>
      <c r="U938" s="40">
        <f t="shared" si="87"/>
        <v>-0.69314718055994529</v>
      </c>
      <c r="V938" s="40">
        <f t="shared" si="88"/>
        <v>0.01</v>
      </c>
      <c r="W938" s="40">
        <f t="shared" si="89"/>
        <v>-0.69314718055994529</v>
      </c>
    </row>
    <row r="939" spans="1:23" x14ac:dyDescent="0.2">
      <c r="A939" s="40" t="s">
        <v>1317</v>
      </c>
      <c r="B939" s="40">
        <v>13.62</v>
      </c>
      <c r="C939" s="40">
        <v>17.850000000000001</v>
      </c>
      <c r="D939" s="40">
        <v>13.57</v>
      </c>
      <c r="E939" s="40">
        <v>15.94</v>
      </c>
      <c r="G939" s="36">
        <v>44329</v>
      </c>
      <c r="H939" s="40">
        <v>20.99</v>
      </c>
      <c r="I939" s="40">
        <v>13.66525</v>
      </c>
      <c r="J939" s="44"/>
      <c r="K939" s="40"/>
      <c r="L939" s="45">
        <v>20.99</v>
      </c>
      <c r="M939" s="46">
        <v>13.66525</v>
      </c>
      <c r="N939" s="40">
        <f t="shared" si="84"/>
        <v>0.10859479116348057</v>
      </c>
      <c r="O939" s="40">
        <f t="shared" si="85"/>
        <v>-6.8007008083959281E-3</v>
      </c>
      <c r="P939" s="40">
        <f t="shared" si="86"/>
        <v>-6.7776283751862041E-3</v>
      </c>
      <c r="Q939" s="40"/>
      <c r="R939" s="40"/>
      <c r="S939" s="47">
        <v>44474</v>
      </c>
      <c r="T939">
        <v>0.02</v>
      </c>
      <c r="U939" s="40">
        <f t="shared" si="87"/>
        <v>0.69314718055994529</v>
      </c>
      <c r="V939" s="40">
        <f t="shared" si="88"/>
        <v>0.02</v>
      </c>
      <c r="W939" s="40">
        <f t="shared" si="89"/>
        <v>0.69314718055994529</v>
      </c>
    </row>
    <row r="940" spans="1:23" x14ac:dyDescent="0.2">
      <c r="A940" s="40" t="s">
        <v>1318</v>
      </c>
      <c r="B940" s="40">
        <v>15.82</v>
      </c>
      <c r="C940" s="40">
        <v>16.46</v>
      </c>
      <c r="D940" s="40">
        <v>13.46</v>
      </c>
      <c r="E940" s="40">
        <v>15.04</v>
      </c>
      <c r="G940" s="36">
        <v>44328</v>
      </c>
      <c r="H940" s="40">
        <v>18.829999999999998</v>
      </c>
      <c r="I940" s="40">
        <v>13.7585</v>
      </c>
      <c r="J940" s="44"/>
      <c r="K940" s="40"/>
      <c r="L940" s="45">
        <v>18.829999999999998</v>
      </c>
      <c r="M940" s="46">
        <v>13.7585</v>
      </c>
      <c r="N940" s="40">
        <f t="shared" si="84"/>
        <v>7.8406588888963277E-2</v>
      </c>
      <c r="O940" s="40">
        <f t="shared" si="85"/>
        <v>-3.9039689783648551E-2</v>
      </c>
      <c r="P940" s="40">
        <f t="shared" si="86"/>
        <v>-3.8287461773700349E-2</v>
      </c>
      <c r="Q940" s="40"/>
      <c r="R940" s="40"/>
      <c r="S940" s="47">
        <v>44382</v>
      </c>
      <c r="T940">
        <v>0.01</v>
      </c>
      <c r="U940" s="40">
        <f t="shared" si="87"/>
        <v>0</v>
      </c>
      <c r="V940" s="40">
        <f t="shared" si="88"/>
        <v>0.01</v>
      </c>
      <c r="W940" s="40">
        <f t="shared" si="89"/>
        <v>0</v>
      </c>
    </row>
    <row r="941" spans="1:23" x14ac:dyDescent="0.2">
      <c r="A941" s="40" t="s">
        <v>1319</v>
      </c>
      <c r="B941" s="40">
        <v>19.239999999999998</v>
      </c>
      <c r="C941" s="40">
        <v>19.399999999999999</v>
      </c>
      <c r="D941" s="40">
        <v>15.62</v>
      </c>
      <c r="E941" s="40">
        <v>16.11</v>
      </c>
      <c r="G941" s="36">
        <v>44327</v>
      </c>
      <c r="H941" s="40">
        <v>17.41</v>
      </c>
      <c r="I941" s="40">
        <v>14.30625</v>
      </c>
      <c r="J941" s="44"/>
      <c r="K941" s="40"/>
      <c r="L941" s="45">
        <v>17.41</v>
      </c>
      <c r="M941" s="46">
        <v>14.30625</v>
      </c>
      <c r="N941" s="40">
        <f t="shared" si="84"/>
        <v>-0.28753846650624809</v>
      </c>
      <c r="O941" s="40">
        <f t="shared" si="85"/>
        <v>2.8349451998168416E-3</v>
      </c>
      <c r="P941" s="40">
        <f t="shared" si="86"/>
        <v>2.83896745702117E-3</v>
      </c>
      <c r="Q941" s="40"/>
      <c r="R941" s="40"/>
      <c r="S941" s="47">
        <v>44352</v>
      </c>
      <c r="T941">
        <v>0.01</v>
      </c>
      <c r="U941" s="40">
        <f t="shared" si="87"/>
        <v>0</v>
      </c>
      <c r="V941" s="40">
        <f t="shared" si="88"/>
        <v>0.01</v>
      </c>
      <c r="W941" s="40">
        <f t="shared" si="89"/>
        <v>0</v>
      </c>
    </row>
    <row r="942" spans="1:23" x14ac:dyDescent="0.2">
      <c r="A942" s="40" t="s">
        <v>1320</v>
      </c>
      <c r="B942" s="40">
        <v>15.86</v>
      </c>
      <c r="C942" s="40">
        <v>17.36</v>
      </c>
      <c r="D942" s="40">
        <v>14.96</v>
      </c>
      <c r="E942" s="40">
        <v>16.760000000000002</v>
      </c>
      <c r="G942" s="36">
        <v>44326</v>
      </c>
      <c r="H942" s="40">
        <v>23.21</v>
      </c>
      <c r="I942" s="40">
        <v>14.265750000000001</v>
      </c>
      <c r="J942" s="44"/>
      <c r="K942" s="40"/>
      <c r="L942" s="45">
        <v>23.21</v>
      </c>
      <c r="M942" s="46">
        <v>14.265750000000001</v>
      </c>
      <c r="N942" s="40">
        <f t="shared" si="84"/>
        <v>-0.24150052356576152</v>
      </c>
      <c r="O942" s="40">
        <f t="shared" si="85"/>
        <v>-3.759298159686722E-2</v>
      </c>
      <c r="P942" s="40">
        <f t="shared" si="86"/>
        <v>-3.6895137470674605E-2</v>
      </c>
      <c r="Q942" s="40"/>
      <c r="R942" s="40"/>
      <c r="S942" s="47">
        <v>44321</v>
      </c>
      <c r="T942">
        <v>0.01</v>
      </c>
      <c r="U942" s="40">
        <f t="shared" si="87"/>
        <v>0</v>
      </c>
      <c r="V942" s="40">
        <f t="shared" si="88"/>
        <v>0.01</v>
      </c>
      <c r="W942" s="40">
        <f t="shared" si="89"/>
        <v>0</v>
      </c>
    </row>
    <row r="943" spans="1:23" x14ac:dyDescent="0.2">
      <c r="A943" s="41">
        <v>41649</v>
      </c>
      <c r="B943" s="40">
        <v>16.920000000000002</v>
      </c>
      <c r="C943" s="40">
        <v>18.670000000000002</v>
      </c>
      <c r="D943" s="40">
        <v>16.16</v>
      </c>
      <c r="E943" s="40">
        <v>16.72</v>
      </c>
      <c r="G943" s="36">
        <v>44323</v>
      </c>
      <c r="H943" s="40">
        <v>29.55</v>
      </c>
      <c r="I943" s="40">
        <v>14.812250000000001</v>
      </c>
      <c r="J943" s="44"/>
      <c r="K943" s="40"/>
      <c r="L943" s="45">
        <v>29.55</v>
      </c>
      <c r="M943" s="46">
        <v>14.812250000000001</v>
      </c>
      <c r="N943" s="40">
        <f t="shared" si="84"/>
        <v>0.29367858303785538</v>
      </c>
      <c r="O943" s="40">
        <f t="shared" si="85"/>
        <v>1.9720941490123305E-2</v>
      </c>
      <c r="P943" s="40">
        <f t="shared" si="86"/>
        <v>1.9916683880740957E-2</v>
      </c>
      <c r="Q943" s="40"/>
      <c r="R943" s="40"/>
      <c r="S943" s="47">
        <v>44291</v>
      </c>
      <c r="T943">
        <v>0.01</v>
      </c>
      <c r="U943" s="40">
        <f t="shared" si="87"/>
        <v>-0.69314718055994529</v>
      </c>
      <c r="V943" s="40">
        <f t="shared" si="88"/>
        <v>0.01</v>
      </c>
      <c r="W943" s="40">
        <f t="shared" si="89"/>
        <v>-0.69314718055994529</v>
      </c>
    </row>
    <row r="944" spans="1:23" x14ac:dyDescent="0.2">
      <c r="A944" s="41">
        <v>41680</v>
      </c>
      <c r="B944" s="40">
        <v>16.91</v>
      </c>
      <c r="C944" s="40">
        <v>18.64</v>
      </c>
      <c r="D944" s="40">
        <v>15.73</v>
      </c>
      <c r="E944" s="40">
        <v>15.93</v>
      </c>
      <c r="G944" s="36">
        <v>44322</v>
      </c>
      <c r="H944" s="40">
        <v>22.03</v>
      </c>
      <c r="I944" s="40">
        <v>14.523</v>
      </c>
      <c r="J944" s="44"/>
      <c r="K944" s="40"/>
      <c r="L944" s="45">
        <v>22.03</v>
      </c>
      <c r="M944" s="46">
        <v>14.523</v>
      </c>
      <c r="N944" s="40">
        <f t="shared" si="84"/>
        <v>0.11280226919014437</v>
      </c>
      <c r="O944" s="40">
        <f t="shared" si="85"/>
        <v>4.4511227156714024E-3</v>
      </c>
      <c r="P944" s="40">
        <f t="shared" si="86"/>
        <v>4.461043676729874E-3</v>
      </c>
      <c r="Q944" s="40"/>
      <c r="R944" s="40"/>
      <c r="S944" s="47">
        <v>44260</v>
      </c>
      <c r="T944">
        <v>0.02</v>
      </c>
      <c r="U944" s="40">
        <f t="shared" si="87"/>
        <v>0.69314718055994529</v>
      </c>
      <c r="V944" s="40">
        <f t="shared" si="88"/>
        <v>0.02</v>
      </c>
      <c r="W944" s="40">
        <f t="shared" si="89"/>
        <v>0.69314718055994529</v>
      </c>
    </row>
    <row r="945" spans="1:23" x14ac:dyDescent="0.2">
      <c r="A945" s="41">
        <v>41708</v>
      </c>
      <c r="B945" s="40">
        <v>14.43</v>
      </c>
      <c r="C945" s="40">
        <v>15.04</v>
      </c>
      <c r="D945" s="40">
        <v>13.81</v>
      </c>
      <c r="E945" s="40">
        <v>13.86</v>
      </c>
      <c r="G945" s="36">
        <v>44321</v>
      </c>
      <c r="H945" s="40">
        <v>19.68</v>
      </c>
      <c r="I945" s="40">
        <v>14.458500000000001</v>
      </c>
      <c r="J945" s="44"/>
      <c r="K945" s="40"/>
      <c r="L945" s="45">
        <v>19.68</v>
      </c>
      <c r="M945" s="46">
        <v>14.458500000000001</v>
      </c>
      <c r="N945" s="40">
        <f t="shared" si="84"/>
        <v>0.33413756571351849</v>
      </c>
      <c r="O945" s="40">
        <f t="shared" si="85"/>
        <v>7.4454304841108281E-3</v>
      </c>
      <c r="P945" s="40">
        <f t="shared" si="86"/>
        <v>7.4732166187614678E-3</v>
      </c>
      <c r="Q945" s="40"/>
      <c r="R945" s="40"/>
      <c r="S945" t="s">
        <v>2322</v>
      </c>
      <c r="T945">
        <v>0.01</v>
      </c>
      <c r="U945" s="40">
        <f t="shared" si="87"/>
        <v>0</v>
      </c>
      <c r="V945" s="40">
        <f t="shared" si="88"/>
        <v>0.01</v>
      </c>
      <c r="W945" s="40">
        <f t="shared" si="89"/>
        <v>0</v>
      </c>
    </row>
    <row r="946" spans="1:23" x14ac:dyDescent="0.2">
      <c r="A946" s="41">
        <v>41800</v>
      </c>
      <c r="B946" s="40">
        <v>14.12</v>
      </c>
      <c r="C946" s="40">
        <v>16.14</v>
      </c>
      <c r="D946" s="40">
        <v>13.99</v>
      </c>
      <c r="E946" s="40">
        <v>15.31</v>
      </c>
      <c r="G946" s="36">
        <v>44320</v>
      </c>
      <c r="H946" s="40">
        <v>14.09</v>
      </c>
      <c r="I946" s="40">
        <v>14.35125</v>
      </c>
      <c r="J946" s="44"/>
      <c r="K946" s="40"/>
      <c r="L946" s="45">
        <v>14.09</v>
      </c>
      <c r="M946" s="46">
        <v>14.35125</v>
      </c>
      <c r="N946" s="40">
        <f t="shared" si="84"/>
        <v>-0.12962027652777952</v>
      </c>
      <c r="O946" s="40">
        <f t="shared" si="85"/>
        <v>-3.3270164633339788E-2</v>
      </c>
      <c r="P946" s="40">
        <f t="shared" si="86"/>
        <v>-3.2722799804539404E-2</v>
      </c>
      <c r="Q946" s="40"/>
      <c r="R946" s="40"/>
      <c r="S946" t="s">
        <v>2321</v>
      </c>
      <c r="T946">
        <v>0.01</v>
      </c>
      <c r="U946" s="40">
        <f t="shared" si="87"/>
        <v>0</v>
      </c>
      <c r="V946" s="40">
        <f t="shared" si="88"/>
        <v>0.01</v>
      </c>
      <c r="W946" s="40">
        <f t="shared" si="89"/>
        <v>0</v>
      </c>
    </row>
    <row r="947" spans="1:23" x14ac:dyDescent="0.2">
      <c r="A947" s="41">
        <v>41830</v>
      </c>
      <c r="B947" s="40">
        <v>16.39</v>
      </c>
      <c r="C947" s="40">
        <v>17.850000000000001</v>
      </c>
      <c r="D947" s="40">
        <v>15.84</v>
      </c>
      <c r="E947" s="40">
        <v>16.899999999999999</v>
      </c>
      <c r="G947" s="36">
        <v>44319</v>
      </c>
      <c r="H947" s="40">
        <v>16.04</v>
      </c>
      <c r="I947" s="40">
        <v>14.83675</v>
      </c>
      <c r="J947" s="44"/>
      <c r="K947" s="40"/>
      <c r="L947" s="45">
        <v>16.04</v>
      </c>
      <c r="M947" s="46">
        <v>14.83675</v>
      </c>
      <c r="N947" s="40">
        <f t="shared" si="84"/>
        <v>-9.1107299760637486E-2</v>
      </c>
      <c r="O947" s="40">
        <f t="shared" si="85"/>
        <v>-1.1576122905402178E-2</v>
      </c>
      <c r="P947" s="40">
        <f t="shared" si="86"/>
        <v>-1.1509377394316856E-2</v>
      </c>
      <c r="Q947" s="40"/>
      <c r="R947" s="40"/>
      <c r="S947" t="s">
        <v>2320</v>
      </c>
      <c r="T947">
        <v>0.01</v>
      </c>
      <c r="U947" s="40">
        <f t="shared" si="87"/>
        <v>0</v>
      </c>
      <c r="V947" s="40">
        <f t="shared" si="88"/>
        <v>0.01</v>
      </c>
      <c r="W947" s="40">
        <f t="shared" si="89"/>
        <v>0</v>
      </c>
    </row>
    <row r="948" spans="1:23" x14ac:dyDescent="0.2">
      <c r="A948" s="41">
        <v>41861</v>
      </c>
      <c r="B948" s="40">
        <v>17.93</v>
      </c>
      <c r="C948" s="40">
        <v>18.62</v>
      </c>
      <c r="D948" s="40">
        <v>14.57</v>
      </c>
      <c r="E948" s="40">
        <v>14.59</v>
      </c>
      <c r="G948" s="36">
        <v>44316</v>
      </c>
      <c r="H948" s="40">
        <v>17.57</v>
      </c>
      <c r="I948" s="40">
        <v>15.009499999999999</v>
      </c>
      <c r="J948" s="44"/>
      <c r="K948" s="40"/>
      <c r="L948" s="45">
        <v>17.57</v>
      </c>
      <c r="M948" s="46">
        <v>15.009499999999999</v>
      </c>
      <c r="N948" s="40">
        <f t="shared" si="84"/>
        <v>-1.019261372241901E-2</v>
      </c>
      <c r="O948" s="40">
        <f t="shared" si="85"/>
        <v>-2.0785834510883519E-2</v>
      </c>
      <c r="P948" s="40">
        <f t="shared" si="86"/>
        <v>-2.0571298063589989E-2</v>
      </c>
      <c r="Q948" s="40"/>
      <c r="R948" s="40"/>
      <c r="S948" t="s">
        <v>2319</v>
      </c>
      <c r="T948">
        <v>0.01</v>
      </c>
      <c r="U948" s="40">
        <f t="shared" si="87"/>
        <v>-0.69314718055994529</v>
      </c>
      <c r="V948" s="40">
        <f t="shared" si="88"/>
        <v>0.01</v>
      </c>
      <c r="W948" s="40">
        <f t="shared" si="89"/>
        <v>-0.69314718055994529</v>
      </c>
    </row>
    <row r="949" spans="1:23" x14ac:dyDescent="0.2">
      <c r="A949" s="41">
        <v>41892</v>
      </c>
      <c r="B949" s="40">
        <v>15.5</v>
      </c>
      <c r="C949" s="40">
        <v>22.55</v>
      </c>
      <c r="D949" s="40">
        <v>15.12</v>
      </c>
      <c r="E949" s="40">
        <v>21.62</v>
      </c>
      <c r="G949" s="36">
        <v>44315</v>
      </c>
      <c r="H949" s="40">
        <v>17.75</v>
      </c>
      <c r="I949" s="40">
        <v>15.32475</v>
      </c>
      <c r="J949" s="44"/>
      <c r="K949" s="40"/>
      <c r="L949" s="45">
        <v>17.75</v>
      </c>
      <c r="M949" s="46">
        <v>15.32475</v>
      </c>
      <c r="N949" s="40">
        <f t="shared" si="84"/>
        <v>9.3227842332409258E-2</v>
      </c>
      <c r="O949" s="40">
        <f t="shared" si="85"/>
        <v>3.1371036952876543E-3</v>
      </c>
      <c r="P949" s="40">
        <f t="shared" si="86"/>
        <v>3.142029554715502E-3</v>
      </c>
      <c r="Q949" s="40"/>
      <c r="R949" s="40"/>
      <c r="S949" t="s">
        <v>2318</v>
      </c>
      <c r="T949">
        <v>0.02</v>
      </c>
      <c r="U949" s="40">
        <f t="shared" si="87"/>
        <v>0.69314718055994529</v>
      </c>
      <c r="V949" s="40">
        <f t="shared" si="88"/>
        <v>0.02</v>
      </c>
      <c r="W949" s="40">
        <f t="shared" si="89"/>
        <v>0.69314718055994529</v>
      </c>
    </row>
    <row r="950" spans="1:23" x14ac:dyDescent="0.2">
      <c r="A950" s="41">
        <v>41922</v>
      </c>
      <c r="B950" s="40">
        <v>20.43</v>
      </c>
      <c r="C950" s="40">
        <v>23.04</v>
      </c>
      <c r="D950" s="40">
        <v>18.649999999999999</v>
      </c>
      <c r="E950" s="40">
        <v>21.95</v>
      </c>
      <c r="G950" s="36">
        <v>44314</v>
      </c>
      <c r="H950" s="40">
        <v>16.170000000000002</v>
      </c>
      <c r="I950" s="40">
        <v>15.27675</v>
      </c>
      <c r="J950" s="44"/>
      <c r="K950" s="40"/>
      <c r="L950" s="45">
        <v>16.170000000000002</v>
      </c>
      <c r="M950" s="46">
        <v>15.27675</v>
      </c>
      <c r="N950" s="40">
        <f t="shared" si="84"/>
        <v>4.0384036428419819E-2</v>
      </c>
      <c r="O950" s="40">
        <f t="shared" si="85"/>
        <v>-6.8496769595923898E-3</v>
      </c>
      <c r="P950" s="40">
        <f t="shared" si="86"/>
        <v>-6.8262713930469822E-3</v>
      </c>
      <c r="Q950" s="40"/>
      <c r="R950" s="40"/>
      <c r="S950" t="s">
        <v>2317</v>
      </c>
      <c r="T950">
        <v>0.01</v>
      </c>
      <c r="U950" s="40">
        <f t="shared" si="87"/>
        <v>-0.69314718055994529</v>
      </c>
      <c r="V950" s="40">
        <f t="shared" si="88"/>
        <v>0.01</v>
      </c>
      <c r="W950" s="40">
        <f t="shared" si="89"/>
        <v>-0.69314718055994529</v>
      </c>
    </row>
    <row r="951" spans="1:23" x14ac:dyDescent="0.2">
      <c r="A951" s="40" t="s">
        <v>1321</v>
      </c>
      <c r="B951" s="40">
        <v>23.29</v>
      </c>
      <c r="C951" s="40">
        <v>27.25</v>
      </c>
      <c r="D951" s="40">
        <v>21.41</v>
      </c>
      <c r="E951" s="40">
        <v>27.22</v>
      </c>
      <c r="G951" s="36">
        <v>44313</v>
      </c>
      <c r="H951" s="40">
        <v>15.53</v>
      </c>
      <c r="I951" s="40">
        <v>15.38175</v>
      </c>
      <c r="J951" s="44"/>
      <c r="K951" s="40"/>
      <c r="L951" s="45">
        <v>15.53</v>
      </c>
      <c r="M951" s="46">
        <v>15.38175</v>
      </c>
      <c r="N951" s="40">
        <f t="shared" si="84"/>
        <v>0.10657753982636914</v>
      </c>
      <c r="O951" s="40">
        <f t="shared" si="85"/>
        <v>-6.2379191084525791E-3</v>
      </c>
      <c r="P951" s="40">
        <f t="shared" si="86"/>
        <v>-6.2185036826463043E-3</v>
      </c>
      <c r="Q951" s="40"/>
      <c r="R951" s="40"/>
      <c r="S951" t="s">
        <v>2316</v>
      </c>
      <c r="T951">
        <v>0.02</v>
      </c>
      <c r="U951" s="40" t="e">
        <f t="shared" si="87"/>
        <v>#DIV/0!</v>
      </c>
      <c r="V951" s="40">
        <f t="shared" si="88"/>
        <v>0.02</v>
      </c>
      <c r="W951" s="40">
        <f t="shared" si="89"/>
        <v>2.9957322735539909</v>
      </c>
    </row>
    <row r="952" spans="1:23" x14ac:dyDescent="0.2">
      <c r="A952" s="40" t="s">
        <v>1322</v>
      </c>
      <c r="B952" s="40">
        <v>26.16</v>
      </c>
      <c r="C952" s="40">
        <v>26.93</v>
      </c>
      <c r="D952" s="40">
        <v>23.15</v>
      </c>
      <c r="E952" s="40">
        <v>24.61</v>
      </c>
      <c r="G952" s="36">
        <v>44312</v>
      </c>
      <c r="H952" s="40">
        <v>13.96</v>
      </c>
      <c r="I952" s="40">
        <v>15.478</v>
      </c>
      <c r="J952" s="44"/>
      <c r="K952" s="40"/>
      <c r="L952" s="45">
        <v>13.96</v>
      </c>
      <c r="M952" s="46">
        <v>15.478</v>
      </c>
      <c r="N952" s="40">
        <f t="shared" si="84"/>
        <v>2.4656796612860295E-2</v>
      </c>
      <c r="O952" s="40">
        <f t="shared" si="85"/>
        <v>1.3840657461763209E-2</v>
      </c>
      <c r="P952" s="40">
        <f t="shared" si="86"/>
        <v>1.3936882789341791E-2</v>
      </c>
      <c r="Q952" s="40"/>
      <c r="R952" s="40"/>
      <c r="S952" t="s">
        <v>2315</v>
      </c>
      <c r="T952">
        <v>0</v>
      </c>
      <c r="U952" s="40" t="e">
        <f t="shared" si="87"/>
        <v>#NUM!</v>
      </c>
      <c r="V952" s="40">
        <f>IF(T952=0, 0.001,T952)</f>
        <v>1E-3</v>
      </c>
      <c r="W952" s="40">
        <f t="shared" si="89"/>
        <v>-2.3025850929940455</v>
      </c>
    </row>
    <row r="953" spans="1:23" x14ac:dyDescent="0.2">
      <c r="A953" s="40" t="s">
        <v>1323</v>
      </c>
      <c r="B953" s="40">
        <v>30.18</v>
      </c>
      <c r="C953" s="40">
        <v>39.619999999999997</v>
      </c>
      <c r="D953" s="40">
        <v>26.95</v>
      </c>
      <c r="E953" s="40">
        <v>31.12</v>
      </c>
      <c r="G953" s="36">
        <v>44309</v>
      </c>
      <c r="H953" s="40">
        <v>13.62</v>
      </c>
      <c r="I953" s="40">
        <v>15.26525</v>
      </c>
      <c r="J953" s="44"/>
      <c r="K953" s="40"/>
      <c r="L953" s="45">
        <v>13.62</v>
      </c>
      <c r="M953" s="46">
        <v>15.26525</v>
      </c>
      <c r="N953" s="40">
        <f t="shared" si="84"/>
        <v>-6.6051692896135328E-2</v>
      </c>
      <c r="O953" s="40">
        <f t="shared" si="85"/>
        <v>2.7562303262667731E-2</v>
      </c>
      <c r="P953" s="40">
        <f t="shared" si="86"/>
        <v>2.7945657480513739E-2</v>
      </c>
      <c r="Q953" s="40"/>
      <c r="R953" s="40"/>
      <c r="S953" t="s">
        <v>2314</v>
      </c>
      <c r="T953">
        <v>0.01</v>
      </c>
      <c r="U953" s="40">
        <f t="shared" si="87"/>
        <v>0</v>
      </c>
      <c r="V953" s="40">
        <f t="shared" si="88"/>
        <v>0.01</v>
      </c>
      <c r="W953" s="40">
        <f t="shared" si="89"/>
        <v>0</v>
      </c>
    </row>
    <row r="954" spans="1:23" x14ac:dyDescent="0.2">
      <c r="A954" s="40" t="s">
        <v>1324</v>
      </c>
      <c r="B954" s="40">
        <v>35.6</v>
      </c>
      <c r="C954" s="40">
        <v>35.630000000000003</v>
      </c>
      <c r="D954" s="40">
        <v>29.27</v>
      </c>
      <c r="E954" s="40">
        <v>30.48</v>
      </c>
      <c r="G954" s="36">
        <v>44308</v>
      </c>
      <c r="H954" s="40">
        <v>14.55</v>
      </c>
      <c r="I954" s="40">
        <v>14.850250000000001</v>
      </c>
      <c r="J954" s="44"/>
      <c r="K954" s="40"/>
      <c r="L954" s="45">
        <v>14.55</v>
      </c>
      <c r="M954" s="46">
        <v>14.850250000000001</v>
      </c>
      <c r="N954" s="40">
        <f t="shared" si="84"/>
        <v>-1.7711634662205895E-2</v>
      </c>
      <c r="O954" s="40">
        <f t="shared" si="85"/>
        <v>-3.3782579149215543E-2</v>
      </c>
      <c r="P954" s="40">
        <f t="shared" si="86"/>
        <v>-3.321831971615502E-2</v>
      </c>
      <c r="Q954" s="40"/>
      <c r="R954" s="40"/>
      <c r="S954" t="s">
        <v>2313</v>
      </c>
      <c r="T954">
        <v>0.01</v>
      </c>
      <c r="U954" s="40">
        <f t="shared" si="87"/>
        <v>-0.69314718055994529</v>
      </c>
      <c r="V954" s="40">
        <f t="shared" si="88"/>
        <v>0.01</v>
      </c>
      <c r="W954" s="40">
        <f t="shared" si="89"/>
        <v>-0.69314718055994529</v>
      </c>
    </row>
    <row r="955" spans="1:23" x14ac:dyDescent="0.2">
      <c r="A955" s="40" t="s">
        <v>1325</v>
      </c>
      <c r="B955" s="40">
        <v>25.29</v>
      </c>
      <c r="C955" s="40">
        <v>26.98</v>
      </c>
      <c r="D955" s="40">
        <v>22.37</v>
      </c>
      <c r="E955" s="40">
        <v>23.81</v>
      </c>
      <c r="G955" s="36">
        <v>44307</v>
      </c>
      <c r="H955" s="40">
        <v>14.81</v>
      </c>
      <c r="I955" s="40">
        <v>15.3605</v>
      </c>
      <c r="J955" s="44"/>
      <c r="K955" s="40"/>
      <c r="L955" s="45">
        <v>14.81</v>
      </c>
      <c r="M955" s="46">
        <v>15.3605</v>
      </c>
      <c r="N955" s="40">
        <f t="shared" si="84"/>
        <v>5.1257757153409647E-2</v>
      </c>
      <c r="O955" s="40">
        <f t="shared" si="85"/>
        <v>1.2397089834617701E-2</v>
      </c>
      <c r="P955" s="40">
        <f t="shared" si="86"/>
        <v>1.2474252286396932E-2</v>
      </c>
      <c r="Q955" s="40"/>
      <c r="R955" s="40"/>
      <c r="S955" t="s">
        <v>2312</v>
      </c>
      <c r="T955">
        <v>0.02</v>
      </c>
      <c r="U955" s="40">
        <f t="shared" si="87"/>
        <v>0</v>
      </c>
      <c r="V955" s="40">
        <f t="shared" si="88"/>
        <v>0.02</v>
      </c>
      <c r="W955" s="40">
        <f t="shared" si="89"/>
        <v>0</v>
      </c>
    </row>
    <row r="956" spans="1:23" x14ac:dyDescent="0.2">
      <c r="A956" s="40" t="s">
        <v>1326</v>
      </c>
      <c r="B956" s="40">
        <v>25.82</v>
      </c>
      <c r="C956" s="40">
        <v>25.96</v>
      </c>
      <c r="D956" s="40">
        <v>19.38</v>
      </c>
      <c r="E956" s="40">
        <v>19.45</v>
      </c>
      <c r="G956" s="36">
        <v>44306</v>
      </c>
      <c r="H956" s="40">
        <v>14.07</v>
      </c>
      <c r="I956" s="40">
        <v>15.171250000000001</v>
      </c>
      <c r="J956" s="44"/>
      <c r="K956" s="40"/>
      <c r="L956" s="45">
        <v>14.07</v>
      </c>
      <c r="M956" s="46">
        <v>15.171250000000001</v>
      </c>
      <c r="N956" s="40">
        <f t="shared" si="84"/>
        <v>-0.17554670470881972</v>
      </c>
      <c r="O956" s="40">
        <f t="shared" si="85"/>
        <v>-1.2478464082968007E-2</v>
      </c>
      <c r="P956" s="40">
        <f t="shared" si="86"/>
        <v>-1.2400930883525646E-2</v>
      </c>
      <c r="Q956" s="40"/>
      <c r="R956" s="40"/>
      <c r="S956" t="s">
        <v>2311</v>
      </c>
      <c r="T956">
        <v>0.02</v>
      </c>
      <c r="U956" s="40">
        <f t="shared" si="87"/>
        <v>0</v>
      </c>
      <c r="V956" s="40">
        <f t="shared" si="88"/>
        <v>0.02</v>
      </c>
      <c r="W956" s="40">
        <f t="shared" si="89"/>
        <v>0</v>
      </c>
    </row>
    <row r="957" spans="1:23" x14ac:dyDescent="0.2">
      <c r="A957" s="40" t="s">
        <v>1327</v>
      </c>
      <c r="B957" s="40">
        <v>18.13</v>
      </c>
      <c r="C957" s="40">
        <v>18.3</v>
      </c>
      <c r="D957" s="40">
        <v>16.38</v>
      </c>
      <c r="E957" s="40">
        <v>16.38</v>
      </c>
      <c r="G957" s="36">
        <v>44305</v>
      </c>
      <c r="H957" s="40">
        <v>16.77</v>
      </c>
      <c r="I957" s="40">
        <v>15.361750000000001</v>
      </c>
      <c r="J957" s="44"/>
      <c r="K957" s="40"/>
      <c r="L957" s="45">
        <v>16.77</v>
      </c>
      <c r="M957" s="46">
        <v>15.361750000000001</v>
      </c>
      <c r="N957" s="40">
        <f t="shared" si="84"/>
        <v>0.12564029911240918</v>
      </c>
      <c r="O957" s="40">
        <f t="shared" si="85"/>
        <v>-3.522431036212266E-2</v>
      </c>
      <c r="P957" s="40">
        <f t="shared" si="86"/>
        <v>-3.4611154752552963E-2</v>
      </c>
      <c r="Q957" s="40"/>
      <c r="R957" s="40"/>
      <c r="S957" t="s">
        <v>2310</v>
      </c>
      <c r="T957">
        <v>0.02</v>
      </c>
      <c r="U957" s="40">
        <f t="shared" si="87"/>
        <v>-0.40546510810816427</v>
      </c>
      <c r="V957" s="40">
        <f t="shared" si="88"/>
        <v>0.02</v>
      </c>
      <c r="W957" s="40">
        <f t="shared" si="89"/>
        <v>-0.40546510810816427</v>
      </c>
    </row>
    <row r="958" spans="1:23" x14ac:dyDescent="0.2">
      <c r="A958" s="40" t="s">
        <v>1328</v>
      </c>
      <c r="B958" s="40">
        <v>16.57</v>
      </c>
      <c r="C958" s="40">
        <v>19.489999999999998</v>
      </c>
      <c r="D958" s="40">
        <v>15.88</v>
      </c>
      <c r="E958" s="40">
        <v>18.36</v>
      </c>
      <c r="G958" s="36">
        <v>44302</v>
      </c>
      <c r="H958" s="40">
        <v>14.79</v>
      </c>
      <c r="I958" s="40">
        <v>15.9125</v>
      </c>
      <c r="J958" s="44"/>
      <c r="K958" s="40"/>
      <c r="L958" s="45">
        <v>14.79</v>
      </c>
      <c r="M958" s="46">
        <v>15.9125</v>
      </c>
      <c r="N958" s="40">
        <f t="shared" si="84"/>
        <v>-0.15848782700480626</v>
      </c>
      <c r="O958" s="40">
        <f t="shared" si="85"/>
        <v>-1.4025300302465998E-2</v>
      </c>
      <c r="P958" s="40">
        <f t="shared" si="86"/>
        <v>-1.3927403987668405E-2</v>
      </c>
      <c r="Q958" s="40"/>
      <c r="R958" s="40"/>
      <c r="S958" t="s">
        <v>2309</v>
      </c>
      <c r="T958">
        <v>0.03</v>
      </c>
      <c r="U958" s="40">
        <f t="shared" si="87"/>
        <v>0.40546510810816438</v>
      </c>
      <c r="V958" s="40">
        <f t="shared" si="88"/>
        <v>0.03</v>
      </c>
      <c r="W958" s="40">
        <f t="shared" si="89"/>
        <v>0.40546510810816438</v>
      </c>
    </row>
    <row r="959" spans="1:23" x14ac:dyDescent="0.2">
      <c r="A959" s="40" t="s">
        <v>1329</v>
      </c>
      <c r="B959" s="40">
        <v>15.77</v>
      </c>
      <c r="C959" s="40">
        <v>17.72</v>
      </c>
      <c r="D959" s="40">
        <v>15.29</v>
      </c>
      <c r="E959" s="40">
        <v>16.12</v>
      </c>
      <c r="G959" s="36">
        <v>44301</v>
      </c>
      <c r="H959" s="40">
        <v>17.329999999999998</v>
      </c>
      <c r="I959" s="40">
        <v>16.137250000000002</v>
      </c>
      <c r="J959" s="44"/>
      <c r="K959" s="40"/>
      <c r="L959" s="45">
        <v>17.329999999999998</v>
      </c>
      <c r="M959" s="46">
        <v>16.137250000000002</v>
      </c>
      <c r="N959" s="40">
        <f t="shared" si="84"/>
        <v>0.11677373559233128</v>
      </c>
      <c r="O959" s="40">
        <f t="shared" si="85"/>
        <v>5.4781834802405199E-2</v>
      </c>
      <c r="P959" s="40">
        <f t="shared" si="86"/>
        <v>5.6310139425279994E-2</v>
      </c>
      <c r="Q959" s="40"/>
      <c r="R959" s="40"/>
      <c r="S959" s="47">
        <v>44534</v>
      </c>
      <c r="T959">
        <v>0.02</v>
      </c>
      <c r="U959" s="40">
        <f t="shared" si="87"/>
        <v>0</v>
      </c>
      <c r="V959" s="40">
        <f t="shared" si="88"/>
        <v>0.02</v>
      </c>
      <c r="W959" s="40">
        <f t="shared" si="89"/>
        <v>0</v>
      </c>
    </row>
    <row r="960" spans="1:23" x14ac:dyDescent="0.2">
      <c r="A960" s="40" t="s">
        <v>1330</v>
      </c>
      <c r="B960" s="40">
        <v>16.52</v>
      </c>
      <c r="C960" s="40">
        <v>17.88</v>
      </c>
      <c r="D960" s="40">
        <v>14.76</v>
      </c>
      <c r="E960" s="40">
        <v>14.76</v>
      </c>
      <c r="G960" s="36">
        <v>44300</v>
      </c>
      <c r="H960" s="40">
        <v>15.42</v>
      </c>
      <c r="I960" s="40">
        <v>15.276999999999999</v>
      </c>
      <c r="J960" s="44"/>
      <c r="K960" s="40"/>
      <c r="L960" s="45">
        <v>15.42</v>
      </c>
      <c r="M960" s="46">
        <v>15.276999999999999</v>
      </c>
      <c r="N960" s="40">
        <f t="shared" si="84"/>
        <v>0.17302636980683087</v>
      </c>
      <c r="O960" s="40">
        <f t="shared" si="85"/>
        <v>-2.6005697275148832E-2</v>
      </c>
      <c r="P960" s="40">
        <f t="shared" si="86"/>
        <v>-2.5670461430530412E-2</v>
      </c>
      <c r="Q960" s="40"/>
      <c r="R960" s="40"/>
      <c r="S960" s="47">
        <v>44443</v>
      </c>
      <c r="T960">
        <v>0.02</v>
      </c>
      <c r="U960" s="40">
        <f t="shared" si="87"/>
        <v>0</v>
      </c>
      <c r="V960" s="40">
        <f t="shared" si="88"/>
        <v>0.02</v>
      </c>
      <c r="W960" s="40">
        <f t="shared" si="89"/>
        <v>0</v>
      </c>
    </row>
    <row r="961" spans="1:23" x14ac:dyDescent="0.2">
      <c r="A961" s="40" t="s">
        <v>1331</v>
      </c>
      <c r="B961" s="40">
        <v>17.93</v>
      </c>
      <c r="C961" s="40">
        <v>18.54</v>
      </c>
      <c r="D961" s="40">
        <v>16.010000000000002</v>
      </c>
      <c r="E961" s="40">
        <v>16.09</v>
      </c>
      <c r="G961" s="36">
        <v>44299</v>
      </c>
      <c r="H961" s="40">
        <v>12.97</v>
      </c>
      <c r="I961" s="40">
        <v>15.679500000000001</v>
      </c>
      <c r="J961" s="44"/>
      <c r="K961" s="40"/>
      <c r="L961" s="45">
        <v>12.97</v>
      </c>
      <c r="M961" s="46">
        <v>15.679500000000001</v>
      </c>
      <c r="N961" s="40">
        <f t="shared" si="84"/>
        <v>-9.2010426046742311E-2</v>
      </c>
      <c r="O961" s="40">
        <f t="shared" si="85"/>
        <v>3.0466768768502892E-2</v>
      </c>
      <c r="P961" s="40">
        <f t="shared" si="86"/>
        <v>3.0935630218949389E-2</v>
      </c>
      <c r="Q961" s="40"/>
      <c r="R961" s="40"/>
      <c r="S961" s="47">
        <v>44412</v>
      </c>
      <c r="T961">
        <v>0.02</v>
      </c>
      <c r="U961" s="40">
        <f t="shared" si="87"/>
        <v>0.69314718055994529</v>
      </c>
      <c r="V961" s="40">
        <f t="shared" si="88"/>
        <v>0.02</v>
      </c>
      <c r="W961" s="40">
        <f t="shared" si="89"/>
        <v>0.69314718055994529</v>
      </c>
    </row>
    <row r="962" spans="1:23" x14ac:dyDescent="0.2">
      <c r="A962" s="40" t="s">
        <v>1332</v>
      </c>
      <c r="B962" s="40">
        <v>15.97</v>
      </c>
      <c r="C962" s="40">
        <v>16.02</v>
      </c>
      <c r="D962" s="40">
        <v>14.39</v>
      </c>
      <c r="E962" s="40">
        <v>14.39</v>
      </c>
      <c r="G962" s="36">
        <v>44298</v>
      </c>
      <c r="H962" s="40">
        <v>14.22</v>
      </c>
      <c r="I962" s="40">
        <v>15.209</v>
      </c>
      <c r="J962" s="44"/>
      <c r="K962" s="40"/>
      <c r="L962" s="45">
        <v>14.22</v>
      </c>
      <c r="M962" s="46">
        <v>15.209</v>
      </c>
      <c r="N962" s="40">
        <f t="shared" si="84"/>
        <v>8.4746269909722356E-3</v>
      </c>
      <c r="O962" s="40">
        <f t="shared" si="85"/>
        <v>5.465915130827665E-2</v>
      </c>
      <c r="P962" s="40">
        <f t="shared" si="86"/>
        <v>5.6180555555555504E-2</v>
      </c>
      <c r="Q962" s="40"/>
      <c r="R962" s="40"/>
      <c r="S962" s="47">
        <v>44381</v>
      </c>
      <c r="T962">
        <v>0.01</v>
      </c>
      <c r="U962" s="40">
        <f t="shared" si="87"/>
        <v>-0.69314718055994529</v>
      </c>
      <c r="V962" s="40">
        <f t="shared" si="88"/>
        <v>0.01</v>
      </c>
      <c r="W962" s="40">
        <f t="shared" si="89"/>
        <v>-0.69314718055994529</v>
      </c>
    </row>
    <row r="963" spans="1:23" x14ac:dyDescent="0.2">
      <c r="A963" s="40" t="s">
        <v>1333</v>
      </c>
      <c r="B963" s="40">
        <v>15</v>
      </c>
      <c r="C963" s="40">
        <v>17.059999999999999</v>
      </c>
      <c r="D963" s="40">
        <v>14.23</v>
      </c>
      <c r="E963" s="40">
        <v>14.9</v>
      </c>
      <c r="G963" s="36">
        <v>44295</v>
      </c>
      <c r="H963" s="40">
        <v>14.1</v>
      </c>
      <c r="I963" s="40">
        <v>14.4</v>
      </c>
      <c r="J963" s="44"/>
      <c r="K963" s="40"/>
      <c r="L963" s="45">
        <v>14.1</v>
      </c>
      <c r="M963" s="46">
        <v>14.4</v>
      </c>
      <c r="N963" s="40">
        <f t="shared" ref="N963:N1005" si="90">LN(L963/L964)</f>
        <v>2.2956531798610194E-2</v>
      </c>
      <c r="O963" s="40">
        <f t="shared" ref="O963:O1008" si="91">LN(M963/M964)</f>
        <v>5.7805642037644179E-3</v>
      </c>
      <c r="P963" s="40">
        <f t="shared" ref="P963:P1008" si="92">(M963-M964)/M964</f>
        <v>5.7973039044492691E-3</v>
      </c>
      <c r="Q963" s="40"/>
      <c r="R963" s="40"/>
      <c r="S963" s="47">
        <v>44351</v>
      </c>
      <c r="T963">
        <v>0.02</v>
      </c>
      <c r="U963" s="40">
        <f t="shared" ref="U963:U1008" si="93">LN(T963/T964)</f>
        <v>-0.40546510810816427</v>
      </c>
      <c r="V963" s="40">
        <f t="shared" ref="V963:V1008" si="94">IF(T963=0, 0.001,T963)</f>
        <v>0.02</v>
      </c>
      <c r="W963" s="40">
        <f t="shared" ref="W963:W1008" si="95">LN(V963/V964)</f>
        <v>-0.40546510810816427</v>
      </c>
    </row>
    <row r="964" spans="1:23" x14ac:dyDescent="0.2">
      <c r="A964" s="40" t="s">
        <v>1334</v>
      </c>
      <c r="B964" s="40">
        <v>15.12</v>
      </c>
      <c r="C964" s="40">
        <v>15.7</v>
      </c>
      <c r="D964" s="40">
        <v>11.56</v>
      </c>
      <c r="E964" s="40">
        <v>14</v>
      </c>
      <c r="G964" s="36">
        <v>44294</v>
      </c>
      <c r="H964" s="40">
        <v>13.78</v>
      </c>
      <c r="I964" s="40">
        <v>14.317</v>
      </c>
      <c r="J964" s="44"/>
      <c r="K964" s="40"/>
      <c r="L964" s="45">
        <v>13.78</v>
      </c>
      <c r="M964" s="46">
        <v>14.317</v>
      </c>
      <c r="N964" s="40">
        <f t="shared" si="90"/>
        <v>-3.2836640398317248E-2</v>
      </c>
      <c r="O964" s="40">
        <f t="shared" si="91"/>
        <v>1.2192487786485875E-2</v>
      </c>
      <c r="P964" s="40">
        <f t="shared" si="92"/>
        <v>1.2267119171350843E-2</v>
      </c>
      <c r="Q964" s="40"/>
      <c r="R964" s="40"/>
      <c r="S964" s="47">
        <v>44320</v>
      </c>
      <c r="T964">
        <v>0.03</v>
      </c>
      <c r="U964" s="40">
        <f t="shared" si="93"/>
        <v>0.40546510810816438</v>
      </c>
      <c r="V964" s="40">
        <f t="shared" si="94"/>
        <v>0.03</v>
      </c>
      <c r="W964" s="40">
        <f t="shared" si="95"/>
        <v>0.40546510810816438</v>
      </c>
    </row>
    <row r="965" spans="1:23" x14ac:dyDescent="0.2">
      <c r="A965" s="40" t="s">
        <v>1335</v>
      </c>
      <c r="B965" s="40">
        <v>13.8</v>
      </c>
      <c r="C965" s="40">
        <v>15.02</v>
      </c>
      <c r="D965" s="40">
        <v>13.64</v>
      </c>
      <c r="E965" s="40">
        <v>13.8</v>
      </c>
      <c r="G965" s="36">
        <v>44293</v>
      </c>
      <c r="H965" s="40">
        <v>14.24</v>
      </c>
      <c r="I965" s="40">
        <v>14.1435</v>
      </c>
      <c r="J965" s="44"/>
      <c r="K965" s="40"/>
      <c r="L965" s="45">
        <v>14.24</v>
      </c>
      <c r="M965" s="46">
        <v>14.1435</v>
      </c>
      <c r="N965" s="40">
        <f t="shared" si="90"/>
        <v>7.6595939254606518E-2</v>
      </c>
      <c r="O965" s="40">
        <f t="shared" si="91"/>
        <v>2.013994157763685E-2</v>
      </c>
      <c r="P965" s="40">
        <f t="shared" si="92"/>
        <v>2.0344118601882916E-2</v>
      </c>
      <c r="Q965" s="40"/>
      <c r="R965" s="40"/>
      <c r="S965" s="47">
        <v>44231</v>
      </c>
      <c r="T965">
        <v>0.02</v>
      </c>
      <c r="U965" s="40">
        <f t="shared" si="93"/>
        <v>0</v>
      </c>
      <c r="V965" s="40">
        <f t="shared" si="94"/>
        <v>0.02</v>
      </c>
      <c r="W965" s="40">
        <f t="shared" si="95"/>
        <v>0</v>
      </c>
    </row>
    <row r="966" spans="1:23" x14ac:dyDescent="0.2">
      <c r="A966" s="41">
        <v>41709</v>
      </c>
      <c r="B966" s="40">
        <v>14.55</v>
      </c>
      <c r="C966" s="40">
        <v>15.36</v>
      </c>
      <c r="D966" s="40">
        <v>14.31</v>
      </c>
      <c r="E966" s="40">
        <v>14.77</v>
      </c>
      <c r="G966" s="36">
        <v>44292</v>
      </c>
      <c r="H966" s="40">
        <v>13.19</v>
      </c>
      <c r="I966" s="40">
        <v>13.861499999999999</v>
      </c>
      <c r="J966" s="44"/>
      <c r="K966" s="40"/>
      <c r="L966" s="45">
        <v>13.19</v>
      </c>
      <c r="M966" s="46">
        <v>13.861499999999999</v>
      </c>
      <c r="N966" s="40">
        <f t="shared" si="90"/>
        <v>-5.5303438603154627E-2</v>
      </c>
      <c r="O966" s="40">
        <f t="shared" si="91"/>
        <v>-9.0488606239759409E-3</v>
      </c>
      <c r="P966" s="40">
        <f t="shared" si="92"/>
        <v>-9.0080428954424467E-3</v>
      </c>
      <c r="Q966" s="40"/>
      <c r="R966" s="40"/>
      <c r="S966" s="47">
        <v>44200</v>
      </c>
      <c r="T966">
        <v>0.02</v>
      </c>
      <c r="U966" s="40">
        <f t="shared" si="93"/>
        <v>0.69314718055994529</v>
      </c>
      <c r="V966" s="40">
        <f t="shared" si="94"/>
        <v>0.02</v>
      </c>
      <c r="W966" s="40">
        <f t="shared" si="95"/>
        <v>0.69314718055994529</v>
      </c>
    </row>
    <row r="967" spans="1:23" x14ac:dyDescent="0.2">
      <c r="A967" s="41">
        <v>41740</v>
      </c>
      <c r="B967" s="40">
        <v>15.02</v>
      </c>
      <c r="C967" s="40">
        <v>15.97</v>
      </c>
      <c r="D967" s="40">
        <v>14.73</v>
      </c>
      <c r="E967" s="40">
        <v>14.81</v>
      </c>
      <c r="G967" s="36">
        <v>44291</v>
      </c>
      <c r="H967" s="40">
        <v>13.94</v>
      </c>
      <c r="I967" s="40">
        <v>13.987500000000001</v>
      </c>
      <c r="J967" s="44"/>
      <c r="K967" s="40"/>
      <c r="L967" s="45">
        <v>13.94</v>
      </c>
      <c r="M967" s="46">
        <v>13.987500000000001</v>
      </c>
      <c r="N967" s="40">
        <f t="shared" si="90"/>
        <v>-1.3537791364058319E-2</v>
      </c>
      <c r="O967" s="40">
        <f t="shared" si="91"/>
        <v>1.2644394476830639E-2</v>
      </c>
      <c r="P967" s="40">
        <f t="shared" si="92"/>
        <v>1.2724672832914058E-2</v>
      </c>
      <c r="Q967" s="40"/>
      <c r="R967" s="40"/>
      <c r="S967" t="s">
        <v>2308</v>
      </c>
      <c r="T967">
        <v>0.01</v>
      </c>
      <c r="U967" s="40">
        <f t="shared" si="93"/>
        <v>0</v>
      </c>
      <c r="V967" s="40">
        <f t="shared" si="94"/>
        <v>0.01</v>
      </c>
      <c r="W967" s="40">
        <f t="shared" si="95"/>
        <v>0</v>
      </c>
    </row>
    <row r="968" spans="1:23" x14ac:dyDescent="0.2">
      <c r="A968" s="41">
        <v>41770</v>
      </c>
      <c r="B968" s="40">
        <v>13.9</v>
      </c>
      <c r="C968" s="40">
        <v>14.55</v>
      </c>
      <c r="D968" s="40">
        <v>13.28</v>
      </c>
      <c r="E968" s="40">
        <v>13.35</v>
      </c>
      <c r="G968" s="36">
        <v>44287</v>
      </c>
      <c r="H968" s="40">
        <v>14.13</v>
      </c>
      <c r="I968" s="40">
        <v>13.81175</v>
      </c>
      <c r="J968" s="44"/>
      <c r="K968" s="40"/>
      <c r="L968" s="45">
        <v>14.13</v>
      </c>
      <c r="M968" s="46">
        <v>13.81175</v>
      </c>
      <c r="N968" s="40">
        <f t="shared" si="90"/>
        <v>-0.1059972555710937</v>
      </c>
      <c r="O968" s="40">
        <f t="shared" si="91"/>
        <v>3.4134389049815833E-2</v>
      </c>
      <c r="P968" s="40">
        <f t="shared" si="92"/>
        <v>3.4723652913303225E-2</v>
      </c>
      <c r="Q968" s="40"/>
      <c r="R968" s="40"/>
      <c r="S968" t="s">
        <v>2307</v>
      </c>
      <c r="T968">
        <v>0.01</v>
      </c>
      <c r="U968" s="40">
        <f t="shared" si="93"/>
        <v>-0.69314718055994529</v>
      </c>
      <c r="V968" s="40">
        <f t="shared" si="94"/>
        <v>0.01</v>
      </c>
      <c r="W968" s="40">
        <f t="shared" si="95"/>
        <v>-0.69314718055994529</v>
      </c>
    </row>
    <row r="969" spans="1:23" x14ac:dyDescent="0.2">
      <c r="A969" s="41">
        <v>41801</v>
      </c>
      <c r="B969" s="40">
        <v>13.71</v>
      </c>
      <c r="C969" s="40">
        <v>14.45</v>
      </c>
      <c r="D969" s="40">
        <v>12.65</v>
      </c>
      <c r="E969" s="40">
        <v>12.65</v>
      </c>
      <c r="G969" s="36">
        <v>44286</v>
      </c>
      <c r="H969" s="40">
        <v>15.71</v>
      </c>
      <c r="I969" s="40">
        <v>13.34825</v>
      </c>
      <c r="J969" s="44"/>
      <c r="K969" s="40"/>
      <c r="L969" s="45">
        <v>15.71</v>
      </c>
      <c r="M969" s="46">
        <v>13.34825</v>
      </c>
      <c r="N969" s="40">
        <f t="shared" si="90"/>
        <v>3.8265352813676595E-3</v>
      </c>
      <c r="O969" s="40">
        <f t="shared" si="91"/>
        <v>3.6350302611167666E-2</v>
      </c>
      <c r="P969" s="40">
        <f t="shared" si="92"/>
        <v>3.7019053353273615E-2</v>
      </c>
      <c r="Q969" s="40"/>
      <c r="R969" s="40"/>
      <c r="S969" t="s">
        <v>2306</v>
      </c>
      <c r="T969">
        <v>0.02</v>
      </c>
      <c r="U969" s="40">
        <f t="shared" si="93"/>
        <v>0</v>
      </c>
      <c r="V969" s="40">
        <f t="shared" si="94"/>
        <v>0.02</v>
      </c>
      <c r="W969" s="40">
        <f t="shared" si="95"/>
        <v>0</v>
      </c>
    </row>
    <row r="970" spans="1:23" x14ac:dyDescent="0.2">
      <c r="A970" s="41">
        <v>41831</v>
      </c>
      <c r="B970" s="40">
        <v>12.54</v>
      </c>
      <c r="C970" s="40">
        <v>13.16</v>
      </c>
      <c r="D970" s="40">
        <v>11.09</v>
      </c>
      <c r="E970" s="40">
        <v>11.13</v>
      </c>
      <c r="G970" s="36">
        <v>44285</v>
      </c>
      <c r="H970" s="40">
        <v>15.65</v>
      </c>
      <c r="I970" s="40">
        <v>12.87175</v>
      </c>
      <c r="J970" s="44"/>
      <c r="K970" s="40"/>
      <c r="L970" s="45">
        <v>15.65</v>
      </c>
      <c r="M970" s="46">
        <v>12.87175</v>
      </c>
      <c r="N970" s="40">
        <f t="shared" si="90"/>
        <v>0.1878319186578096</v>
      </c>
      <c r="O970" s="40">
        <f t="shared" si="91"/>
        <v>-5.9256563786069354E-3</v>
      </c>
      <c r="P970" s="40">
        <f t="shared" si="92"/>
        <v>-5.9081343038634064E-3</v>
      </c>
      <c r="Q970" s="40"/>
      <c r="R970" s="40"/>
      <c r="S970" t="s">
        <v>2305</v>
      </c>
      <c r="T970">
        <v>0.02</v>
      </c>
      <c r="U970" s="40">
        <f t="shared" si="93"/>
        <v>0</v>
      </c>
      <c r="V970" s="40">
        <f t="shared" si="94"/>
        <v>0.02</v>
      </c>
      <c r="W970" s="40">
        <f t="shared" si="95"/>
        <v>0</v>
      </c>
    </row>
    <row r="971" spans="1:23" x14ac:dyDescent="0.2">
      <c r="A971" s="41">
        <v>41923</v>
      </c>
      <c r="B971" s="40">
        <v>11.65</v>
      </c>
      <c r="C971" s="40">
        <v>13.03</v>
      </c>
      <c r="D971" s="40">
        <v>11.32</v>
      </c>
      <c r="E971" s="40">
        <v>11.32</v>
      </c>
      <c r="G971" s="36">
        <v>44284</v>
      </c>
      <c r="H971" s="40">
        <v>12.97</v>
      </c>
      <c r="I971" s="40">
        <v>12.94825</v>
      </c>
      <c r="J971" s="44"/>
      <c r="K971" s="40"/>
      <c r="L971" s="45">
        <v>12.97</v>
      </c>
      <c r="M971" s="46">
        <v>12.94825</v>
      </c>
      <c r="N971" s="40">
        <f t="shared" si="90"/>
        <v>-0.18591314608318735</v>
      </c>
      <c r="O971" s="40">
        <f t="shared" si="91"/>
        <v>8.4537585379761294E-3</v>
      </c>
      <c r="P971" s="40">
        <f t="shared" si="92"/>
        <v>8.4895924606188042E-3</v>
      </c>
      <c r="Q971" s="40"/>
      <c r="R971" s="40"/>
      <c r="S971" t="s">
        <v>2304</v>
      </c>
      <c r="T971">
        <v>0.02</v>
      </c>
      <c r="U971" s="40">
        <f t="shared" si="93"/>
        <v>0</v>
      </c>
      <c r="V971" s="40">
        <f t="shared" si="94"/>
        <v>0.02</v>
      </c>
      <c r="W971" s="40">
        <f t="shared" si="95"/>
        <v>0</v>
      </c>
    </row>
    <row r="972" spans="1:23" x14ac:dyDescent="0.2">
      <c r="A972" s="41">
        <v>41954</v>
      </c>
      <c r="B972" s="40">
        <v>11.77</v>
      </c>
      <c r="C972" s="40">
        <v>12.06</v>
      </c>
      <c r="D972" s="40">
        <v>11.29</v>
      </c>
      <c r="E972" s="40">
        <v>11.54</v>
      </c>
      <c r="G972" s="36">
        <v>44281</v>
      </c>
      <c r="H972" s="40">
        <v>15.62</v>
      </c>
      <c r="I972" s="40">
        <v>12.83925</v>
      </c>
      <c r="J972" s="44"/>
      <c r="K972" s="40"/>
      <c r="L972" s="45">
        <v>15.62</v>
      </c>
      <c r="M972" s="46">
        <v>12.83925</v>
      </c>
      <c r="N972" s="40">
        <f t="shared" si="90"/>
        <v>-0.10099761896436973</v>
      </c>
      <c r="O972" s="40">
        <f t="shared" si="91"/>
        <v>2.3962209773123626E-2</v>
      </c>
      <c r="P972" s="40">
        <f t="shared" si="92"/>
        <v>2.4251610458507034E-2</v>
      </c>
      <c r="Q972" s="40"/>
      <c r="R972" s="40"/>
      <c r="S972" t="s">
        <v>2303</v>
      </c>
      <c r="T972">
        <v>0.02</v>
      </c>
      <c r="U972" s="40">
        <f t="shared" si="93"/>
        <v>0</v>
      </c>
      <c r="V972" s="40">
        <f t="shared" si="94"/>
        <v>0.02</v>
      </c>
      <c r="W972" s="40">
        <f t="shared" si="95"/>
        <v>0</v>
      </c>
    </row>
    <row r="973" spans="1:23" x14ac:dyDescent="0.2">
      <c r="A973" s="41">
        <v>41984</v>
      </c>
      <c r="B973" s="40">
        <v>13.14</v>
      </c>
      <c r="C973" s="40">
        <v>16.440000000000001</v>
      </c>
      <c r="D973" s="40">
        <v>11.38</v>
      </c>
      <c r="E973" s="40">
        <v>11.39</v>
      </c>
      <c r="G973" s="36">
        <v>44280</v>
      </c>
      <c r="H973" s="40">
        <v>17.28</v>
      </c>
      <c r="I973" s="40">
        <v>12.53525</v>
      </c>
      <c r="J973" s="44"/>
      <c r="K973" s="40"/>
      <c r="L973" s="45">
        <v>17.28</v>
      </c>
      <c r="M973" s="46">
        <v>12.53525</v>
      </c>
      <c r="N973" s="40">
        <f t="shared" si="90"/>
        <v>-8.696315051811028E-2</v>
      </c>
      <c r="O973" s="40">
        <f t="shared" si="91"/>
        <v>-8.5590267620238667E-3</v>
      </c>
      <c r="P973" s="40">
        <f t="shared" si="92"/>
        <v>-8.5225025705925102E-3</v>
      </c>
      <c r="Q973" s="40"/>
      <c r="R973" s="40"/>
      <c r="S973" t="s">
        <v>2302</v>
      </c>
      <c r="T973">
        <v>0.02</v>
      </c>
      <c r="U973" s="40">
        <f t="shared" si="93"/>
        <v>0</v>
      </c>
      <c r="V973" s="40">
        <f t="shared" si="94"/>
        <v>0.02</v>
      </c>
      <c r="W973" s="40">
        <f t="shared" si="95"/>
        <v>0</v>
      </c>
    </row>
    <row r="974" spans="1:23" x14ac:dyDescent="0.2">
      <c r="A974" s="40" t="s">
        <v>1336</v>
      </c>
      <c r="B974" s="40">
        <v>11.8</v>
      </c>
      <c r="C974" s="40">
        <v>12.81</v>
      </c>
      <c r="D974" s="40">
        <v>11.13</v>
      </c>
      <c r="E974" s="40">
        <v>11.97</v>
      </c>
      <c r="G974" s="36">
        <v>44279</v>
      </c>
      <c r="H974" s="40">
        <v>18.850000000000001</v>
      </c>
      <c r="I974" s="40">
        <v>12.643000000000001</v>
      </c>
      <c r="J974" s="44"/>
      <c r="K974" s="40"/>
      <c r="L974" s="45">
        <v>18.850000000000001</v>
      </c>
      <c r="M974" s="46">
        <v>12.643000000000001</v>
      </c>
      <c r="N974" s="40">
        <f t="shared" si="90"/>
        <v>0.14412156435805881</v>
      </c>
      <c r="O974" s="40">
        <f t="shared" si="91"/>
        <v>-3.3273206980591656E-2</v>
      </c>
      <c r="P974" s="40">
        <f t="shared" si="92"/>
        <v>-3.2725742593194697E-2</v>
      </c>
      <c r="Q974" s="40"/>
      <c r="R974" s="40"/>
      <c r="S974" t="s">
        <v>2301</v>
      </c>
      <c r="T974">
        <v>0.02</v>
      </c>
      <c r="U974" s="40">
        <f t="shared" si="93"/>
        <v>0.69314718055994529</v>
      </c>
      <c r="V974" s="40">
        <f t="shared" si="94"/>
        <v>0.02</v>
      </c>
      <c r="W974" s="40">
        <f t="shared" si="95"/>
        <v>0.69314718055994529</v>
      </c>
    </row>
    <row r="975" spans="1:23" x14ac:dyDescent="0.2">
      <c r="A975" s="40" t="s">
        <v>1337</v>
      </c>
      <c r="B975" s="40">
        <v>11.72</v>
      </c>
      <c r="C975" s="40">
        <v>12.88</v>
      </c>
      <c r="D975" s="40">
        <v>11.3</v>
      </c>
      <c r="E975" s="40">
        <v>11.35</v>
      </c>
      <c r="G975" s="36">
        <v>44278</v>
      </c>
      <c r="H975" s="40">
        <v>16.32</v>
      </c>
      <c r="I975" s="40">
        <v>13.07075</v>
      </c>
      <c r="J975" s="44"/>
      <c r="K975" s="40"/>
      <c r="L975" s="45">
        <v>16.32</v>
      </c>
      <c r="M975" s="46">
        <v>13.07075</v>
      </c>
      <c r="N975" s="40">
        <f t="shared" si="90"/>
        <v>-5.018974452385528E-2</v>
      </c>
      <c r="O975" s="40">
        <f t="shared" si="91"/>
        <v>-8.7977107035290842E-3</v>
      </c>
      <c r="P975" s="40">
        <f t="shared" si="92"/>
        <v>-8.7591240875911688E-3</v>
      </c>
      <c r="Q975" s="40"/>
      <c r="R975" s="40"/>
      <c r="S975" t="s">
        <v>2300</v>
      </c>
      <c r="T975">
        <v>0.01</v>
      </c>
      <c r="U975" s="40">
        <f t="shared" si="93"/>
        <v>0</v>
      </c>
      <c r="V975" s="40">
        <f t="shared" si="94"/>
        <v>0.01</v>
      </c>
      <c r="W975" s="40">
        <f t="shared" si="95"/>
        <v>0</v>
      </c>
    </row>
    <row r="976" spans="1:23" x14ac:dyDescent="0.2">
      <c r="A976" s="40" t="s">
        <v>1338</v>
      </c>
      <c r="B976" s="40">
        <v>12.79</v>
      </c>
      <c r="C976" s="40">
        <v>12.84</v>
      </c>
      <c r="D976" s="40">
        <v>11.4</v>
      </c>
      <c r="E976" s="40">
        <v>11.42</v>
      </c>
      <c r="G976" s="36">
        <v>44277</v>
      </c>
      <c r="H976" s="40">
        <v>17.16</v>
      </c>
      <c r="I976" s="40">
        <v>13.186249999999999</v>
      </c>
      <c r="J976" s="44"/>
      <c r="K976" s="40"/>
      <c r="L976" s="45">
        <v>17.16</v>
      </c>
      <c r="M976" s="46">
        <v>13.186249999999999</v>
      </c>
      <c r="N976" s="40">
        <f t="shared" si="90"/>
        <v>-0.10553532555251152</v>
      </c>
      <c r="O976" s="40">
        <f t="shared" si="91"/>
        <v>2.6161602678568239E-2</v>
      </c>
      <c r="P976" s="40">
        <f t="shared" si="92"/>
        <v>2.6506821322227092E-2</v>
      </c>
      <c r="Q976" s="40"/>
      <c r="R976" s="40"/>
      <c r="S976" t="s">
        <v>2299</v>
      </c>
      <c r="T976">
        <v>0.01</v>
      </c>
      <c r="U976" s="40">
        <f t="shared" si="93"/>
        <v>0</v>
      </c>
      <c r="V976" s="40">
        <f t="shared" si="94"/>
        <v>0.01</v>
      </c>
      <c r="W976" s="40">
        <f t="shared" si="95"/>
        <v>0</v>
      </c>
    </row>
    <row r="977" spans="1:23" x14ac:dyDescent="0.2">
      <c r="A977" s="40" t="s">
        <v>1339</v>
      </c>
      <c r="B977" s="40">
        <v>11.2</v>
      </c>
      <c r="C977" s="40">
        <v>11.51</v>
      </c>
      <c r="D977" s="40">
        <v>10.43</v>
      </c>
      <c r="E977" s="40">
        <v>11.49</v>
      </c>
      <c r="G977" s="36">
        <v>44274</v>
      </c>
      <c r="H977" s="40">
        <v>19.07</v>
      </c>
      <c r="I977" s="40">
        <v>12.845750000000001</v>
      </c>
      <c r="J977" s="44"/>
      <c r="K977" s="40"/>
      <c r="L977" s="45">
        <v>19.07</v>
      </c>
      <c r="M977" s="46">
        <v>12.845750000000001</v>
      </c>
      <c r="N977" s="40">
        <f t="shared" si="90"/>
        <v>3.7397520385293453E-2</v>
      </c>
      <c r="O977" s="40">
        <f t="shared" si="91"/>
        <v>9.6409378544624665E-3</v>
      </c>
      <c r="P977" s="40">
        <f t="shared" si="92"/>
        <v>9.6875614069562212E-3</v>
      </c>
      <c r="Q977" s="40"/>
      <c r="R977" s="40"/>
      <c r="S977" t="s">
        <v>2298</v>
      </c>
      <c r="T977">
        <v>0.01</v>
      </c>
      <c r="U977" s="40">
        <f t="shared" si="93"/>
        <v>0</v>
      </c>
      <c r="V977" s="40">
        <f t="shared" si="94"/>
        <v>0.01</v>
      </c>
      <c r="W977" s="40">
        <f t="shared" si="95"/>
        <v>0</v>
      </c>
    </row>
    <row r="978" spans="1:23" x14ac:dyDescent="0.2">
      <c r="A978" s="40" t="s">
        <v>1340</v>
      </c>
      <c r="B978" s="40">
        <v>11.46</v>
      </c>
      <c r="C978" s="40">
        <v>12.37</v>
      </c>
      <c r="D978" s="40">
        <v>10.78</v>
      </c>
      <c r="E978" s="40">
        <v>11.42</v>
      </c>
      <c r="G978" s="36">
        <v>44273</v>
      </c>
      <c r="H978" s="40">
        <v>18.37</v>
      </c>
      <c r="I978" s="40">
        <v>12.7225</v>
      </c>
      <c r="J978" s="44"/>
      <c r="K978" s="40"/>
      <c r="L978" s="45">
        <v>18.37</v>
      </c>
      <c r="M978" s="46">
        <v>12.7225</v>
      </c>
      <c r="N978" s="40">
        <f t="shared" si="90"/>
        <v>0.11343756439688174</v>
      </c>
      <c r="O978" s="40">
        <f t="shared" si="91"/>
        <v>-4.7488659765187041E-2</v>
      </c>
      <c r="P978" s="40">
        <f t="shared" si="92"/>
        <v>-4.6378712639370399E-2</v>
      </c>
      <c r="Q978" s="40"/>
      <c r="R978" s="40"/>
      <c r="S978" t="s">
        <v>2297</v>
      </c>
      <c r="T978">
        <v>0.01</v>
      </c>
      <c r="U978" s="40">
        <f t="shared" si="93"/>
        <v>-0.69314718055994529</v>
      </c>
      <c r="V978" s="40">
        <f t="shared" si="94"/>
        <v>0.01</v>
      </c>
      <c r="W978" s="40">
        <f t="shared" si="95"/>
        <v>-0.69314718055994529</v>
      </c>
    </row>
    <row r="979" spans="1:23" x14ac:dyDescent="0.2">
      <c r="A979" s="40" t="s">
        <v>1341</v>
      </c>
      <c r="B979" s="40">
        <v>12.15</v>
      </c>
      <c r="C979" s="40">
        <v>12.19</v>
      </c>
      <c r="D979" s="40">
        <v>10.78</v>
      </c>
      <c r="E979" s="40">
        <v>10.91</v>
      </c>
      <c r="G979" s="36">
        <v>44272</v>
      </c>
      <c r="H979" s="40">
        <v>16.399999999999999</v>
      </c>
      <c r="I979" s="40">
        <v>13.34125</v>
      </c>
      <c r="J979" s="44"/>
      <c r="K979" s="40"/>
      <c r="L979" s="45">
        <v>16.399999999999999</v>
      </c>
      <c r="M979" s="46">
        <v>13.34125</v>
      </c>
      <c r="N979" s="40">
        <f t="shared" si="90"/>
        <v>-0.10852623119585134</v>
      </c>
      <c r="O979" s="40">
        <f t="shared" si="91"/>
        <v>3.7548152628787803E-3</v>
      </c>
      <c r="P979" s="40">
        <f t="shared" si="92"/>
        <v>3.7618734129597074E-3</v>
      </c>
      <c r="Q979" s="40"/>
      <c r="R979" s="40"/>
      <c r="S979" t="s">
        <v>2296</v>
      </c>
      <c r="T979">
        <v>0.02</v>
      </c>
      <c r="U979" s="40">
        <f t="shared" si="93"/>
        <v>-0.40546510810816427</v>
      </c>
      <c r="V979" s="40">
        <f t="shared" si="94"/>
        <v>0.02</v>
      </c>
      <c r="W979" s="40">
        <f t="shared" si="95"/>
        <v>-0.40546510810816427</v>
      </c>
    </row>
    <row r="980" spans="1:23" x14ac:dyDescent="0.2">
      <c r="A980" s="40" t="s">
        <v>1342</v>
      </c>
      <c r="B980" s="40">
        <v>10.81</v>
      </c>
      <c r="C980" s="40">
        <v>11.59</v>
      </c>
      <c r="D980" s="40">
        <v>10.42</v>
      </c>
      <c r="E980" s="40">
        <v>10.45</v>
      </c>
      <c r="G980" s="36">
        <v>44271</v>
      </c>
      <c r="H980" s="40">
        <v>18.28</v>
      </c>
      <c r="I980" s="40">
        <v>13.29125</v>
      </c>
      <c r="J980" s="44"/>
      <c r="K980" s="40"/>
      <c r="L980" s="45">
        <v>18.28</v>
      </c>
      <c r="M980" s="46">
        <v>13.29125</v>
      </c>
      <c r="N980" s="40">
        <f t="shared" si="90"/>
        <v>-0.10629006161425114</v>
      </c>
      <c r="O980" s="40">
        <f t="shared" si="91"/>
        <v>7.5521929799959725E-3</v>
      </c>
      <c r="P980" s="40">
        <f t="shared" si="92"/>
        <v>7.5807827158153812E-3</v>
      </c>
      <c r="Q980" s="40"/>
      <c r="R980" s="40"/>
      <c r="S980" s="47">
        <v>44533</v>
      </c>
      <c r="T980">
        <v>0.03</v>
      </c>
      <c r="U980" s="40">
        <f t="shared" si="93"/>
        <v>-0.2876820724517809</v>
      </c>
      <c r="V980" s="40">
        <f t="shared" si="94"/>
        <v>0.03</v>
      </c>
      <c r="W980" s="40">
        <f t="shared" si="95"/>
        <v>-0.2876820724517809</v>
      </c>
    </row>
    <row r="981" spans="1:23" x14ac:dyDescent="0.2">
      <c r="A981" s="40" t="s">
        <v>1343</v>
      </c>
      <c r="B981" s="40">
        <v>11.56</v>
      </c>
      <c r="C981" s="40">
        <v>11.85</v>
      </c>
      <c r="D981" s="40">
        <v>11</v>
      </c>
      <c r="E981" s="40">
        <v>11.15</v>
      </c>
      <c r="G981" s="36">
        <v>44270</v>
      </c>
      <c r="H981" s="40">
        <v>20.329999999999998</v>
      </c>
      <c r="I981" s="40">
        <v>13.19125</v>
      </c>
      <c r="J981" s="44"/>
      <c r="K981" s="40"/>
      <c r="L981" s="45">
        <v>20.329999999999998</v>
      </c>
      <c r="M981" s="46">
        <v>13.19125</v>
      </c>
      <c r="N981" s="40">
        <f t="shared" si="90"/>
        <v>0.19728788996651134</v>
      </c>
      <c r="O981" s="40">
        <f t="shared" si="91"/>
        <v>2.5743102567951391E-2</v>
      </c>
      <c r="P981" s="40">
        <f t="shared" si="92"/>
        <v>2.6077317983820805E-2</v>
      </c>
      <c r="Q981" s="40"/>
      <c r="R981" s="40"/>
      <c r="S981" s="47">
        <v>44503</v>
      </c>
      <c r="T981">
        <v>0.04</v>
      </c>
      <c r="U981" s="40">
        <f t="shared" si="93"/>
        <v>0.28768207245178101</v>
      </c>
      <c r="V981" s="40">
        <f t="shared" si="94"/>
        <v>0.04</v>
      </c>
      <c r="W981" s="40">
        <f t="shared" si="95"/>
        <v>0.28768207245178101</v>
      </c>
    </row>
    <row r="982" spans="1:23" x14ac:dyDescent="0.2">
      <c r="A982" s="40" t="s">
        <v>1344</v>
      </c>
      <c r="B982" s="40">
        <v>11.11</v>
      </c>
      <c r="C982" s="40">
        <v>11.84</v>
      </c>
      <c r="D982" s="40">
        <v>10.8</v>
      </c>
      <c r="E982" s="40">
        <v>10.81</v>
      </c>
      <c r="G982" s="36">
        <v>44267</v>
      </c>
      <c r="H982" s="40">
        <v>16.690000000000001</v>
      </c>
      <c r="I982" s="40">
        <v>12.856</v>
      </c>
      <c r="J982" s="44"/>
      <c r="K982" s="40"/>
      <c r="L982" s="45">
        <v>16.690000000000001</v>
      </c>
      <c r="M982" s="46">
        <v>12.856</v>
      </c>
      <c r="N982" s="40">
        <f t="shared" si="90"/>
        <v>-7.1665549943297727E-2</v>
      </c>
      <c r="O982" s="40">
        <f t="shared" si="91"/>
        <v>-1.063860398464295E-2</v>
      </c>
      <c r="P982" s="40">
        <f t="shared" si="92"/>
        <v>-1.058221418401503E-2</v>
      </c>
      <c r="Q982" s="40"/>
      <c r="R982" s="40"/>
      <c r="S982" s="47">
        <v>44472</v>
      </c>
      <c r="T982">
        <v>0.03</v>
      </c>
      <c r="U982" s="40">
        <f t="shared" si="93"/>
        <v>-0.2876820724517809</v>
      </c>
      <c r="V982" s="40">
        <f t="shared" si="94"/>
        <v>0.03</v>
      </c>
      <c r="W982" s="40">
        <f t="shared" si="95"/>
        <v>-0.2876820724517809</v>
      </c>
    </row>
    <row r="983" spans="1:23" x14ac:dyDescent="0.2">
      <c r="A983" s="40" t="s">
        <v>1345</v>
      </c>
      <c r="B983" s="40">
        <v>11</v>
      </c>
      <c r="C983" s="40">
        <v>11.57</v>
      </c>
      <c r="D983" s="40">
        <v>10.82</v>
      </c>
      <c r="E983" s="40">
        <v>11.12</v>
      </c>
      <c r="G983" s="36">
        <v>44266</v>
      </c>
      <c r="H983" s="40">
        <v>17.93</v>
      </c>
      <c r="I983" s="40">
        <v>12.993499999999999</v>
      </c>
      <c r="J983" s="44"/>
      <c r="K983" s="40"/>
      <c r="L983" s="45">
        <v>17.93</v>
      </c>
      <c r="M983" s="46">
        <v>12.993499999999999</v>
      </c>
      <c r="N983" s="40">
        <f t="shared" si="90"/>
        <v>1.0653310735608079E-2</v>
      </c>
      <c r="O983" s="40">
        <f t="shared" si="91"/>
        <v>4.1263819384380625E-2</v>
      </c>
      <c r="P983" s="40">
        <f t="shared" si="92"/>
        <v>4.2127002586569873E-2</v>
      </c>
      <c r="Q983" s="40"/>
      <c r="R983" s="40"/>
      <c r="S983" s="47">
        <v>44442</v>
      </c>
      <c r="T983">
        <v>0.04</v>
      </c>
      <c r="U983" s="40">
        <f t="shared" si="93"/>
        <v>0</v>
      </c>
      <c r="V983" s="40">
        <f t="shared" si="94"/>
        <v>0.04</v>
      </c>
      <c r="W983" s="40">
        <f t="shared" si="95"/>
        <v>0</v>
      </c>
    </row>
    <row r="984" spans="1:23" x14ac:dyDescent="0.2">
      <c r="A984" s="40" t="s">
        <v>1346</v>
      </c>
      <c r="B984" s="40">
        <v>11.81</v>
      </c>
      <c r="C984" s="40">
        <v>13.48</v>
      </c>
      <c r="D984" s="40">
        <v>11.5</v>
      </c>
      <c r="E984" s="40">
        <v>12.98</v>
      </c>
      <c r="G984" s="36">
        <v>44265</v>
      </c>
      <c r="H984" s="40">
        <v>17.739999999999998</v>
      </c>
      <c r="I984" s="40">
        <v>12.468249999999999</v>
      </c>
      <c r="J984" s="44"/>
      <c r="K984" s="40"/>
      <c r="L984" s="45">
        <v>17.739999999999998</v>
      </c>
      <c r="M984" s="46">
        <v>12.468249999999999</v>
      </c>
      <c r="N984" s="40">
        <f t="shared" si="90"/>
        <v>1.8777223101335564E-2</v>
      </c>
      <c r="O984" s="40">
        <f t="shared" si="91"/>
        <v>-4.1619204882381144E-3</v>
      </c>
      <c r="P984" s="40">
        <f t="shared" si="92"/>
        <v>-4.1532716998463589E-3</v>
      </c>
      <c r="Q984" s="40"/>
      <c r="R984" s="40"/>
      <c r="S984" s="47">
        <v>44411</v>
      </c>
      <c r="T984">
        <v>0.04</v>
      </c>
      <c r="U984" s="40">
        <f t="shared" si="93"/>
        <v>0</v>
      </c>
      <c r="V984" s="40">
        <f t="shared" si="94"/>
        <v>0.04</v>
      </c>
      <c r="W984" s="40">
        <f t="shared" si="95"/>
        <v>0</v>
      </c>
    </row>
    <row r="985" spans="1:23" x14ac:dyDescent="0.2">
      <c r="A985" s="41">
        <v>41651</v>
      </c>
      <c r="B985" s="40">
        <v>14.34</v>
      </c>
      <c r="C985" s="40">
        <v>15.39</v>
      </c>
      <c r="D985" s="40">
        <v>14.04</v>
      </c>
      <c r="E985" s="40">
        <v>14.63</v>
      </c>
      <c r="G985" s="36">
        <v>44264</v>
      </c>
      <c r="H985" s="40">
        <v>17.41</v>
      </c>
      <c r="I985" s="40">
        <v>12.520250000000001</v>
      </c>
      <c r="J985" s="44"/>
      <c r="K985" s="40"/>
      <c r="L985" s="45">
        <v>17.41</v>
      </c>
      <c r="M985" s="46">
        <v>12.520250000000001</v>
      </c>
      <c r="N985" s="40">
        <f t="shared" si="90"/>
        <v>-0.1391873948155444</v>
      </c>
      <c r="O985" s="40">
        <f t="shared" si="91"/>
        <v>7.6924301330621669E-2</v>
      </c>
      <c r="P985" s="40">
        <f t="shared" si="92"/>
        <v>7.9960321738943047E-2</v>
      </c>
      <c r="Q985" s="40"/>
      <c r="R985" s="40"/>
      <c r="S985" s="47">
        <v>44319</v>
      </c>
      <c r="T985">
        <v>0.04</v>
      </c>
      <c r="U985" s="40">
        <f t="shared" si="93"/>
        <v>0.28768207245178101</v>
      </c>
      <c r="V985" s="40">
        <f t="shared" si="94"/>
        <v>0.04</v>
      </c>
      <c r="W985" s="40">
        <f t="shared" si="95"/>
        <v>0.28768207245178101</v>
      </c>
    </row>
    <row r="986" spans="1:23" x14ac:dyDescent="0.2">
      <c r="A986" s="41">
        <v>41682</v>
      </c>
      <c r="B986" s="40">
        <v>14.2</v>
      </c>
      <c r="C986" s="40">
        <v>14.24</v>
      </c>
      <c r="D986" s="40">
        <v>12.56</v>
      </c>
      <c r="E986" s="40">
        <v>12.57</v>
      </c>
      <c r="G986" s="36">
        <v>44263</v>
      </c>
      <c r="H986" s="40">
        <v>20.010000000000002</v>
      </c>
      <c r="I986" s="40">
        <v>11.593249999999999</v>
      </c>
      <c r="J986" s="44"/>
      <c r="K986" s="40"/>
      <c r="L986" s="45">
        <v>20.010000000000002</v>
      </c>
      <c r="M986" s="46">
        <v>11.593249999999999</v>
      </c>
      <c r="N986" s="40">
        <f t="shared" si="90"/>
        <v>-4.7337454372508962E-2</v>
      </c>
      <c r="O986" s="40">
        <f t="shared" si="91"/>
        <v>-7.222085915324096E-2</v>
      </c>
      <c r="P986" s="40">
        <f t="shared" si="92"/>
        <v>-6.9674597761104184E-2</v>
      </c>
      <c r="Q986" s="40"/>
      <c r="R986" s="40"/>
      <c r="S986" s="47">
        <v>44289</v>
      </c>
      <c r="T986">
        <v>0.03</v>
      </c>
      <c r="U986" s="40">
        <f t="shared" si="93"/>
        <v>-0.2876820724517809</v>
      </c>
      <c r="V986" s="40">
        <f t="shared" si="94"/>
        <v>0.03</v>
      </c>
      <c r="W986" s="40">
        <f t="shared" si="95"/>
        <v>-0.2876820724517809</v>
      </c>
    </row>
    <row r="987" spans="1:23" x14ac:dyDescent="0.2">
      <c r="A987" s="41">
        <v>41710</v>
      </c>
      <c r="B987" s="40">
        <v>12.53</v>
      </c>
      <c r="C987" s="40">
        <v>12.69</v>
      </c>
      <c r="D987" s="40">
        <v>11.87</v>
      </c>
      <c r="E987" s="40">
        <v>12.16</v>
      </c>
      <c r="G987" s="36">
        <v>44260</v>
      </c>
      <c r="H987" s="40">
        <v>20.98</v>
      </c>
      <c r="I987" s="40">
        <v>12.461499999999999</v>
      </c>
      <c r="J987" s="44"/>
      <c r="K987" s="40"/>
      <c r="L987" s="45">
        <v>20.98</v>
      </c>
      <c r="M987" s="46">
        <v>12.461499999999999</v>
      </c>
      <c r="N987" s="40">
        <f t="shared" si="90"/>
        <v>-0.13905708922492854</v>
      </c>
      <c r="O987" s="40">
        <f t="shared" si="91"/>
        <v>7.3494949602238985E-3</v>
      </c>
      <c r="P987" s="40">
        <f t="shared" si="92"/>
        <v>7.3765687839775851E-3</v>
      </c>
      <c r="Q987" s="40"/>
      <c r="R987" s="40"/>
      <c r="S987" s="47">
        <v>44258</v>
      </c>
      <c r="T987">
        <v>0.04</v>
      </c>
      <c r="U987" s="40">
        <f t="shared" si="93"/>
        <v>0</v>
      </c>
      <c r="V987" s="40">
        <f t="shared" si="94"/>
        <v>0.04</v>
      </c>
      <c r="W987" s="40">
        <f t="shared" si="95"/>
        <v>0</v>
      </c>
    </row>
    <row r="988" spans="1:23" x14ac:dyDescent="0.2">
      <c r="A988" s="41">
        <v>41741</v>
      </c>
      <c r="B988" s="40">
        <v>12.3</v>
      </c>
      <c r="C988" s="40">
        <v>13.1</v>
      </c>
      <c r="D988" s="40">
        <v>11.69</v>
      </c>
      <c r="E988" s="40">
        <v>11.88</v>
      </c>
      <c r="G988" s="36">
        <v>44259</v>
      </c>
      <c r="H988" s="40">
        <v>24.11</v>
      </c>
      <c r="I988" s="40">
        <v>12.37025</v>
      </c>
      <c r="J988" s="44"/>
      <c r="K988" s="40"/>
      <c r="L988" s="45">
        <v>24.11</v>
      </c>
      <c r="M988" s="46">
        <v>12.37025</v>
      </c>
      <c r="N988" s="40">
        <f t="shared" si="90"/>
        <v>-6.386429970809443E-2</v>
      </c>
      <c r="O988" s="40">
        <f t="shared" si="91"/>
        <v>-3.4521799451208389E-2</v>
      </c>
      <c r="P988" s="40">
        <f t="shared" si="92"/>
        <v>-3.3932720279583738E-2</v>
      </c>
      <c r="Q988" s="40"/>
      <c r="R988" s="40"/>
      <c r="S988" s="47">
        <v>44230</v>
      </c>
      <c r="T988">
        <v>0.04</v>
      </c>
      <c r="U988" s="40">
        <f t="shared" si="93"/>
        <v>0.28768207245178101</v>
      </c>
      <c r="V988" s="40">
        <f t="shared" si="94"/>
        <v>0.04</v>
      </c>
      <c r="W988" s="40">
        <f t="shared" si="95"/>
        <v>0.28768207245178101</v>
      </c>
    </row>
    <row r="989" spans="1:23" x14ac:dyDescent="0.2">
      <c r="A989" s="41">
        <v>41771</v>
      </c>
      <c r="B989" s="40">
        <v>11.53</v>
      </c>
      <c r="C989" s="40">
        <v>12.62</v>
      </c>
      <c r="D989" s="40">
        <v>10.32</v>
      </c>
      <c r="E989" s="40">
        <v>10.7</v>
      </c>
      <c r="G989" s="36">
        <v>44258</v>
      </c>
      <c r="H989" s="40">
        <v>25.7</v>
      </c>
      <c r="I989" s="40">
        <v>12.80475</v>
      </c>
      <c r="J989" s="44"/>
      <c r="K989" s="40"/>
      <c r="L989" s="45">
        <v>25.7</v>
      </c>
      <c r="M989" s="46">
        <v>12.80475</v>
      </c>
      <c r="N989" s="40">
        <f t="shared" si="90"/>
        <v>7.554570079052339E-2</v>
      </c>
      <c r="O989" s="40">
        <f t="shared" si="91"/>
        <v>-4.5904820290974792E-2</v>
      </c>
      <c r="P989" s="40">
        <f t="shared" si="92"/>
        <v>-4.4867132867132842E-2</v>
      </c>
      <c r="Q989" s="40"/>
      <c r="R989" s="40"/>
      <c r="S989" s="47">
        <v>44199</v>
      </c>
      <c r="T989">
        <v>0.03</v>
      </c>
      <c r="U989" s="40">
        <f t="shared" si="93"/>
        <v>-0.2876820724517809</v>
      </c>
      <c r="V989" s="40">
        <f t="shared" si="94"/>
        <v>0.03</v>
      </c>
      <c r="W989" s="40">
        <f t="shared" si="95"/>
        <v>-0.2876820724517809</v>
      </c>
    </row>
    <row r="990" spans="1:23" x14ac:dyDescent="0.2">
      <c r="A990" s="41">
        <v>41863</v>
      </c>
      <c r="B990" s="40">
        <v>13.16</v>
      </c>
      <c r="C990" s="40">
        <v>17.84</v>
      </c>
      <c r="D990" s="40">
        <v>11.74</v>
      </c>
      <c r="E990" s="40">
        <v>15.47</v>
      </c>
      <c r="G990" s="36">
        <v>44257</v>
      </c>
      <c r="H990" s="40">
        <v>23.83</v>
      </c>
      <c r="I990" s="40">
        <v>13.40625</v>
      </c>
      <c r="J990" s="44"/>
      <c r="K990" s="40"/>
      <c r="L990" s="45">
        <v>23.83</v>
      </c>
      <c r="M990" s="46">
        <v>13.40625</v>
      </c>
      <c r="N990" s="40">
        <f t="shared" si="90"/>
        <v>-0.20664222491237094</v>
      </c>
      <c r="O990" s="40">
        <f t="shared" si="91"/>
        <v>-3.1968371154432025E-2</v>
      </c>
      <c r="P990" s="40">
        <f t="shared" si="92"/>
        <v>-3.1462784691242029E-2</v>
      </c>
      <c r="Q990" s="40"/>
      <c r="R990" s="40"/>
      <c r="S990" t="s">
        <v>2295</v>
      </c>
      <c r="T990">
        <v>0.04</v>
      </c>
      <c r="U990" s="40">
        <f t="shared" si="93"/>
        <v>0</v>
      </c>
      <c r="V990" s="40">
        <f t="shared" si="94"/>
        <v>0.04</v>
      </c>
      <c r="W990" s="40">
        <f t="shared" si="95"/>
        <v>0</v>
      </c>
    </row>
    <row r="991" spans="1:23" x14ac:dyDescent="0.2">
      <c r="A991" s="41">
        <v>41894</v>
      </c>
      <c r="B991" s="40">
        <v>18.93</v>
      </c>
      <c r="C991" s="40">
        <v>20.62</v>
      </c>
      <c r="D991" s="40">
        <v>15.15</v>
      </c>
      <c r="E991" s="40">
        <v>15.27</v>
      </c>
      <c r="G991" s="36">
        <v>44256</v>
      </c>
      <c r="H991" s="40">
        <v>29.3</v>
      </c>
      <c r="I991" s="40">
        <v>13.841749999999999</v>
      </c>
      <c r="J991" s="44"/>
      <c r="K991" s="40"/>
      <c r="L991" s="45">
        <v>29.3</v>
      </c>
      <c r="M991" s="46">
        <v>13.841749999999999</v>
      </c>
      <c r="N991" s="40">
        <f t="shared" si="90"/>
        <v>8.6205000368072784E-2</v>
      </c>
      <c r="O991" s="40">
        <f t="shared" si="91"/>
        <v>9.2357199922687341E-3</v>
      </c>
      <c r="P991" s="40">
        <f t="shared" si="92"/>
        <v>9.2785008567574535E-3</v>
      </c>
      <c r="Q991" s="40"/>
      <c r="R991" s="40"/>
      <c r="S991" t="s">
        <v>2294</v>
      </c>
      <c r="T991">
        <v>0.04</v>
      </c>
      <c r="U991" s="40">
        <f t="shared" si="93"/>
        <v>0.28768207245178101</v>
      </c>
      <c r="V991" s="40">
        <f t="shared" si="94"/>
        <v>0.04</v>
      </c>
      <c r="W991" s="40">
        <f t="shared" si="95"/>
        <v>0.28768207245178101</v>
      </c>
    </row>
    <row r="992" spans="1:23" x14ac:dyDescent="0.2">
      <c r="A992" s="41">
        <v>41924</v>
      </c>
      <c r="B992" s="40">
        <v>15.9</v>
      </c>
      <c r="C992" s="40">
        <v>27.23</v>
      </c>
      <c r="D992" s="40">
        <v>15.9</v>
      </c>
      <c r="E992" s="40">
        <v>21.71</v>
      </c>
      <c r="G992" s="36">
        <v>44253</v>
      </c>
      <c r="H992" s="40">
        <v>26.88</v>
      </c>
      <c r="I992" s="40">
        <v>13.714499999999999</v>
      </c>
      <c r="J992" s="44"/>
      <c r="K992" s="40"/>
      <c r="L992" s="45">
        <v>26.88</v>
      </c>
      <c r="M992" s="46">
        <v>13.714499999999999</v>
      </c>
      <c r="N992" s="40">
        <f t="shared" si="90"/>
        <v>0.14852417721066385</v>
      </c>
      <c r="O992" s="40">
        <f t="shared" si="91"/>
        <v>3.0125881225678539E-2</v>
      </c>
      <c r="P992" s="40">
        <f t="shared" si="92"/>
        <v>3.05842569979335E-2</v>
      </c>
      <c r="Q992" s="40"/>
      <c r="R992" s="40"/>
      <c r="S992" t="s">
        <v>2293</v>
      </c>
      <c r="T992">
        <v>0.03</v>
      </c>
      <c r="U992" s="40">
        <f t="shared" si="93"/>
        <v>0</v>
      </c>
      <c r="V992" s="40">
        <f t="shared" si="94"/>
        <v>0.03</v>
      </c>
      <c r="W992" s="40">
        <f t="shared" si="95"/>
        <v>0</v>
      </c>
    </row>
    <row r="993" spans="1:23" x14ac:dyDescent="0.2">
      <c r="A993" s="41">
        <v>41955</v>
      </c>
      <c r="B993" s="40">
        <v>20.100000000000001</v>
      </c>
      <c r="C993" s="40">
        <v>22.08</v>
      </c>
      <c r="D993" s="40">
        <v>16.93</v>
      </c>
      <c r="E993" s="40">
        <v>22.08</v>
      </c>
      <c r="G993" s="36">
        <v>44252</v>
      </c>
      <c r="H993" s="40">
        <v>23.17</v>
      </c>
      <c r="I993" s="40">
        <v>13.307499999999999</v>
      </c>
      <c r="J993" s="44"/>
      <c r="K993" s="40"/>
      <c r="L993" s="45">
        <v>23.17</v>
      </c>
      <c r="M993" s="46">
        <v>13.307499999999999</v>
      </c>
      <c r="N993" s="40">
        <f t="shared" si="90"/>
        <v>2.0493413956927983E-2</v>
      </c>
      <c r="O993" s="40">
        <f t="shared" si="91"/>
        <v>-8.5751895466281439E-2</v>
      </c>
      <c r="P993" s="40">
        <f t="shared" si="92"/>
        <v>-8.2178081246982643E-2</v>
      </c>
      <c r="Q993" s="40"/>
      <c r="R993" s="40"/>
      <c r="S993" t="s">
        <v>2292</v>
      </c>
      <c r="T993">
        <v>0.03</v>
      </c>
      <c r="U993" s="40">
        <f t="shared" si="93"/>
        <v>0</v>
      </c>
      <c r="V993" s="40">
        <f t="shared" si="94"/>
        <v>0.03</v>
      </c>
      <c r="W993" s="40">
        <f t="shared" si="95"/>
        <v>0</v>
      </c>
    </row>
    <row r="994" spans="1:23" x14ac:dyDescent="0.2">
      <c r="A994" s="41">
        <v>41985</v>
      </c>
      <c r="B994" s="40">
        <v>23.28</v>
      </c>
      <c r="C994" s="40">
        <v>26.12</v>
      </c>
      <c r="D994" s="40">
        <v>19.88</v>
      </c>
      <c r="E994" s="40">
        <v>23.82</v>
      </c>
      <c r="G994" s="36">
        <v>44251</v>
      </c>
      <c r="H994" s="40">
        <v>22.7</v>
      </c>
      <c r="I994" s="40">
        <v>14.499000000000001</v>
      </c>
      <c r="J994" s="44"/>
      <c r="K994" s="40"/>
      <c r="L994" s="45">
        <v>22.7</v>
      </c>
      <c r="M994" s="46">
        <v>14.499000000000001</v>
      </c>
      <c r="N994" s="40">
        <f t="shared" si="90"/>
        <v>-0.25930979068593452</v>
      </c>
      <c r="O994" s="40">
        <f t="shared" si="91"/>
        <v>2.4930588349007729E-2</v>
      </c>
      <c r="P994" s="40">
        <f t="shared" si="92"/>
        <v>2.5243954179041232E-2</v>
      </c>
      <c r="Q994" s="40"/>
      <c r="R994" s="40"/>
      <c r="S994" t="s">
        <v>2291</v>
      </c>
      <c r="T994">
        <v>0.03</v>
      </c>
      <c r="U994" s="40">
        <f t="shared" si="93"/>
        <v>0</v>
      </c>
      <c r="V994" s="40">
        <f t="shared" si="94"/>
        <v>0.03</v>
      </c>
      <c r="W994" s="40">
        <f t="shared" si="95"/>
        <v>0</v>
      </c>
    </row>
    <row r="995" spans="1:23" x14ac:dyDescent="0.2">
      <c r="A995" s="40" t="s">
        <v>1347</v>
      </c>
      <c r="B995" s="40">
        <v>21.16</v>
      </c>
      <c r="C995" s="40">
        <v>25.47</v>
      </c>
      <c r="D995" s="40">
        <v>20.23</v>
      </c>
      <c r="E995" s="40">
        <v>21.16</v>
      </c>
      <c r="G995" s="36">
        <v>44250</v>
      </c>
      <c r="H995" s="40">
        <v>29.42</v>
      </c>
      <c r="I995" s="40">
        <v>14.141999999999999</v>
      </c>
      <c r="J995" s="44"/>
      <c r="K995" s="40"/>
      <c r="L995" s="45">
        <v>29.42</v>
      </c>
      <c r="M995" s="46">
        <v>14.141999999999999</v>
      </c>
      <c r="N995" s="40">
        <f t="shared" si="90"/>
        <v>-7.8105990587761201E-2</v>
      </c>
      <c r="O995" s="40">
        <f t="shared" si="91"/>
        <v>-1.5001465630142746E-2</v>
      </c>
      <c r="P995" s="40">
        <f t="shared" si="92"/>
        <v>-1.4889504205631959E-2</v>
      </c>
      <c r="Q995" s="40"/>
      <c r="R995" s="40"/>
      <c r="S995" t="s">
        <v>2290</v>
      </c>
      <c r="T995">
        <v>0.03</v>
      </c>
      <c r="U995" s="40">
        <f t="shared" si="93"/>
        <v>0</v>
      </c>
      <c r="V995" s="40">
        <f t="shared" si="94"/>
        <v>0.03</v>
      </c>
      <c r="W995" s="40">
        <f t="shared" si="95"/>
        <v>0</v>
      </c>
    </row>
    <row r="996" spans="1:23" x14ac:dyDescent="0.2">
      <c r="A996" s="40" t="s">
        <v>1348</v>
      </c>
      <c r="B996" s="40">
        <v>23.22</v>
      </c>
      <c r="C996" s="40">
        <v>24.45</v>
      </c>
      <c r="D996" s="40">
        <v>18.54</v>
      </c>
      <c r="E996" s="40">
        <v>24.25</v>
      </c>
      <c r="G996" s="36">
        <v>44249</v>
      </c>
      <c r="H996" s="40">
        <v>31.81</v>
      </c>
      <c r="I996" s="40">
        <v>14.35575</v>
      </c>
      <c r="J996" s="44"/>
      <c r="K996" s="40"/>
      <c r="L996" s="45">
        <v>31.81</v>
      </c>
      <c r="M996" s="46">
        <v>14.35575</v>
      </c>
      <c r="N996" s="40">
        <f t="shared" si="90"/>
        <v>0.55015113126047333</v>
      </c>
      <c r="O996" s="40">
        <f t="shared" si="91"/>
        <v>-3.8987597928997711E-2</v>
      </c>
      <c r="P996" s="40">
        <f t="shared" si="92"/>
        <v>-3.8237363079087545E-2</v>
      </c>
      <c r="Q996" s="40"/>
      <c r="R996" s="40"/>
      <c r="S996" t="s">
        <v>2289</v>
      </c>
      <c r="T996">
        <v>0.03</v>
      </c>
      <c r="U996" s="40">
        <f t="shared" si="93"/>
        <v>0</v>
      </c>
      <c r="V996" s="40">
        <f t="shared" si="94"/>
        <v>0.03</v>
      </c>
      <c r="W996" s="40">
        <f t="shared" si="95"/>
        <v>0</v>
      </c>
    </row>
    <row r="997" spans="1:23" x14ac:dyDescent="0.2">
      <c r="A997" s="40" t="s">
        <v>1349</v>
      </c>
      <c r="B997" s="40">
        <v>23.8</v>
      </c>
      <c r="C997" s="40">
        <v>24.56</v>
      </c>
      <c r="D997" s="40">
        <v>17.7</v>
      </c>
      <c r="E997" s="40">
        <v>18.04</v>
      </c>
      <c r="G997" s="36">
        <v>44246</v>
      </c>
      <c r="H997" s="40">
        <v>18.350000000000001</v>
      </c>
      <c r="I997" s="40">
        <v>14.926500000000001</v>
      </c>
      <c r="J997" s="44"/>
      <c r="K997" s="40"/>
      <c r="L997" s="45">
        <v>18.350000000000001</v>
      </c>
      <c r="M997" s="46">
        <v>14.926500000000001</v>
      </c>
      <c r="N997" s="40">
        <f t="shared" si="90"/>
        <v>-0.14907749821480015</v>
      </c>
      <c r="O997" s="40">
        <f t="shared" si="91"/>
        <v>6.5534337482576147E-3</v>
      </c>
      <c r="P997" s="40">
        <f t="shared" si="92"/>
        <v>6.5749544810843712E-3</v>
      </c>
      <c r="Q997" s="40"/>
      <c r="R997" s="40"/>
      <c r="S997" t="s">
        <v>2288</v>
      </c>
      <c r="T997">
        <v>0.03</v>
      </c>
      <c r="U997" s="40">
        <f t="shared" si="93"/>
        <v>0</v>
      </c>
      <c r="V997" s="40">
        <f t="shared" si="94"/>
        <v>0.03</v>
      </c>
      <c r="W997" s="40">
        <f t="shared" si="95"/>
        <v>0</v>
      </c>
    </row>
    <row r="998" spans="1:23" x14ac:dyDescent="0.2">
      <c r="A998" s="40" t="s">
        <v>1350</v>
      </c>
      <c r="B998" s="40">
        <v>15.94</v>
      </c>
      <c r="C998" s="40">
        <v>16.34</v>
      </c>
      <c r="D998" s="40">
        <v>14.06</v>
      </c>
      <c r="E998" s="40">
        <v>14.46</v>
      </c>
      <c r="G998" s="36">
        <v>44245</v>
      </c>
      <c r="H998" s="40">
        <v>21.3</v>
      </c>
      <c r="I998" s="40">
        <v>14.829000000000001</v>
      </c>
      <c r="J998" s="44"/>
      <c r="K998" s="40"/>
      <c r="L998" s="45">
        <v>21.3</v>
      </c>
      <c r="M998" s="46">
        <v>14.829000000000001</v>
      </c>
      <c r="N998" s="40">
        <f t="shared" si="90"/>
        <v>3.7629395295425104E-3</v>
      </c>
      <c r="O998" s="40">
        <f t="shared" si="91"/>
        <v>-5.1790934665700908E-3</v>
      </c>
      <c r="P998" s="40">
        <f t="shared" si="92"/>
        <v>-5.1657050852005875E-3</v>
      </c>
      <c r="Q998" s="40"/>
      <c r="R998" s="40"/>
      <c r="S998" t="s">
        <v>2287</v>
      </c>
      <c r="T998">
        <v>0.03</v>
      </c>
      <c r="U998" s="40">
        <f t="shared" si="93"/>
        <v>0</v>
      </c>
      <c r="V998" s="40">
        <f t="shared" si="94"/>
        <v>0.03</v>
      </c>
      <c r="W998" s="40">
        <f t="shared" si="95"/>
        <v>0</v>
      </c>
    </row>
    <row r="999" spans="1:23" x14ac:dyDescent="0.2">
      <c r="A999" s="40" t="s">
        <v>1351</v>
      </c>
      <c r="B999" s="40">
        <v>14.23</v>
      </c>
      <c r="C999" s="40">
        <v>14.57</v>
      </c>
      <c r="D999" s="40">
        <v>13.02</v>
      </c>
      <c r="E999" s="40">
        <v>13.77</v>
      </c>
      <c r="G999" s="36">
        <v>44244</v>
      </c>
      <c r="H999" s="40">
        <v>21.22</v>
      </c>
      <c r="I999" s="40">
        <v>14.906000000000001</v>
      </c>
      <c r="J999" s="44"/>
      <c r="K999" s="40"/>
      <c r="L999" s="45">
        <v>21.22</v>
      </c>
      <c r="M999" s="46">
        <v>14.906000000000001</v>
      </c>
      <c r="N999" s="40">
        <f t="shared" si="90"/>
        <v>0.14640507133422351</v>
      </c>
      <c r="O999" s="40">
        <f t="shared" si="91"/>
        <v>-2.8064184184268638E-2</v>
      </c>
      <c r="P999" s="40">
        <f t="shared" si="92"/>
        <v>-2.7674043149981176E-2</v>
      </c>
      <c r="Q999" s="40"/>
      <c r="R999" s="40"/>
      <c r="S999" s="47">
        <v>44532</v>
      </c>
      <c r="T999">
        <v>0.03</v>
      </c>
      <c r="U999" s="40">
        <f t="shared" si="93"/>
        <v>-0.51082562376599072</v>
      </c>
      <c r="V999" s="40">
        <f t="shared" si="94"/>
        <v>0.03</v>
      </c>
      <c r="W999" s="40">
        <f t="shared" si="95"/>
        <v>-0.51082562376599072</v>
      </c>
    </row>
    <row r="1000" spans="1:23" x14ac:dyDescent="0.2">
      <c r="A1000" s="40" t="s">
        <v>1352</v>
      </c>
      <c r="B1000" s="40">
        <v>14.34</v>
      </c>
      <c r="C1000" s="40">
        <v>14.64</v>
      </c>
      <c r="D1000" s="40">
        <v>12.47</v>
      </c>
      <c r="E1000" s="40">
        <v>12.7</v>
      </c>
      <c r="G1000" s="36">
        <v>44243</v>
      </c>
      <c r="H1000" s="40">
        <v>18.329999999999998</v>
      </c>
      <c r="I1000" s="40">
        <v>15.330249999999999</v>
      </c>
      <c r="J1000" s="44"/>
      <c r="K1000" s="40"/>
      <c r="L1000" s="45">
        <v>18.329999999999998</v>
      </c>
      <c r="M1000" s="46">
        <v>15.330249999999999</v>
      </c>
      <c r="N1000" s="40">
        <f t="shared" si="90"/>
        <v>-5.9822014906245481E-2</v>
      </c>
      <c r="O1000" s="40">
        <f t="shared" si="91"/>
        <v>2.4364475438327579E-2</v>
      </c>
      <c r="P1000" s="40">
        <f t="shared" si="92"/>
        <v>2.4663714596039756E-2</v>
      </c>
      <c r="Q1000" s="40"/>
      <c r="R1000" s="40"/>
      <c r="S1000" s="47">
        <v>44502</v>
      </c>
      <c r="T1000">
        <v>0.05</v>
      </c>
      <c r="U1000" s="40">
        <f t="shared" si="93"/>
        <v>0</v>
      </c>
      <c r="V1000" s="40">
        <f t="shared" si="94"/>
        <v>0.05</v>
      </c>
      <c r="W1000" s="40">
        <f t="shared" si="95"/>
        <v>0</v>
      </c>
    </row>
    <row r="1001" spans="1:23" x14ac:dyDescent="0.2">
      <c r="A1001" s="40" t="s">
        <v>1353</v>
      </c>
      <c r="B1001" s="40">
        <v>11.87</v>
      </c>
      <c r="C1001" s="40">
        <v>12.43</v>
      </c>
      <c r="D1001" s="40">
        <v>10.93</v>
      </c>
      <c r="E1001" s="40">
        <v>11.1</v>
      </c>
      <c r="G1001" s="36">
        <v>44239</v>
      </c>
      <c r="H1001" s="40">
        <v>19.46</v>
      </c>
      <c r="I1001" s="40">
        <v>14.96125</v>
      </c>
      <c r="J1001" s="44"/>
      <c r="K1001" s="40"/>
      <c r="L1001" s="45">
        <v>19.46</v>
      </c>
      <c r="M1001" s="46">
        <v>14.96125</v>
      </c>
      <c r="N1001" s="40">
        <f t="shared" si="90"/>
        <v>5.5467081512872454E-2</v>
      </c>
      <c r="O1001" s="40">
        <f t="shared" si="91"/>
        <v>-1.9165156966533661E-2</v>
      </c>
      <c r="P1001" s="40">
        <f t="shared" si="92"/>
        <v>-1.8982672983295923E-2</v>
      </c>
      <c r="Q1001" s="40"/>
      <c r="R1001" s="40"/>
      <c r="S1001" s="47">
        <v>44471</v>
      </c>
      <c r="T1001">
        <v>0.05</v>
      </c>
      <c r="U1001" s="40">
        <f t="shared" si="93"/>
        <v>0.22314355131420976</v>
      </c>
      <c r="V1001" s="40">
        <f t="shared" si="94"/>
        <v>0.05</v>
      </c>
      <c r="W1001" s="40">
        <f t="shared" si="95"/>
        <v>0.22314355131420976</v>
      </c>
    </row>
    <row r="1002" spans="1:23" x14ac:dyDescent="0.2">
      <c r="A1002" s="40" t="s">
        <v>1354</v>
      </c>
      <c r="B1002" s="40">
        <v>10.92</v>
      </c>
      <c r="C1002" s="40">
        <v>11.01</v>
      </c>
      <c r="D1002" s="40">
        <v>9.94</v>
      </c>
      <c r="E1002" s="40">
        <v>10.35</v>
      </c>
      <c r="G1002" s="36">
        <v>44238</v>
      </c>
      <c r="H1002" s="40">
        <v>18.41</v>
      </c>
      <c r="I1002" s="40">
        <v>15.25075</v>
      </c>
      <c r="J1002" s="44"/>
      <c r="K1002" s="40"/>
      <c r="L1002" s="45">
        <v>18.41</v>
      </c>
      <c r="M1002" s="46">
        <v>15.25075</v>
      </c>
      <c r="N1002" s="40">
        <f t="shared" si="90"/>
        <v>-4.8246833539385435E-2</v>
      </c>
      <c r="O1002" s="40">
        <f t="shared" si="91"/>
        <v>3.2419964067121568E-2</v>
      </c>
      <c r="P1002" s="40">
        <f t="shared" si="92"/>
        <v>3.2951216621230302E-2</v>
      </c>
      <c r="Q1002" s="40"/>
      <c r="R1002" s="40"/>
      <c r="S1002" s="47">
        <v>44441</v>
      </c>
      <c r="T1002">
        <v>0.04</v>
      </c>
      <c r="U1002" s="40">
        <f t="shared" si="93"/>
        <v>0</v>
      </c>
      <c r="V1002" s="40">
        <f t="shared" si="94"/>
        <v>0.04</v>
      </c>
      <c r="W1002" s="40">
        <f t="shared" si="95"/>
        <v>0</v>
      </c>
    </row>
    <row r="1003" spans="1:23" x14ac:dyDescent="0.2">
      <c r="A1003" s="40" t="s">
        <v>1355</v>
      </c>
      <c r="B1003" s="40">
        <v>11.45</v>
      </c>
      <c r="C1003" s="40">
        <v>12.54</v>
      </c>
      <c r="D1003" s="40">
        <v>11.12</v>
      </c>
      <c r="E1003" s="40">
        <v>12.09</v>
      </c>
      <c r="G1003" s="36">
        <v>44237</v>
      </c>
      <c r="H1003" s="40">
        <v>19.32</v>
      </c>
      <c r="I1003" s="40">
        <v>14.764250000000001</v>
      </c>
      <c r="J1003" s="44"/>
      <c r="K1003" s="40"/>
      <c r="L1003" s="45">
        <v>19.32</v>
      </c>
      <c r="M1003" s="46">
        <v>14.764250000000001</v>
      </c>
      <c r="N1003" s="40">
        <f t="shared" si="90"/>
        <v>0.24976283758948714</v>
      </c>
      <c r="O1003" s="40">
        <f t="shared" si="91"/>
        <v>3.4522418847869087E-2</v>
      </c>
      <c r="P1003" s="40">
        <f t="shared" si="92"/>
        <v>3.5125234431143057E-2</v>
      </c>
      <c r="Q1003" s="40"/>
      <c r="R1003" s="40"/>
      <c r="S1003" s="47">
        <v>44410</v>
      </c>
      <c r="T1003">
        <v>0.04</v>
      </c>
      <c r="U1003" s="40">
        <f t="shared" si="93"/>
        <v>0.69314718055994529</v>
      </c>
      <c r="V1003" s="40">
        <f t="shared" si="94"/>
        <v>0.04</v>
      </c>
      <c r="W1003" s="40">
        <f t="shared" si="95"/>
        <v>0.69314718055994529</v>
      </c>
    </row>
    <row r="1004" spans="1:23" x14ac:dyDescent="0.2">
      <c r="A1004" s="40" t="s">
        <v>1356</v>
      </c>
      <c r="B1004" s="40">
        <v>14.72</v>
      </c>
      <c r="C1004" s="40">
        <v>14.84</v>
      </c>
      <c r="D1004" s="40">
        <v>12.47</v>
      </c>
      <c r="E1004" s="40">
        <v>12.79</v>
      </c>
      <c r="G1004" s="36">
        <v>44236</v>
      </c>
      <c r="H1004" s="40">
        <v>15.05</v>
      </c>
      <c r="I1004" s="40">
        <v>14.263249999999999</v>
      </c>
      <c r="J1004" s="44"/>
      <c r="K1004" s="40"/>
      <c r="L1004" s="45">
        <v>15.05</v>
      </c>
      <c r="M1004" s="46">
        <v>14.263249999999999</v>
      </c>
      <c r="N1004" s="40">
        <f t="shared" si="90"/>
        <v>-0.12711550593261475</v>
      </c>
      <c r="O1004" s="40">
        <f t="shared" si="91"/>
        <v>-1.2229265363767002E-2</v>
      </c>
      <c r="P1004" s="40">
        <f t="shared" si="92"/>
        <v>-1.2154791792918453E-2</v>
      </c>
      <c r="Q1004" s="40"/>
      <c r="R1004" s="40"/>
      <c r="S1004" s="47">
        <v>44318</v>
      </c>
      <c r="T1004">
        <v>0.02</v>
      </c>
      <c r="U1004" s="40" t="e">
        <f t="shared" si="93"/>
        <v>#DIV/0!</v>
      </c>
      <c r="V1004" s="40">
        <f t="shared" si="94"/>
        <v>0.02</v>
      </c>
      <c r="W1004" s="40">
        <f t="shared" si="95"/>
        <v>2.9957322735539909</v>
      </c>
    </row>
    <row r="1005" spans="1:23" x14ac:dyDescent="0.2">
      <c r="A1005" s="40" t="s">
        <v>1357</v>
      </c>
      <c r="B1005" s="40">
        <v>13.98</v>
      </c>
      <c r="C1005" s="40">
        <v>14.28</v>
      </c>
      <c r="D1005" s="40">
        <v>13.18</v>
      </c>
      <c r="E1005" s="40">
        <v>13.86</v>
      </c>
      <c r="G1005" s="36">
        <v>44235</v>
      </c>
      <c r="H1005" s="40">
        <v>17.09</v>
      </c>
      <c r="I1005" s="40">
        <v>14.438750000000001</v>
      </c>
      <c r="J1005" s="44"/>
      <c r="K1005" s="40"/>
      <c r="L1005" s="45">
        <v>17.09</v>
      </c>
      <c r="M1005" s="46">
        <v>14.438750000000001</v>
      </c>
      <c r="N1005" s="40">
        <f t="shared" si="90"/>
        <v>-3.3940560081997848E-2</v>
      </c>
      <c r="O1005" s="40">
        <f t="shared" si="91"/>
        <v>6.050775564754287E-2</v>
      </c>
      <c r="P1005" s="40">
        <f t="shared" si="92"/>
        <v>6.2375836950923504E-2</v>
      </c>
      <c r="Q1005" s="40"/>
      <c r="R1005" s="40"/>
      <c r="U1005" s="40" t="e">
        <f t="shared" si="93"/>
        <v>#DIV/0!</v>
      </c>
      <c r="V1005" s="40">
        <f t="shared" si="94"/>
        <v>1E-3</v>
      </c>
      <c r="W1005" s="40">
        <f t="shared" si="95"/>
        <v>0</v>
      </c>
    </row>
    <row r="1006" spans="1:23" x14ac:dyDescent="0.2">
      <c r="A1006" s="40" t="s">
        <v>1358</v>
      </c>
      <c r="B1006" s="40">
        <v>13.65</v>
      </c>
      <c r="C1006" s="40">
        <v>20.12</v>
      </c>
      <c r="D1006" s="40">
        <v>13.62</v>
      </c>
      <c r="E1006" s="40">
        <v>18.95</v>
      </c>
      <c r="G1006" s="36">
        <v>44232</v>
      </c>
      <c r="H1006" s="40">
        <v>17.68</v>
      </c>
      <c r="I1006" s="40">
        <v>13.590999999999999</v>
      </c>
      <c r="J1006" s="44"/>
      <c r="K1006" s="40"/>
      <c r="L1006" s="45">
        <v>17.68</v>
      </c>
      <c r="M1006" s="46">
        <v>13.590999999999999</v>
      </c>
      <c r="N1006" s="40">
        <v>0</v>
      </c>
      <c r="O1006" s="40" t="e">
        <f t="shared" si="91"/>
        <v>#DIV/0!</v>
      </c>
      <c r="P1006" s="40" t="e">
        <f t="shared" si="92"/>
        <v>#DIV/0!</v>
      </c>
      <c r="Q1006" s="40"/>
      <c r="R1006" s="40"/>
      <c r="U1006" s="40" t="e">
        <f t="shared" si="93"/>
        <v>#DIV/0!</v>
      </c>
      <c r="V1006" s="40">
        <f t="shared" si="94"/>
        <v>1E-3</v>
      </c>
      <c r="W1006" s="40">
        <f t="shared" si="95"/>
        <v>0</v>
      </c>
    </row>
    <row r="1007" spans="1:23" x14ac:dyDescent="0.2">
      <c r="A1007" s="41">
        <v>42036</v>
      </c>
      <c r="B1007" s="40">
        <v>16.850000000000001</v>
      </c>
      <c r="C1007" s="40">
        <v>20.190000000000001</v>
      </c>
      <c r="D1007" s="40">
        <v>16.010000000000002</v>
      </c>
      <c r="E1007" s="40">
        <v>16.47</v>
      </c>
      <c r="G1007" s="40">
        <v>3</v>
      </c>
      <c r="H1007" s="40">
        <v>17.09</v>
      </c>
      <c r="K1007" s="40"/>
      <c r="L1007" s="46"/>
      <c r="M1007" s="46"/>
      <c r="N1007" s="40">
        <v>0</v>
      </c>
      <c r="O1007" s="40" t="e">
        <f t="shared" si="91"/>
        <v>#DIV/0!</v>
      </c>
      <c r="P1007" s="40" t="e">
        <f t="shared" si="92"/>
        <v>#DIV/0!</v>
      </c>
      <c r="Q1007" s="40"/>
      <c r="R1007" s="40"/>
      <c r="U1007" s="40" t="e">
        <f t="shared" si="93"/>
        <v>#DIV/0!</v>
      </c>
      <c r="V1007" s="40">
        <f t="shared" si="94"/>
        <v>1E-3</v>
      </c>
      <c r="W1007" s="40">
        <f t="shared" si="95"/>
        <v>0</v>
      </c>
    </row>
    <row r="1008" spans="1:23" x14ac:dyDescent="0.2">
      <c r="A1008" s="41">
        <v>42125</v>
      </c>
      <c r="B1008" s="40">
        <v>19.34</v>
      </c>
      <c r="C1008" s="40">
        <v>21.71</v>
      </c>
      <c r="D1008" s="40">
        <v>19.260000000000002</v>
      </c>
      <c r="E1008" s="40">
        <v>19.45</v>
      </c>
      <c r="G1008" s="40">
        <v>2</v>
      </c>
      <c r="H1008" s="40">
        <v>16.57</v>
      </c>
      <c r="K1008" s="40"/>
      <c r="L1008" s="46"/>
      <c r="M1008" s="46"/>
      <c r="N1008" s="40">
        <v>0</v>
      </c>
      <c r="O1008" s="40" t="e">
        <f t="shared" si="91"/>
        <v>#DIV/0!</v>
      </c>
      <c r="P1008" s="40" t="e">
        <f t="shared" si="92"/>
        <v>#DIV/0!</v>
      </c>
      <c r="Q1008" s="40"/>
      <c r="R1008" s="40"/>
      <c r="U1008" s="40" t="e">
        <f t="shared" si="93"/>
        <v>#DIV/0!</v>
      </c>
      <c r="V1008" s="40">
        <f t="shared" si="94"/>
        <v>1E-3</v>
      </c>
      <c r="W1008" s="40" t="e">
        <f t="shared" si="95"/>
        <v>#DIV/0!</v>
      </c>
    </row>
    <row r="1009" spans="1:18" x14ac:dyDescent="0.2">
      <c r="A1009" s="41">
        <v>42156</v>
      </c>
      <c r="B1009" s="40">
        <v>19.88</v>
      </c>
      <c r="C1009" s="40">
        <v>22.96</v>
      </c>
      <c r="D1009" s="40">
        <v>18.62</v>
      </c>
      <c r="E1009" s="40">
        <v>20.53</v>
      </c>
      <c r="G1009" s="40">
        <v>1</v>
      </c>
      <c r="H1009" s="40">
        <v>15.52</v>
      </c>
      <c r="K1009" s="40"/>
      <c r="L1009" s="46"/>
      <c r="M1009" s="46"/>
      <c r="P1009" s="40"/>
      <c r="Q1009" s="40"/>
      <c r="R1009" s="40"/>
    </row>
    <row r="1010" spans="1:18" x14ac:dyDescent="0.2">
      <c r="A1010" s="41">
        <v>42186</v>
      </c>
      <c r="B1010" s="40">
        <v>18.59</v>
      </c>
      <c r="C1010" s="40">
        <v>19.579999999999998</v>
      </c>
      <c r="D1010" s="40">
        <v>17.52</v>
      </c>
      <c r="E1010" s="40">
        <v>17.59</v>
      </c>
      <c r="K1010" s="40"/>
      <c r="P1010" s="40"/>
      <c r="Q1010" s="40"/>
      <c r="R1010" s="40"/>
    </row>
    <row r="1011" spans="1:18" x14ac:dyDescent="0.2">
      <c r="A1011" s="41">
        <v>42217</v>
      </c>
      <c r="B1011" s="40">
        <v>15.97</v>
      </c>
      <c r="C1011" s="40">
        <v>16.37</v>
      </c>
      <c r="D1011" s="40">
        <v>15.04</v>
      </c>
      <c r="E1011" s="40">
        <v>15.04</v>
      </c>
      <c r="K1011" s="40"/>
      <c r="P1011" s="40"/>
      <c r="Q1011" s="40"/>
      <c r="R1011" s="40"/>
    </row>
    <row r="1012" spans="1:18" x14ac:dyDescent="0.2">
      <c r="A1012" s="41">
        <v>42248</v>
      </c>
      <c r="B1012" s="40">
        <v>13.89</v>
      </c>
      <c r="C1012" s="40">
        <v>17.260000000000002</v>
      </c>
      <c r="D1012" s="40">
        <v>13.89</v>
      </c>
      <c r="E1012" s="40">
        <v>15.2</v>
      </c>
      <c r="K1012" s="40"/>
      <c r="P1012" s="40"/>
      <c r="Q1012" s="40"/>
      <c r="R1012" s="40"/>
    </row>
    <row r="1013" spans="1:18" x14ac:dyDescent="0.2">
      <c r="A1013" s="41">
        <v>42339</v>
      </c>
      <c r="B1013" s="40">
        <v>16.86</v>
      </c>
      <c r="C1013" s="40">
        <v>20.100000000000001</v>
      </c>
      <c r="D1013" s="40">
        <v>16.809999999999999</v>
      </c>
      <c r="E1013" s="40">
        <v>18.2</v>
      </c>
      <c r="K1013" s="40"/>
      <c r="P1013" s="40"/>
      <c r="Q1013" s="40"/>
      <c r="R1013" s="40"/>
    </row>
    <row r="1014" spans="1:18" x14ac:dyDescent="0.2">
      <c r="A1014" s="40" t="s">
        <v>1359</v>
      </c>
      <c r="B1014" s="40">
        <v>16.45</v>
      </c>
      <c r="C1014" s="40">
        <v>21.18</v>
      </c>
      <c r="D1014" s="40">
        <v>15.65</v>
      </c>
      <c r="E1014" s="40">
        <v>19.63</v>
      </c>
      <c r="K1014" s="40"/>
      <c r="P1014" s="40"/>
      <c r="Q1014" s="40"/>
      <c r="R1014" s="40"/>
    </row>
    <row r="1015" spans="1:18" x14ac:dyDescent="0.2">
      <c r="A1015" s="40" t="s">
        <v>1360</v>
      </c>
      <c r="B1015" s="40">
        <v>23.55</v>
      </c>
      <c r="C1015" s="40">
        <v>23.77</v>
      </c>
      <c r="D1015" s="40">
        <v>21.2</v>
      </c>
      <c r="E1015" s="40">
        <v>21.23</v>
      </c>
      <c r="K1015" s="40"/>
      <c r="P1015" s="40"/>
      <c r="Q1015" s="40"/>
      <c r="R1015" s="40"/>
    </row>
    <row r="1016" spans="1:18" x14ac:dyDescent="0.2">
      <c r="A1016" s="40" t="s">
        <v>1361</v>
      </c>
      <c r="B1016" s="40">
        <v>21.69</v>
      </c>
      <c r="C1016" s="40">
        <v>25.23</v>
      </c>
      <c r="D1016" s="40">
        <v>21.2</v>
      </c>
      <c r="E1016" s="40">
        <v>23.73</v>
      </c>
      <c r="K1016" s="40"/>
      <c r="P1016" s="40"/>
      <c r="Q1016" s="40"/>
      <c r="R1016" s="40"/>
    </row>
    <row r="1017" spans="1:18" x14ac:dyDescent="0.2">
      <c r="A1017" s="40" t="s">
        <v>1362</v>
      </c>
      <c r="B1017" s="40">
        <v>23.98</v>
      </c>
      <c r="C1017" s="40">
        <v>24.91</v>
      </c>
      <c r="D1017" s="40">
        <v>21.48</v>
      </c>
      <c r="E1017" s="40">
        <v>21.48</v>
      </c>
      <c r="K1017" s="40"/>
      <c r="P1017" s="40"/>
      <c r="Q1017" s="40"/>
      <c r="R1017" s="40"/>
    </row>
    <row r="1018" spans="1:18" x14ac:dyDescent="0.2">
      <c r="A1018" s="40" t="s">
        <v>1363</v>
      </c>
      <c r="B1018" s="40">
        <v>22.56</v>
      </c>
      <c r="C1018" s="40">
        <v>24.84</v>
      </c>
      <c r="D1018" s="40">
        <v>21.87</v>
      </c>
      <c r="E1018" s="40">
        <v>21.94</v>
      </c>
      <c r="K1018" s="40"/>
      <c r="P1018" s="40"/>
      <c r="Q1018" s="40"/>
      <c r="R1018" s="40"/>
    </row>
    <row r="1019" spans="1:18" x14ac:dyDescent="0.2">
      <c r="A1019" s="40" t="s">
        <v>1364</v>
      </c>
      <c r="B1019" s="40">
        <v>22.62</v>
      </c>
      <c r="C1019" s="40">
        <v>23.39</v>
      </c>
      <c r="D1019" s="40">
        <v>20.190000000000001</v>
      </c>
      <c r="E1019" s="40">
        <v>20.36</v>
      </c>
      <c r="K1019" s="40"/>
      <c r="P1019" s="40"/>
      <c r="Q1019" s="40"/>
      <c r="R1019" s="40"/>
    </row>
    <row r="1020" spans="1:18" x14ac:dyDescent="0.2">
      <c r="A1020" s="40" t="s">
        <v>1365</v>
      </c>
      <c r="B1020" s="40">
        <v>19</v>
      </c>
      <c r="C1020" s="40">
        <v>20.77</v>
      </c>
      <c r="D1020" s="40">
        <v>15.2</v>
      </c>
      <c r="E1020" s="40">
        <v>15.58</v>
      </c>
      <c r="K1020" s="40"/>
      <c r="P1020" s="40"/>
      <c r="Q1020" s="40"/>
      <c r="R1020" s="40"/>
    </row>
    <row r="1021" spans="1:18" x14ac:dyDescent="0.2">
      <c r="A1021" s="40" t="s">
        <v>1366</v>
      </c>
      <c r="B1021" s="40">
        <v>16.34</v>
      </c>
      <c r="C1021" s="40">
        <v>16.89</v>
      </c>
      <c r="D1021" s="40">
        <v>14.47</v>
      </c>
      <c r="E1021" s="40">
        <v>16.079999999999998</v>
      </c>
      <c r="K1021" s="40"/>
      <c r="P1021" s="40"/>
      <c r="Q1021" s="40"/>
      <c r="R1021" s="40"/>
    </row>
    <row r="1022" spans="1:18" x14ac:dyDescent="0.2">
      <c r="A1022" s="40" t="s">
        <v>1367</v>
      </c>
      <c r="B1022" s="40">
        <v>17.47</v>
      </c>
      <c r="C1022" s="40">
        <v>18.2</v>
      </c>
      <c r="D1022" s="40">
        <v>14.89</v>
      </c>
      <c r="E1022" s="40">
        <v>14.89</v>
      </c>
      <c r="K1022" s="40"/>
      <c r="P1022" s="40"/>
      <c r="Q1022" s="40"/>
      <c r="R1022" s="40"/>
    </row>
    <row r="1023" spans="1:18" x14ac:dyDescent="0.2">
      <c r="A1023" s="40" t="s">
        <v>1368</v>
      </c>
      <c r="B1023" s="40">
        <v>18.22</v>
      </c>
      <c r="C1023" s="40">
        <v>19.12</v>
      </c>
      <c r="D1023" s="40">
        <v>16.39</v>
      </c>
      <c r="E1023" s="40">
        <v>17.559999999999999</v>
      </c>
      <c r="K1023" s="40"/>
      <c r="P1023" s="40"/>
      <c r="Q1023" s="40"/>
      <c r="R1023" s="40"/>
    </row>
    <row r="1024" spans="1:18" x14ac:dyDescent="0.2">
      <c r="A1024" s="40" t="s">
        <v>1369</v>
      </c>
      <c r="B1024" s="40">
        <v>17.11</v>
      </c>
      <c r="C1024" s="40">
        <v>27.85</v>
      </c>
      <c r="D1024" s="40">
        <v>17</v>
      </c>
      <c r="E1024" s="40">
        <v>21.78</v>
      </c>
      <c r="K1024" s="40"/>
      <c r="P1024" s="40"/>
      <c r="Q1024" s="40"/>
      <c r="R1024" s="40"/>
    </row>
    <row r="1025" spans="1:18" x14ac:dyDescent="0.2">
      <c r="A1025" s="40" t="s">
        <v>1370</v>
      </c>
      <c r="B1025" s="40">
        <v>21.59</v>
      </c>
      <c r="C1025" s="40">
        <v>22.97</v>
      </c>
      <c r="D1025" s="40">
        <v>18.78</v>
      </c>
      <c r="E1025" s="40">
        <v>18.78</v>
      </c>
      <c r="K1025" s="40"/>
      <c r="P1025" s="40"/>
      <c r="Q1025" s="40"/>
      <c r="R1025" s="40"/>
    </row>
    <row r="1026" spans="1:18" x14ac:dyDescent="0.2">
      <c r="A1026" s="40" t="s">
        <v>1371</v>
      </c>
      <c r="B1026" s="40">
        <v>20.69</v>
      </c>
      <c r="C1026" s="40">
        <v>22.76</v>
      </c>
      <c r="D1026" s="40">
        <v>19.54</v>
      </c>
      <c r="E1026" s="40">
        <v>21.17</v>
      </c>
      <c r="K1026" s="40"/>
      <c r="P1026" s="40"/>
      <c r="Q1026" s="40"/>
      <c r="R1026" s="40"/>
    </row>
    <row r="1027" spans="1:18" x14ac:dyDescent="0.2">
      <c r="A1027" s="41">
        <v>42037</v>
      </c>
      <c r="B1027" s="40">
        <v>21.47</v>
      </c>
      <c r="C1027" s="40">
        <v>24.12</v>
      </c>
      <c r="D1027" s="40">
        <v>19.14</v>
      </c>
      <c r="E1027" s="40">
        <v>19.39</v>
      </c>
      <c r="K1027" s="40"/>
      <c r="P1027" s="40"/>
      <c r="Q1027" s="40"/>
      <c r="R1027" s="40"/>
    </row>
    <row r="1028" spans="1:18" x14ac:dyDescent="0.2">
      <c r="A1028" s="41">
        <v>42065</v>
      </c>
      <c r="B1028" s="40">
        <v>18.170000000000002</v>
      </c>
      <c r="C1028" s="40">
        <v>18.899999999999999</v>
      </c>
      <c r="D1028" s="40">
        <v>16.45</v>
      </c>
      <c r="E1028" s="40">
        <v>16.54</v>
      </c>
      <c r="K1028" s="40"/>
      <c r="P1028" s="40"/>
      <c r="Q1028" s="40"/>
      <c r="R1028" s="40"/>
    </row>
    <row r="1029" spans="1:18" x14ac:dyDescent="0.2">
      <c r="A1029" s="41">
        <v>42096</v>
      </c>
      <c r="B1029" s="40">
        <v>17.22</v>
      </c>
      <c r="C1029" s="40">
        <v>17.489999999999998</v>
      </c>
      <c r="D1029" s="40">
        <v>15.41</v>
      </c>
      <c r="E1029" s="40">
        <v>17.48</v>
      </c>
      <c r="K1029" s="40"/>
      <c r="P1029" s="40"/>
      <c r="Q1029" s="40"/>
      <c r="R1029" s="40"/>
    </row>
    <row r="1030" spans="1:18" x14ac:dyDescent="0.2">
      <c r="A1030" s="41">
        <v>42126</v>
      </c>
      <c r="B1030" s="40">
        <v>16.28</v>
      </c>
      <c r="C1030" s="40">
        <v>16.48</v>
      </c>
      <c r="D1030" s="40">
        <v>15.31</v>
      </c>
      <c r="E1030" s="40">
        <v>15.31</v>
      </c>
      <c r="K1030" s="40"/>
      <c r="P1030" s="40"/>
      <c r="Q1030" s="40"/>
      <c r="R1030" s="40"/>
    </row>
    <row r="1031" spans="1:18" x14ac:dyDescent="0.2">
      <c r="A1031" s="41">
        <v>42157</v>
      </c>
      <c r="B1031" s="40">
        <v>14.69</v>
      </c>
      <c r="C1031" s="40">
        <v>16.97</v>
      </c>
      <c r="D1031" s="40">
        <v>13.79</v>
      </c>
      <c r="E1031" s="40">
        <v>14.93</v>
      </c>
      <c r="K1031" s="40"/>
      <c r="P1031" s="40"/>
      <c r="Q1031" s="40"/>
      <c r="R1031" s="40"/>
    </row>
    <row r="1032" spans="1:18" x14ac:dyDescent="0.2">
      <c r="A1032" s="41">
        <v>42249</v>
      </c>
      <c r="B1032" s="40">
        <v>18.13</v>
      </c>
      <c r="C1032" s="40">
        <v>18.14</v>
      </c>
      <c r="D1032" s="40">
        <v>16.37</v>
      </c>
      <c r="E1032" s="40">
        <v>16.88</v>
      </c>
      <c r="K1032" s="40"/>
      <c r="P1032" s="40"/>
      <c r="Q1032" s="40"/>
      <c r="R1032" s="40"/>
    </row>
    <row r="1033" spans="1:18" x14ac:dyDescent="0.2">
      <c r="A1033" s="41">
        <v>42279</v>
      </c>
      <c r="B1033" s="40">
        <v>15.62</v>
      </c>
      <c r="C1033" s="40">
        <v>16.54</v>
      </c>
      <c r="D1033" s="40">
        <v>14.66</v>
      </c>
      <c r="E1033" s="40">
        <v>15.2</v>
      </c>
      <c r="K1033" s="40"/>
      <c r="P1033" s="40"/>
      <c r="Q1033" s="40"/>
      <c r="R1033" s="40"/>
    </row>
    <row r="1034" spans="1:18" x14ac:dyDescent="0.2">
      <c r="A1034" s="41">
        <v>42310</v>
      </c>
      <c r="B1034" s="40">
        <v>15.19</v>
      </c>
      <c r="C1034" s="40">
        <v>15.87</v>
      </c>
      <c r="D1034" s="40">
        <v>14.28</v>
      </c>
      <c r="E1034" s="40">
        <v>14.28</v>
      </c>
      <c r="K1034" s="40"/>
      <c r="P1034" s="40"/>
      <c r="Q1034" s="40"/>
      <c r="R1034" s="40"/>
    </row>
    <row r="1035" spans="1:18" x14ac:dyDescent="0.2">
      <c r="A1035" s="41">
        <v>42340</v>
      </c>
      <c r="B1035" s="40">
        <v>13.36</v>
      </c>
      <c r="C1035" s="40">
        <v>13.93</v>
      </c>
      <c r="D1035" s="40">
        <v>12.36</v>
      </c>
      <c r="E1035" s="40">
        <v>12.36</v>
      </c>
      <c r="K1035" s="40"/>
      <c r="P1035" s="40"/>
      <c r="Q1035" s="40"/>
      <c r="R1035" s="40"/>
    </row>
    <row r="1036" spans="1:18" x14ac:dyDescent="0.2">
      <c r="A1036" s="40" t="s">
        <v>1372</v>
      </c>
      <c r="B1036" s="40">
        <v>12.61</v>
      </c>
      <c r="C1036" s="40">
        <v>12.8</v>
      </c>
      <c r="D1036" s="40">
        <v>11.76</v>
      </c>
      <c r="E1036" s="40">
        <v>11.76</v>
      </c>
      <c r="K1036" s="40"/>
      <c r="P1036" s="40"/>
      <c r="Q1036" s="40"/>
      <c r="R1036" s="40"/>
    </row>
    <row r="1037" spans="1:18" x14ac:dyDescent="0.2">
      <c r="A1037" s="40" t="s">
        <v>1373</v>
      </c>
      <c r="B1037" s="40">
        <v>14.11</v>
      </c>
      <c r="C1037" s="40">
        <v>14.86</v>
      </c>
      <c r="D1037" s="40">
        <v>12.95</v>
      </c>
      <c r="E1037" s="40">
        <v>13.55</v>
      </c>
      <c r="K1037" s="40"/>
      <c r="P1037" s="40"/>
      <c r="Q1037" s="40"/>
      <c r="R1037" s="40"/>
    </row>
    <row r="1038" spans="1:18" x14ac:dyDescent="0.2">
      <c r="A1038" s="40" t="s">
        <v>1374</v>
      </c>
      <c r="B1038" s="40">
        <v>14.18</v>
      </c>
      <c r="C1038" s="40">
        <v>14.25</v>
      </c>
      <c r="D1038" s="40">
        <v>12.39</v>
      </c>
      <c r="E1038" s="40">
        <v>12.4</v>
      </c>
      <c r="K1038" s="40"/>
      <c r="P1038" s="40"/>
      <c r="Q1038" s="40"/>
      <c r="R1038" s="40"/>
    </row>
    <row r="1039" spans="1:18" x14ac:dyDescent="0.2">
      <c r="A1039" s="40" t="s">
        <v>1375</v>
      </c>
      <c r="B1039" s="40">
        <v>13.18</v>
      </c>
      <c r="C1039" s="40">
        <v>13.47</v>
      </c>
      <c r="D1039" s="40">
        <v>12.2</v>
      </c>
      <c r="E1039" s="40">
        <v>12.34</v>
      </c>
      <c r="K1039" s="40"/>
      <c r="P1039" s="40"/>
      <c r="Q1039" s="40"/>
      <c r="R1039" s="40"/>
    </row>
    <row r="1040" spans="1:18" x14ac:dyDescent="0.2">
      <c r="A1040" s="40" t="s">
        <v>1376</v>
      </c>
      <c r="B1040" s="40">
        <v>13.01</v>
      </c>
      <c r="C1040" s="40">
        <v>13.66</v>
      </c>
      <c r="D1040" s="40">
        <v>11.74</v>
      </c>
      <c r="E1040" s="40">
        <v>11.74</v>
      </c>
      <c r="K1040" s="40"/>
      <c r="P1040" s="40"/>
      <c r="Q1040" s="40"/>
      <c r="R1040" s="40"/>
    </row>
    <row r="1041" spans="1:18" x14ac:dyDescent="0.2">
      <c r="A1041" s="40" t="s">
        <v>1377</v>
      </c>
      <c r="B1041" s="40">
        <v>13.43</v>
      </c>
      <c r="C1041" s="40">
        <v>13.68</v>
      </c>
      <c r="D1041" s="40">
        <v>12.15</v>
      </c>
      <c r="E1041" s="40">
        <v>12.16</v>
      </c>
      <c r="K1041" s="40"/>
      <c r="P1041" s="40"/>
      <c r="Q1041" s="40"/>
      <c r="R1041" s="40"/>
    </row>
    <row r="1042" spans="1:18" x14ac:dyDescent="0.2">
      <c r="A1042" s="40" t="s">
        <v>1378</v>
      </c>
      <c r="B1042" s="40">
        <v>12.2</v>
      </c>
      <c r="C1042" s="40">
        <v>12.54</v>
      </c>
      <c r="D1042" s="40">
        <v>10.6</v>
      </c>
      <c r="E1042" s="40">
        <v>10.94</v>
      </c>
      <c r="K1042" s="40"/>
      <c r="P1042" s="40"/>
      <c r="Q1042" s="40"/>
      <c r="R1042" s="40"/>
    </row>
    <row r="1043" spans="1:18" x14ac:dyDescent="0.2">
      <c r="A1043" s="40" t="s">
        <v>1379</v>
      </c>
      <c r="B1043" s="40">
        <v>11.1</v>
      </c>
      <c r="C1043" s="40">
        <v>12.18</v>
      </c>
      <c r="D1043" s="40">
        <v>10.44</v>
      </c>
      <c r="E1043" s="40">
        <v>11.64</v>
      </c>
      <c r="K1043" s="40"/>
      <c r="P1043" s="40"/>
      <c r="Q1043" s="40"/>
      <c r="R1043" s="40"/>
    </row>
    <row r="1044" spans="1:18" x14ac:dyDescent="0.2">
      <c r="A1044" s="40" t="s">
        <v>1380</v>
      </c>
      <c r="B1044" s="40">
        <v>11.56</v>
      </c>
      <c r="C1044" s="40">
        <v>12.37</v>
      </c>
      <c r="D1044" s="40">
        <v>11.18</v>
      </c>
      <c r="E1044" s="40">
        <v>11.38</v>
      </c>
      <c r="K1044" s="40"/>
      <c r="P1044" s="40"/>
      <c r="Q1044" s="40"/>
      <c r="R1044" s="40"/>
    </row>
    <row r="1045" spans="1:18" x14ac:dyDescent="0.2">
      <c r="A1045" s="40" t="s">
        <v>1381</v>
      </c>
      <c r="B1045" s="40">
        <v>11.67</v>
      </c>
      <c r="C1045" s="40">
        <v>11.88</v>
      </c>
      <c r="D1045" s="40">
        <v>10.6</v>
      </c>
      <c r="E1045" s="40">
        <v>10.6</v>
      </c>
      <c r="K1045" s="40"/>
      <c r="P1045" s="40"/>
      <c r="Q1045" s="40"/>
      <c r="R1045" s="40"/>
    </row>
    <row r="1046" spans="1:18" x14ac:dyDescent="0.2">
      <c r="A1046" s="41">
        <v>42038</v>
      </c>
      <c r="B1046" s="40">
        <v>11.86</v>
      </c>
      <c r="C1046" s="40">
        <v>11.9</v>
      </c>
      <c r="D1046" s="40">
        <v>10.71</v>
      </c>
      <c r="E1046" s="40">
        <v>10.85</v>
      </c>
      <c r="K1046" s="40"/>
      <c r="P1046" s="40"/>
      <c r="Q1046" s="40"/>
      <c r="R1046" s="40"/>
    </row>
    <row r="1047" spans="1:18" x14ac:dyDescent="0.2">
      <c r="A1047" s="41">
        <v>42066</v>
      </c>
      <c r="B1047" s="40">
        <v>11.35</v>
      </c>
      <c r="C1047" s="40">
        <v>12.99</v>
      </c>
      <c r="D1047" s="40">
        <v>11.21</v>
      </c>
      <c r="E1047" s="40">
        <v>11.81</v>
      </c>
      <c r="K1047" s="40"/>
      <c r="P1047" s="40"/>
      <c r="Q1047" s="40"/>
      <c r="R1047" s="40"/>
    </row>
    <row r="1048" spans="1:18" x14ac:dyDescent="0.2">
      <c r="A1048" s="41">
        <v>42097</v>
      </c>
      <c r="B1048" s="40">
        <v>12.54</v>
      </c>
      <c r="C1048" s="40">
        <v>14.02</v>
      </c>
      <c r="D1048" s="40">
        <v>12.12</v>
      </c>
      <c r="E1048" s="40">
        <v>12.28</v>
      </c>
      <c r="K1048" s="40"/>
      <c r="P1048" s="40"/>
      <c r="Q1048" s="40"/>
      <c r="R1048" s="40"/>
    </row>
    <row r="1049" spans="1:18" x14ac:dyDescent="0.2">
      <c r="A1049" s="41">
        <v>42127</v>
      </c>
      <c r="B1049" s="40">
        <v>12.24</v>
      </c>
      <c r="C1049" s="40">
        <v>12.87</v>
      </c>
      <c r="D1049" s="40">
        <v>11.97</v>
      </c>
      <c r="E1049" s="40">
        <v>12.16</v>
      </c>
      <c r="K1049" s="40"/>
      <c r="P1049" s="40"/>
      <c r="Q1049" s="40"/>
      <c r="R1049" s="40"/>
    </row>
    <row r="1050" spans="1:18" x14ac:dyDescent="0.2">
      <c r="A1050" s="41">
        <v>42158</v>
      </c>
      <c r="B1050" s="40">
        <v>13.16</v>
      </c>
      <c r="C1050" s="40">
        <v>15.16</v>
      </c>
      <c r="D1050" s="40">
        <v>12.64</v>
      </c>
      <c r="E1050" s="40">
        <v>14.31</v>
      </c>
      <c r="K1050" s="40"/>
      <c r="P1050" s="40"/>
      <c r="Q1050" s="40"/>
      <c r="R1050" s="40"/>
    </row>
    <row r="1051" spans="1:18" x14ac:dyDescent="0.2">
      <c r="A1051" s="41">
        <v>42250</v>
      </c>
      <c r="B1051" s="40">
        <v>15.64</v>
      </c>
      <c r="C1051" s="40">
        <v>15.64</v>
      </c>
      <c r="D1051" s="40">
        <v>13.95</v>
      </c>
      <c r="E1051" s="40">
        <v>14.2</v>
      </c>
      <c r="K1051" s="40"/>
      <c r="P1051" s="40"/>
      <c r="Q1051" s="40"/>
      <c r="R1051" s="40"/>
    </row>
    <row r="1052" spans="1:18" x14ac:dyDescent="0.2">
      <c r="A1052" s="41">
        <v>42280</v>
      </c>
      <c r="B1052" s="40">
        <v>16.34</v>
      </c>
      <c r="C1052" s="40">
        <v>16.95</v>
      </c>
      <c r="D1052" s="40">
        <v>15.62</v>
      </c>
      <c r="E1052" s="40">
        <v>16.72</v>
      </c>
      <c r="K1052" s="40"/>
      <c r="P1052" s="40"/>
      <c r="Q1052" s="40"/>
      <c r="R1052" s="40"/>
    </row>
    <row r="1053" spans="1:18" x14ac:dyDescent="0.2">
      <c r="A1053" s="41">
        <v>42311</v>
      </c>
      <c r="B1053" s="40">
        <v>16.39</v>
      </c>
      <c r="C1053" s="40">
        <v>17.13</v>
      </c>
      <c r="D1053" s="40">
        <v>16.12</v>
      </c>
      <c r="E1053" s="40">
        <v>16.78</v>
      </c>
      <c r="K1053" s="40"/>
      <c r="P1053" s="40"/>
      <c r="Q1053" s="40"/>
      <c r="R1053" s="40"/>
    </row>
    <row r="1054" spans="1:18" x14ac:dyDescent="0.2">
      <c r="A1054" s="41">
        <v>42341</v>
      </c>
      <c r="B1054" s="40">
        <v>16.28</v>
      </c>
      <c r="C1054" s="40">
        <v>16.28</v>
      </c>
      <c r="D1054" s="40">
        <v>14.95</v>
      </c>
      <c r="E1054" s="40">
        <v>15.04</v>
      </c>
      <c r="K1054" s="40"/>
      <c r="P1054" s="40"/>
      <c r="Q1054" s="40"/>
      <c r="R1054" s="40"/>
    </row>
    <row r="1055" spans="1:18" x14ac:dyDescent="0.2">
      <c r="A1055" s="40" t="s">
        <v>1382</v>
      </c>
      <c r="B1055" s="40">
        <v>14.93</v>
      </c>
      <c r="C1055" s="40">
        <v>16.899999999999999</v>
      </c>
      <c r="D1055" s="40">
        <v>14.92</v>
      </c>
      <c r="E1055" s="40">
        <v>15.25</v>
      </c>
      <c r="K1055" s="40"/>
      <c r="P1055" s="40"/>
      <c r="Q1055" s="40"/>
      <c r="R1055" s="40"/>
    </row>
    <row r="1056" spans="1:18" x14ac:dyDescent="0.2">
      <c r="A1056" s="40" t="s">
        <v>1383</v>
      </c>
      <c r="B1056" s="40">
        <v>15.78</v>
      </c>
      <c r="C1056" s="40">
        <v>16.3</v>
      </c>
      <c r="D1056" s="40">
        <v>15.53</v>
      </c>
      <c r="E1056" s="40">
        <v>16.149999999999999</v>
      </c>
      <c r="K1056" s="40"/>
      <c r="P1056" s="40"/>
      <c r="Q1056" s="40"/>
      <c r="R1056" s="40"/>
    </row>
    <row r="1057" spans="1:18" x14ac:dyDescent="0.2">
      <c r="A1057" s="40" t="s">
        <v>1384</v>
      </c>
      <c r="B1057" s="40">
        <v>16.95</v>
      </c>
      <c r="C1057" s="40">
        <v>17.48</v>
      </c>
      <c r="D1057" s="40">
        <v>16.22</v>
      </c>
      <c r="E1057" s="40">
        <v>16.72</v>
      </c>
      <c r="K1057" s="40"/>
      <c r="P1057" s="40"/>
      <c r="Q1057" s="40"/>
      <c r="R1057" s="40"/>
    </row>
    <row r="1058" spans="1:18" x14ac:dyDescent="0.2">
      <c r="A1058" s="40" t="s">
        <v>1385</v>
      </c>
      <c r="B1058" s="40">
        <v>17.739999999999998</v>
      </c>
      <c r="C1058" s="40">
        <v>18.399999999999999</v>
      </c>
      <c r="D1058" s="40">
        <v>13.36</v>
      </c>
      <c r="E1058" s="40">
        <v>13.85</v>
      </c>
      <c r="K1058" s="40"/>
      <c r="P1058" s="40"/>
      <c r="Q1058" s="40"/>
      <c r="R1058" s="40"/>
    </row>
    <row r="1059" spans="1:18" x14ac:dyDescent="0.2">
      <c r="A1059" s="40" t="s">
        <v>1386</v>
      </c>
      <c r="B1059" s="40">
        <v>14.16</v>
      </c>
      <c r="C1059" s="40">
        <v>14.58</v>
      </c>
      <c r="D1059" s="40">
        <v>12.66</v>
      </c>
      <c r="E1059" s="40">
        <v>12.89</v>
      </c>
      <c r="K1059" s="40"/>
      <c r="P1059" s="40"/>
      <c r="Q1059" s="40"/>
      <c r="R1059" s="40"/>
    </row>
    <row r="1060" spans="1:18" x14ac:dyDescent="0.2">
      <c r="A1060" s="40" t="s">
        <v>1387</v>
      </c>
      <c r="B1060" s="40">
        <v>12.2</v>
      </c>
      <c r="C1060" s="40">
        <v>12.21</v>
      </c>
      <c r="D1060" s="40">
        <v>10.55</v>
      </c>
      <c r="E1060" s="40">
        <v>10.73</v>
      </c>
      <c r="K1060" s="40"/>
      <c r="P1060" s="40"/>
      <c r="Q1060" s="40"/>
      <c r="R1060" s="40"/>
    </row>
    <row r="1061" spans="1:18" x14ac:dyDescent="0.2">
      <c r="A1061" s="40" t="s">
        <v>1388</v>
      </c>
      <c r="B1061" s="40">
        <v>12</v>
      </c>
      <c r="C1061" s="40">
        <v>12.03</v>
      </c>
      <c r="D1061" s="40">
        <v>11.33</v>
      </c>
      <c r="E1061" s="40">
        <v>12.03</v>
      </c>
      <c r="K1061" s="40"/>
      <c r="P1061" s="40"/>
      <c r="Q1061" s="40"/>
      <c r="R1061" s="40"/>
    </row>
    <row r="1062" spans="1:18" x14ac:dyDescent="0.2">
      <c r="A1062" s="40" t="s">
        <v>1389</v>
      </c>
      <c r="B1062" s="40">
        <v>11.99</v>
      </c>
      <c r="C1062" s="40">
        <v>12.37</v>
      </c>
      <c r="D1062" s="40">
        <v>10.67</v>
      </c>
      <c r="E1062" s="40">
        <v>12.24</v>
      </c>
      <c r="K1062" s="40"/>
      <c r="P1062" s="40"/>
      <c r="Q1062" s="40"/>
      <c r="R1062" s="40"/>
    </row>
    <row r="1063" spans="1:18" x14ac:dyDescent="0.2">
      <c r="A1063" s="40" t="s">
        <v>1390</v>
      </c>
      <c r="B1063" s="40">
        <v>12.13</v>
      </c>
      <c r="C1063" s="40">
        <v>15.43</v>
      </c>
      <c r="D1063" s="40">
        <v>12.05</v>
      </c>
      <c r="E1063" s="40">
        <v>15.28</v>
      </c>
      <c r="K1063" s="40"/>
      <c r="P1063" s="40"/>
      <c r="Q1063" s="40"/>
      <c r="R1063" s="40"/>
    </row>
    <row r="1064" spans="1:18" x14ac:dyDescent="0.2">
      <c r="A1064" s="40" t="s">
        <v>1391</v>
      </c>
      <c r="B1064" s="40">
        <v>17.04</v>
      </c>
      <c r="C1064" s="40">
        <v>18.010000000000002</v>
      </c>
      <c r="D1064" s="40">
        <v>15.43</v>
      </c>
      <c r="E1064" s="40">
        <v>15.92</v>
      </c>
      <c r="K1064" s="40"/>
      <c r="P1064" s="40"/>
      <c r="Q1064" s="40"/>
      <c r="R1064" s="40"/>
    </row>
    <row r="1065" spans="1:18" x14ac:dyDescent="0.2">
      <c r="A1065" s="40" t="s">
        <v>1392</v>
      </c>
      <c r="B1065" s="40">
        <v>15.89</v>
      </c>
      <c r="C1065" s="40">
        <v>16.04</v>
      </c>
      <c r="D1065" s="40">
        <v>14.64</v>
      </c>
      <c r="E1065" s="40">
        <v>14.69</v>
      </c>
      <c r="K1065" s="40"/>
      <c r="P1065" s="40"/>
      <c r="Q1065" s="40"/>
      <c r="R1065" s="40"/>
    </row>
    <row r="1066" spans="1:18" x14ac:dyDescent="0.2">
      <c r="A1066" s="40" t="s">
        <v>1393</v>
      </c>
      <c r="B1066" s="40">
        <v>14.98</v>
      </c>
      <c r="C1066" s="40">
        <v>14.98</v>
      </c>
      <c r="D1066" s="40">
        <v>14.01</v>
      </c>
      <c r="E1066" s="40">
        <v>14.31</v>
      </c>
      <c r="K1066" s="40"/>
      <c r="P1066" s="40"/>
      <c r="Q1066" s="40"/>
      <c r="R1066" s="40"/>
    </row>
    <row r="1067" spans="1:18" x14ac:dyDescent="0.2">
      <c r="A1067" s="40" t="s">
        <v>1394</v>
      </c>
      <c r="B1067" s="40">
        <v>15.31</v>
      </c>
      <c r="C1067" s="40">
        <v>15.89</v>
      </c>
      <c r="D1067" s="40">
        <v>13.51</v>
      </c>
      <c r="E1067" s="40">
        <v>15.5</v>
      </c>
      <c r="K1067" s="40"/>
      <c r="P1067" s="40"/>
      <c r="Q1067" s="40"/>
      <c r="R1067" s="40"/>
    </row>
    <row r="1068" spans="1:18" x14ac:dyDescent="0.2">
      <c r="A1068" s="41">
        <v>42008</v>
      </c>
      <c r="B1068" s="40">
        <v>15.22</v>
      </c>
      <c r="C1068" s="40">
        <v>17.260000000000002</v>
      </c>
      <c r="D1068" s="40">
        <v>14.18</v>
      </c>
      <c r="E1068" s="40">
        <v>14.29</v>
      </c>
      <c r="K1068" s="40"/>
      <c r="P1068" s="40"/>
      <c r="Q1068" s="40"/>
      <c r="R1068" s="40"/>
    </row>
    <row r="1069" spans="1:18" x14ac:dyDescent="0.2">
      <c r="A1069" s="41">
        <v>42039</v>
      </c>
      <c r="B1069" s="40">
        <v>14.54</v>
      </c>
      <c r="C1069" s="40">
        <v>14.75</v>
      </c>
      <c r="D1069" s="40">
        <v>13.11</v>
      </c>
      <c r="E1069" s="40">
        <v>13.91</v>
      </c>
      <c r="K1069" s="40"/>
      <c r="P1069" s="40"/>
      <c r="Q1069" s="40"/>
      <c r="R1069" s="40"/>
    </row>
    <row r="1070" spans="1:18" x14ac:dyDescent="0.2">
      <c r="A1070" s="41">
        <v>42159</v>
      </c>
      <c r="B1070" s="40">
        <v>15.99</v>
      </c>
      <c r="C1070" s="40">
        <v>16.059999999999999</v>
      </c>
      <c r="D1070" s="40">
        <v>13.68</v>
      </c>
      <c r="E1070" s="40">
        <v>14.16</v>
      </c>
      <c r="K1070" s="40"/>
      <c r="P1070" s="40"/>
      <c r="Q1070" s="40"/>
      <c r="R1070" s="40"/>
    </row>
    <row r="1071" spans="1:18" x14ac:dyDescent="0.2">
      <c r="A1071" s="41">
        <v>42189</v>
      </c>
      <c r="B1071" s="40">
        <v>13.88</v>
      </c>
      <c r="C1071" s="40">
        <v>14.05</v>
      </c>
      <c r="D1071" s="40">
        <v>12.96</v>
      </c>
      <c r="E1071" s="40">
        <v>13.9</v>
      </c>
      <c r="K1071" s="40"/>
      <c r="P1071" s="40"/>
      <c r="Q1071" s="40"/>
      <c r="R1071" s="40"/>
    </row>
    <row r="1072" spans="1:18" x14ac:dyDescent="0.2">
      <c r="A1072" s="41">
        <v>42220</v>
      </c>
      <c r="B1072" s="40">
        <v>13.81</v>
      </c>
      <c r="C1072" s="40">
        <v>14.02</v>
      </c>
      <c r="D1072" s="40">
        <v>12.8</v>
      </c>
      <c r="E1072" s="40">
        <v>12.8</v>
      </c>
      <c r="K1072" s="40"/>
      <c r="P1072" s="40"/>
      <c r="Q1072" s="40"/>
      <c r="R1072" s="40"/>
    </row>
    <row r="1073" spans="1:18" x14ac:dyDescent="0.2">
      <c r="A1073" s="41">
        <v>42251</v>
      </c>
      <c r="B1073" s="40">
        <v>13.04</v>
      </c>
      <c r="C1073" s="40">
        <v>13.56</v>
      </c>
      <c r="D1073" s="40">
        <v>11.41</v>
      </c>
      <c r="E1073" s="40">
        <v>11.41</v>
      </c>
      <c r="K1073" s="40"/>
      <c r="P1073" s="40"/>
      <c r="Q1073" s="40"/>
      <c r="R1073" s="40"/>
    </row>
    <row r="1074" spans="1:18" x14ac:dyDescent="0.2">
      <c r="A1074" s="41">
        <v>42281</v>
      </c>
      <c r="B1074" s="40">
        <v>11.5</v>
      </c>
      <c r="C1074" s="40">
        <v>11.56</v>
      </c>
      <c r="D1074" s="40">
        <v>9.91</v>
      </c>
      <c r="E1074" s="40">
        <v>9.91</v>
      </c>
      <c r="K1074" s="40"/>
      <c r="P1074" s="40"/>
      <c r="Q1074" s="40"/>
      <c r="R1074" s="40"/>
    </row>
    <row r="1075" spans="1:18" x14ac:dyDescent="0.2">
      <c r="A1075" s="40" t="s">
        <v>1395</v>
      </c>
      <c r="B1075" s="40">
        <v>11.28</v>
      </c>
      <c r="C1075" s="40">
        <v>12.79</v>
      </c>
      <c r="D1075" s="40">
        <v>10.95</v>
      </c>
      <c r="E1075" s="40">
        <v>12.49</v>
      </c>
      <c r="K1075" s="40"/>
      <c r="P1075" s="40"/>
      <c r="Q1075" s="40"/>
      <c r="R1075" s="40"/>
    </row>
    <row r="1076" spans="1:18" x14ac:dyDescent="0.2">
      <c r="A1076" s="40" t="s">
        <v>1396</v>
      </c>
      <c r="B1076" s="40">
        <v>12.6</v>
      </c>
      <c r="C1076" s="40">
        <v>13.44</v>
      </c>
      <c r="D1076" s="40">
        <v>11.64</v>
      </c>
      <c r="E1076" s="40">
        <v>11.72</v>
      </c>
      <c r="K1076" s="40"/>
      <c r="P1076" s="40"/>
      <c r="Q1076" s="40"/>
      <c r="R1076" s="40"/>
    </row>
    <row r="1077" spans="1:18" x14ac:dyDescent="0.2">
      <c r="A1077" s="40" t="s">
        <v>1397</v>
      </c>
      <c r="B1077" s="40">
        <v>11.56</v>
      </c>
      <c r="C1077" s="40">
        <v>11.59</v>
      </c>
      <c r="D1077" s="40">
        <v>10.51</v>
      </c>
      <c r="E1077" s="40">
        <v>10.59</v>
      </c>
      <c r="K1077" s="40"/>
      <c r="P1077" s="40"/>
      <c r="Q1077" s="40"/>
      <c r="R1077" s="40"/>
    </row>
    <row r="1078" spans="1:18" x14ac:dyDescent="0.2">
      <c r="A1078" s="40" t="s">
        <v>1398</v>
      </c>
      <c r="B1078" s="40">
        <v>11.21</v>
      </c>
      <c r="C1078" s="40">
        <v>11.65</v>
      </c>
      <c r="D1078" s="40">
        <v>10.45</v>
      </c>
      <c r="E1078" s="40">
        <v>10.74</v>
      </c>
      <c r="K1078" s="40"/>
      <c r="P1078" s="40"/>
      <c r="Q1078" s="40"/>
      <c r="R1078" s="40"/>
    </row>
    <row r="1079" spans="1:18" x14ac:dyDescent="0.2">
      <c r="A1079" s="40" t="s">
        <v>1399</v>
      </c>
      <c r="B1079" s="40">
        <v>12.6</v>
      </c>
      <c r="C1079" s="40">
        <v>14.44</v>
      </c>
      <c r="D1079" s="40">
        <v>12.21</v>
      </c>
      <c r="E1079" s="40">
        <v>12.91</v>
      </c>
      <c r="K1079" s="40"/>
      <c r="P1079" s="40"/>
      <c r="Q1079" s="40"/>
      <c r="R1079" s="40"/>
    </row>
    <row r="1080" spans="1:18" x14ac:dyDescent="0.2">
      <c r="A1080" s="40" t="s">
        <v>1400</v>
      </c>
      <c r="B1080" s="40">
        <v>13.2</v>
      </c>
      <c r="C1080" s="40">
        <v>13.2</v>
      </c>
      <c r="D1080" s="40">
        <v>11.83</v>
      </c>
      <c r="E1080" s="40">
        <v>12.62</v>
      </c>
      <c r="K1080" s="40"/>
      <c r="P1080" s="40"/>
      <c r="Q1080" s="40"/>
      <c r="R1080" s="40"/>
    </row>
    <row r="1081" spans="1:18" x14ac:dyDescent="0.2">
      <c r="A1081" s="40" t="s">
        <v>1401</v>
      </c>
      <c r="B1081" s="40">
        <v>11.99</v>
      </c>
      <c r="C1081" s="40">
        <v>12.96</v>
      </c>
      <c r="D1081" s="40">
        <v>11.9</v>
      </c>
      <c r="E1081" s="40">
        <v>12.58</v>
      </c>
      <c r="K1081" s="40"/>
      <c r="P1081" s="40"/>
      <c r="Q1081" s="40"/>
      <c r="R1081" s="40"/>
    </row>
    <row r="1082" spans="1:18" x14ac:dyDescent="0.2">
      <c r="A1082" s="40" t="s">
        <v>1402</v>
      </c>
      <c r="B1082" s="40">
        <v>12.3</v>
      </c>
      <c r="C1082" s="40">
        <v>13.5</v>
      </c>
      <c r="D1082" s="40">
        <v>11.8</v>
      </c>
      <c r="E1082" s="40">
        <v>11.83</v>
      </c>
      <c r="K1082" s="40"/>
      <c r="P1082" s="40"/>
      <c r="Q1082" s="40"/>
      <c r="R1082" s="40"/>
    </row>
    <row r="1083" spans="1:18" x14ac:dyDescent="0.2">
      <c r="A1083" s="40" t="s">
        <v>1403</v>
      </c>
      <c r="B1083" s="40">
        <v>12.49</v>
      </c>
      <c r="C1083" s="40">
        <v>12.49</v>
      </c>
      <c r="D1083" s="40">
        <v>11.28</v>
      </c>
      <c r="E1083" s="40">
        <v>11.84</v>
      </c>
      <c r="K1083" s="40"/>
      <c r="P1083" s="40"/>
      <c r="Q1083" s="40"/>
      <c r="R1083" s="40"/>
    </row>
    <row r="1084" spans="1:18" x14ac:dyDescent="0.2">
      <c r="A1084" s="40" t="s">
        <v>1404</v>
      </c>
      <c r="B1084" s="40">
        <v>11.52</v>
      </c>
      <c r="C1084" s="40">
        <v>12.11</v>
      </c>
      <c r="D1084" s="40">
        <v>10.83</v>
      </c>
      <c r="E1084" s="40">
        <v>10.86</v>
      </c>
      <c r="K1084" s="40"/>
      <c r="P1084" s="40"/>
      <c r="Q1084" s="40"/>
      <c r="R1084" s="40"/>
    </row>
    <row r="1085" spans="1:18" x14ac:dyDescent="0.2">
      <c r="A1085" s="40" t="s">
        <v>1405</v>
      </c>
      <c r="B1085" s="40">
        <v>11.75</v>
      </c>
      <c r="C1085" s="40">
        <v>13.07</v>
      </c>
      <c r="D1085" s="40">
        <v>11.75</v>
      </c>
      <c r="E1085" s="40">
        <v>12.72</v>
      </c>
      <c r="K1085" s="40"/>
      <c r="P1085" s="40"/>
      <c r="Q1085" s="40"/>
      <c r="R1085" s="40"/>
    </row>
    <row r="1086" spans="1:18" x14ac:dyDescent="0.2">
      <c r="A1086" s="40" t="s">
        <v>1406</v>
      </c>
      <c r="B1086" s="40">
        <v>12.9</v>
      </c>
      <c r="C1086" s="40">
        <v>14.19</v>
      </c>
      <c r="D1086" s="40">
        <v>11.81</v>
      </c>
      <c r="E1086" s="40">
        <v>11.87</v>
      </c>
      <c r="K1086" s="40"/>
      <c r="P1086" s="40"/>
      <c r="Q1086" s="40"/>
      <c r="R1086" s="40"/>
    </row>
    <row r="1087" spans="1:18" x14ac:dyDescent="0.2">
      <c r="A1087" s="40" t="s">
        <v>1407</v>
      </c>
      <c r="B1087" s="40">
        <v>13.54</v>
      </c>
      <c r="C1087" s="40">
        <v>14.99</v>
      </c>
      <c r="D1087" s="40">
        <v>12.49</v>
      </c>
      <c r="E1087" s="40">
        <v>13.26</v>
      </c>
      <c r="K1087" s="40"/>
      <c r="P1087" s="40"/>
      <c r="Q1087" s="40"/>
      <c r="R1087" s="40"/>
    </row>
    <row r="1088" spans="1:18" x14ac:dyDescent="0.2">
      <c r="A1088" s="40" t="s">
        <v>1408</v>
      </c>
      <c r="B1088" s="40">
        <v>13.87</v>
      </c>
      <c r="C1088" s="40">
        <v>16.07</v>
      </c>
      <c r="D1088" s="40">
        <v>12.94</v>
      </c>
      <c r="E1088" s="40">
        <v>15.06</v>
      </c>
      <c r="K1088" s="40"/>
      <c r="P1088" s="40"/>
      <c r="Q1088" s="40"/>
      <c r="R1088" s="40"/>
    </row>
    <row r="1089" spans="1:18" x14ac:dyDescent="0.2">
      <c r="A1089" s="41">
        <v>42009</v>
      </c>
      <c r="B1089" s="40">
        <v>13.98</v>
      </c>
      <c r="C1089" s="40">
        <v>14.09</v>
      </c>
      <c r="D1089" s="40">
        <v>11.75</v>
      </c>
      <c r="E1089" s="40">
        <v>11.77</v>
      </c>
      <c r="K1089" s="40"/>
      <c r="P1089" s="40"/>
      <c r="Q1089" s="40"/>
      <c r="R1089" s="40"/>
    </row>
    <row r="1090" spans="1:18" x14ac:dyDescent="0.2">
      <c r="A1090" s="41">
        <v>42099</v>
      </c>
      <c r="B1090" s="40">
        <v>12.84</v>
      </c>
      <c r="C1090" s="40">
        <v>13.37</v>
      </c>
      <c r="D1090" s="40">
        <v>11.9</v>
      </c>
      <c r="E1090" s="40">
        <v>12.01</v>
      </c>
      <c r="K1090" s="40"/>
      <c r="P1090" s="40"/>
      <c r="Q1090" s="40"/>
      <c r="R1090" s="40"/>
    </row>
    <row r="1091" spans="1:18" x14ac:dyDescent="0.2">
      <c r="A1091" s="41">
        <v>42129</v>
      </c>
      <c r="B1091" s="40">
        <v>12.74</v>
      </c>
      <c r="C1091" s="40">
        <v>14.75</v>
      </c>
      <c r="D1091" s="40">
        <v>12.04</v>
      </c>
      <c r="E1091" s="40">
        <v>14.64</v>
      </c>
      <c r="K1091" s="40"/>
      <c r="P1091" s="40"/>
      <c r="Q1091" s="40"/>
      <c r="R1091" s="40"/>
    </row>
    <row r="1092" spans="1:18" x14ac:dyDescent="0.2">
      <c r="A1092" s="41">
        <v>42160</v>
      </c>
      <c r="B1092" s="40">
        <v>14.11</v>
      </c>
      <c r="C1092" s="40">
        <v>17.8</v>
      </c>
      <c r="D1092" s="40">
        <v>14.01</v>
      </c>
      <c r="E1092" s="40">
        <v>16.05</v>
      </c>
      <c r="K1092" s="40"/>
      <c r="P1092" s="40"/>
      <c r="Q1092" s="40"/>
      <c r="R1092" s="40"/>
    </row>
    <row r="1093" spans="1:18" x14ac:dyDescent="0.2">
      <c r="A1093" s="41">
        <v>42190</v>
      </c>
      <c r="B1093" s="40">
        <v>16.48</v>
      </c>
      <c r="C1093" s="40">
        <v>17.09</v>
      </c>
      <c r="D1093" s="40">
        <v>15.27</v>
      </c>
      <c r="E1093" s="40">
        <v>15.59</v>
      </c>
      <c r="K1093" s="40"/>
      <c r="P1093" s="40"/>
      <c r="Q1093" s="40"/>
      <c r="R1093" s="40"/>
    </row>
    <row r="1094" spans="1:18" x14ac:dyDescent="0.2">
      <c r="A1094" s="41">
        <v>42221</v>
      </c>
      <c r="B1094" s="40">
        <v>12.54</v>
      </c>
      <c r="C1094" s="40">
        <v>12.54</v>
      </c>
      <c r="D1094" s="40">
        <v>11.13</v>
      </c>
      <c r="E1094" s="40">
        <v>11.32</v>
      </c>
      <c r="K1094" s="40"/>
      <c r="P1094" s="40"/>
      <c r="Q1094" s="40"/>
      <c r="R1094" s="40"/>
    </row>
    <row r="1095" spans="1:18" x14ac:dyDescent="0.2">
      <c r="A1095" s="41">
        <v>42313</v>
      </c>
      <c r="B1095" s="40">
        <v>12.82</v>
      </c>
      <c r="C1095" s="40">
        <v>13.41</v>
      </c>
      <c r="D1095" s="40">
        <v>12.11</v>
      </c>
      <c r="E1095" s="40">
        <v>13.41</v>
      </c>
      <c r="K1095" s="40"/>
      <c r="P1095" s="40"/>
      <c r="Q1095" s="40"/>
      <c r="R1095" s="40"/>
    </row>
    <row r="1096" spans="1:18" x14ac:dyDescent="0.2">
      <c r="A1096" s="41">
        <v>42343</v>
      </c>
      <c r="B1096" s="40">
        <v>14.93</v>
      </c>
      <c r="C1096" s="40">
        <v>15.67</v>
      </c>
      <c r="D1096" s="40">
        <v>13.41</v>
      </c>
      <c r="E1096" s="40">
        <v>13.82</v>
      </c>
      <c r="K1096" s="40"/>
      <c r="P1096" s="40"/>
      <c r="Q1096" s="40"/>
      <c r="R1096" s="40"/>
    </row>
    <row r="1097" spans="1:18" x14ac:dyDescent="0.2">
      <c r="A1097" s="40" t="s">
        <v>1409</v>
      </c>
      <c r="B1097" s="40">
        <v>13.28</v>
      </c>
      <c r="C1097" s="40">
        <v>14.06</v>
      </c>
      <c r="D1097" s="40">
        <v>12.43</v>
      </c>
      <c r="E1097" s="40">
        <v>13.49</v>
      </c>
      <c r="K1097" s="40"/>
      <c r="P1097" s="40"/>
      <c r="Q1097" s="40"/>
      <c r="R1097" s="40"/>
    </row>
    <row r="1098" spans="1:18" x14ac:dyDescent="0.2">
      <c r="A1098" s="40" t="s">
        <v>1410</v>
      </c>
      <c r="B1098" s="40">
        <v>12.41</v>
      </c>
      <c r="C1098" s="40">
        <v>12.74</v>
      </c>
      <c r="D1098" s="40">
        <v>11.48</v>
      </c>
      <c r="E1098" s="40">
        <v>11.59</v>
      </c>
      <c r="K1098" s="40"/>
      <c r="P1098" s="40"/>
      <c r="Q1098" s="40"/>
      <c r="R1098" s="40"/>
    </row>
    <row r="1099" spans="1:18" x14ac:dyDescent="0.2">
      <c r="A1099" s="40" t="s">
        <v>1411</v>
      </c>
      <c r="B1099" s="40">
        <v>11.12</v>
      </c>
      <c r="C1099" s="40">
        <v>12.11</v>
      </c>
      <c r="D1099" s="40">
        <v>10.68</v>
      </c>
      <c r="E1099" s="40">
        <v>10.77</v>
      </c>
      <c r="K1099" s="40"/>
      <c r="P1099" s="40"/>
      <c r="Q1099" s="40"/>
      <c r="R1099" s="40"/>
    </row>
    <row r="1100" spans="1:18" x14ac:dyDescent="0.2">
      <c r="A1100" s="40" t="s">
        <v>1412</v>
      </c>
      <c r="B1100" s="40">
        <v>11.74</v>
      </c>
      <c r="C1100" s="40">
        <v>11.99</v>
      </c>
      <c r="D1100" s="40">
        <v>10.7</v>
      </c>
      <c r="E1100" s="40">
        <v>11.01</v>
      </c>
      <c r="K1100" s="40"/>
      <c r="P1100" s="40"/>
      <c r="Q1100" s="40"/>
      <c r="R1100" s="40"/>
    </row>
    <row r="1101" spans="1:18" x14ac:dyDescent="0.2">
      <c r="A1101" s="40" t="s">
        <v>1413</v>
      </c>
      <c r="B1101" s="40">
        <v>11.22</v>
      </c>
      <c r="C1101" s="40">
        <v>11.74</v>
      </c>
      <c r="D1101" s="40">
        <v>10.49</v>
      </c>
      <c r="E1101" s="40">
        <v>11.15</v>
      </c>
      <c r="K1101" s="40"/>
      <c r="P1101" s="40"/>
      <c r="Q1101" s="40"/>
      <c r="R1101" s="40"/>
    </row>
    <row r="1102" spans="1:18" x14ac:dyDescent="0.2">
      <c r="A1102" s="40" t="s">
        <v>1414</v>
      </c>
      <c r="B1102" s="40">
        <v>11.17</v>
      </c>
      <c r="C1102" s="40">
        <v>11.65</v>
      </c>
      <c r="D1102" s="40">
        <v>10.24</v>
      </c>
      <c r="E1102" s="40">
        <v>10.48</v>
      </c>
      <c r="K1102" s="40"/>
      <c r="P1102" s="40"/>
      <c r="Q1102" s="40"/>
      <c r="R1102" s="40"/>
    </row>
    <row r="1103" spans="1:18" x14ac:dyDescent="0.2">
      <c r="A1103" s="40" t="s">
        <v>1415</v>
      </c>
      <c r="B1103" s="40">
        <v>11.04</v>
      </c>
      <c r="C1103" s="40">
        <v>11.05</v>
      </c>
      <c r="D1103" s="40">
        <v>9.8000000000000007</v>
      </c>
      <c r="E1103" s="40">
        <v>9.9499999999999993</v>
      </c>
      <c r="K1103" s="40"/>
      <c r="P1103" s="40"/>
      <c r="Q1103" s="40"/>
      <c r="R1103" s="40"/>
    </row>
    <row r="1104" spans="1:18" x14ac:dyDescent="0.2">
      <c r="A1104" s="40" t="s">
        <v>1416</v>
      </c>
      <c r="B1104" s="40">
        <v>10.44</v>
      </c>
      <c r="C1104" s="40">
        <v>10.51</v>
      </c>
      <c r="D1104" s="40">
        <v>9.4600000000000009</v>
      </c>
      <c r="E1104" s="40">
        <v>9.6</v>
      </c>
      <c r="K1104" s="40"/>
      <c r="P1104" s="40"/>
      <c r="Q1104" s="40"/>
      <c r="R1104" s="40"/>
    </row>
    <row r="1105" spans="1:18" x14ac:dyDescent="0.2">
      <c r="A1105" s="40" t="s">
        <v>1417</v>
      </c>
      <c r="B1105" s="40">
        <v>12.47</v>
      </c>
      <c r="C1105" s="40">
        <v>14.27</v>
      </c>
      <c r="D1105" s="40">
        <v>12.13</v>
      </c>
      <c r="E1105" s="40">
        <v>13.32</v>
      </c>
      <c r="K1105" s="40"/>
      <c r="P1105" s="40"/>
      <c r="Q1105" s="40"/>
      <c r="R1105" s="40"/>
    </row>
    <row r="1106" spans="1:18" x14ac:dyDescent="0.2">
      <c r="A1106" s="40" t="s">
        <v>1418</v>
      </c>
      <c r="B1106" s="40">
        <v>13.51</v>
      </c>
      <c r="C1106" s="40">
        <v>13.86</v>
      </c>
      <c r="D1106" s="40">
        <v>11.62</v>
      </c>
      <c r="E1106" s="40">
        <v>11.93</v>
      </c>
      <c r="K1106" s="40"/>
      <c r="P1106" s="40"/>
      <c r="Q1106" s="40"/>
      <c r="R1106" s="40"/>
    </row>
    <row r="1107" spans="1:18" x14ac:dyDescent="0.2">
      <c r="A1107" s="40" t="s">
        <v>1419</v>
      </c>
      <c r="B1107" s="40">
        <v>12.39</v>
      </c>
      <c r="C1107" s="40">
        <v>13.63</v>
      </c>
      <c r="D1107" s="40">
        <v>12.22</v>
      </c>
      <c r="E1107" s="40">
        <v>12.23</v>
      </c>
      <c r="K1107" s="40"/>
      <c r="P1107" s="40"/>
      <c r="Q1107" s="40"/>
      <c r="R1107" s="40"/>
    </row>
    <row r="1108" spans="1:18" x14ac:dyDescent="0.2">
      <c r="A1108" s="40" t="s">
        <v>1420</v>
      </c>
      <c r="B1108" s="40">
        <v>12.73</v>
      </c>
      <c r="C1108" s="40">
        <v>14.42</v>
      </c>
      <c r="D1108" s="40">
        <v>12.65</v>
      </c>
      <c r="E1108" s="40">
        <v>13.67</v>
      </c>
      <c r="K1108" s="40"/>
      <c r="P1108" s="40"/>
      <c r="Q1108" s="40"/>
      <c r="R1108" s="40"/>
    </row>
    <row r="1109" spans="1:18" x14ac:dyDescent="0.2">
      <c r="A1109" s="41">
        <v>42010</v>
      </c>
      <c r="B1109" s="40">
        <v>14.05</v>
      </c>
      <c r="C1109" s="40">
        <v>15.66</v>
      </c>
      <c r="D1109" s="40">
        <v>12.96</v>
      </c>
      <c r="E1109" s="40">
        <v>13.85</v>
      </c>
      <c r="K1109" s="40"/>
      <c r="P1109" s="40"/>
      <c r="Q1109" s="40"/>
      <c r="R1109" s="40"/>
    </row>
    <row r="1110" spans="1:18" x14ac:dyDescent="0.2">
      <c r="A1110" s="41">
        <v>42041</v>
      </c>
      <c r="B1110" s="40">
        <v>14.74</v>
      </c>
      <c r="C1110" s="40">
        <v>15.54</v>
      </c>
      <c r="D1110" s="40">
        <v>12.89</v>
      </c>
      <c r="E1110" s="40">
        <v>13.99</v>
      </c>
      <c r="K1110" s="40"/>
      <c r="P1110" s="40"/>
      <c r="Q1110" s="40"/>
      <c r="R1110" s="40"/>
    </row>
    <row r="1111" spans="1:18" x14ac:dyDescent="0.2">
      <c r="A1111" s="41">
        <v>42069</v>
      </c>
      <c r="B1111" s="40">
        <v>13.04</v>
      </c>
      <c r="C1111" s="40">
        <v>13.9</v>
      </c>
      <c r="D1111" s="40">
        <v>12.34</v>
      </c>
      <c r="E1111" s="40">
        <v>12.7</v>
      </c>
      <c r="K1111" s="40"/>
      <c r="P1111" s="40"/>
      <c r="Q1111" s="40"/>
      <c r="R1111" s="40"/>
    </row>
    <row r="1112" spans="1:18" x14ac:dyDescent="0.2">
      <c r="A1112" s="41">
        <v>42100</v>
      </c>
      <c r="B1112" s="40">
        <v>14.65</v>
      </c>
      <c r="C1112" s="40">
        <v>16.28</v>
      </c>
      <c r="D1112" s="40">
        <v>13.61</v>
      </c>
      <c r="E1112" s="40">
        <v>15.02</v>
      </c>
      <c r="K1112" s="40"/>
      <c r="P1112" s="40"/>
      <c r="Q1112" s="40"/>
      <c r="R1112" s="40"/>
    </row>
    <row r="1113" spans="1:18" x14ac:dyDescent="0.2">
      <c r="A1113" s="41">
        <v>42130</v>
      </c>
      <c r="B1113" s="40">
        <v>15.24</v>
      </c>
      <c r="C1113" s="40">
        <v>16.29</v>
      </c>
      <c r="D1113" s="40">
        <v>13.68</v>
      </c>
      <c r="E1113" s="40">
        <v>13.7</v>
      </c>
      <c r="K1113" s="40"/>
      <c r="P1113" s="40"/>
      <c r="Q1113" s="40"/>
      <c r="R1113" s="40"/>
    </row>
    <row r="1114" spans="1:18" x14ac:dyDescent="0.2">
      <c r="A1114" s="41">
        <v>42222</v>
      </c>
      <c r="B1114" s="40">
        <v>15.78</v>
      </c>
      <c r="C1114" s="40">
        <v>16.239999999999998</v>
      </c>
      <c r="D1114" s="40">
        <v>15.39</v>
      </c>
      <c r="E1114" s="40">
        <v>15.89</v>
      </c>
      <c r="K1114" s="40"/>
      <c r="P1114" s="40"/>
      <c r="Q1114" s="40"/>
      <c r="R1114" s="40"/>
    </row>
    <row r="1115" spans="1:18" x14ac:dyDescent="0.2">
      <c r="A1115" s="41">
        <v>42253</v>
      </c>
      <c r="B1115" s="40">
        <v>15.93</v>
      </c>
      <c r="C1115" s="40">
        <v>16.39</v>
      </c>
      <c r="D1115" s="40">
        <v>14.77</v>
      </c>
      <c r="E1115" s="40">
        <v>15.05</v>
      </c>
      <c r="K1115" s="40"/>
      <c r="P1115" s="40"/>
      <c r="Q1115" s="40"/>
      <c r="R1115" s="40"/>
    </row>
    <row r="1116" spans="1:18" x14ac:dyDescent="0.2">
      <c r="A1116" s="41">
        <v>42283</v>
      </c>
      <c r="B1116" s="40">
        <v>14.69</v>
      </c>
      <c r="C1116" s="40">
        <v>14.8</v>
      </c>
      <c r="D1116" s="40">
        <v>12.92</v>
      </c>
      <c r="E1116" s="40">
        <v>13.32</v>
      </c>
      <c r="K1116" s="40"/>
      <c r="P1116" s="40"/>
      <c r="Q1116" s="40"/>
      <c r="R1116" s="40"/>
    </row>
    <row r="1117" spans="1:18" x14ac:dyDescent="0.2">
      <c r="A1117" s="41">
        <v>42314</v>
      </c>
      <c r="B1117" s="40">
        <v>12.96</v>
      </c>
      <c r="C1117" s="40">
        <v>13.04</v>
      </c>
      <c r="D1117" s="40">
        <v>12.14</v>
      </c>
      <c r="E1117" s="40">
        <v>12.38</v>
      </c>
      <c r="K1117" s="40"/>
      <c r="P1117" s="40"/>
      <c r="Q1117" s="40"/>
      <c r="R1117" s="40"/>
    </row>
    <row r="1118" spans="1:18" x14ac:dyDescent="0.2">
      <c r="A1118" s="41">
        <v>42344</v>
      </c>
      <c r="B1118" s="40">
        <v>13.05</v>
      </c>
      <c r="C1118" s="40">
        <v>14.36</v>
      </c>
      <c r="D1118" s="40">
        <v>13.01</v>
      </c>
      <c r="E1118" s="40">
        <v>14.16</v>
      </c>
      <c r="K1118" s="40"/>
      <c r="P1118" s="40"/>
      <c r="Q1118" s="40"/>
      <c r="R1118" s="40"/>
    </row>
    <row r="1119" spans="1:18" x14ac:dyDescent="0.2">
      <c r="A1119" s="40" t="s">
        <v>1421</v>
      </c>
      <c r="B1119" s="40">
        <v>17.09</v>
      </c>
      <c r="C1119" s="40">
        <v>17.47</v>
      </c>
      <c r="D1119" s="40">
        <v>16.079999999999998</v>
      </c>
      <c r="E1119" s="40">
        <v>16.68</v>
      </c>
      <c r="K1119" s="40"/>
      <c r="P1119" s="40"/>
      <c r="Q1119" s="40"/>
      <c r="R1119" s="40"/>
    </row>
    <row r="1120" spans="1:18" x14ac:dyDescent="0.2">
      <c r="A1120" s="40" t="s">
        <v>1422</v>
      </c>
      <c r="B1120" s="40">
        <v>16.97</v>
      </c>
      <c r="C1120" s="40">
        <v>17.190000000000001</v>
      </c>
      <c r="D1120" s="40">
        <v>16.260000000000002</v>
      </c>
      <c r="E1120" s="40">
        <v>16.29</v>
      </c>
      <c r="K1120" s="40"/>
      <c r="P1120" s="40"/>
      <c r="Q1120" s="40"/>
      <c r="R1120" s="40"/>
    </row>
    <row r="1121" spans="1:18" x14ac:dyDescent="0.2">
      <c r="A1121" s="40" t="s">
        <v>1423</v>
      </c>
      <c r="B1121" s="40">
        <v>16.059999999999999</v>
      </c>
      <c r="C1121" s="40">
        <v>17.27</v>
      </c>
      <c r="D1121" s="40">
        <v>14.26</v>
      </c>
      <c r="E1121" s="40">
        <v>15.22</v>
      </c>
      <c r="K1121" s="40"/>
      <c r="P1121" s="40"/>
      <c r="Q1121" s="40"/>
      <c r="R1121" s="40"/>
    </row>
    <row r="1122" spans="1:18" x14ac:dyDescent="0.2">
      <c r="A1122" s="40" t="s">
        <v>1424</v>
      </c>
      <c r="B1122" s="40">
        <v>14.33</v>
      </c>
      <c r="C1122" s="40">
        <v>14.33</v>
      </c>
      <c r="D1122" s="40">
        <v>12.37</v>
      </c>
      <c r="E1122" s="40">
        <v>13.11</v>
      </c>
      <c r="K1122" s="40"/>
      <c r="P1122" s="40"/>
      <c r="Q1122" s="40"/>
      <c r="R1122" s="40"/>
    </row>
    <row r="1123" spans="1:18" x14ac:dyDescent="0.2">
      <c r="A1123" s="40" t="s">
        <v>1425</v>
      </c>
      <c r="B1123" s="40">
        <v>13.03</v>
      </c>
      <c r="C1123" s="40">
        <v>14.32</v>
      </c>
      <c r="D1123" s="40">
        <v>12.67</v>
      </c>
      <c r="E1123" s="40">
        <v>14.32</v>
      </c>
      <c r="K1123" s="40"/>
      <c r="P1123" s="40"/>
      <c r="Q1123" s="40"/>
      <c r="R1123" s="40"/>
    </row>
    <row r="1124" spans="1:18" x14ac:dyDescent="0.2">
      <c r="A1124" s="40" t="s">
        <v>1426</v>
      </c>
      <c r="B1124" s="40">
        <v>14.33</v>
      </c>
      <c r="C1124" s="40">
        <v>14.33</v>
      </c>
      <c r="D1124" s="40">
        <v>12.53</v>
      </c>
      <c r="E1124" s="40">
        <v>13.15</v>
      </c>
      <c r="K1124" s="40"/>
      <c r="P1124" s="40"/>
      <c r="Q1124" s="40"/>
      <c r="R1124" s="40"/>
    </row>
    <row r="1125" spans="1:18" x14ac:dyDescent="0.2">
      <c r="A1125" s="40" t="s">
        <v>1427</v>
      </c>
      <c r="B1125" s="40">
        <v>12.64</v>
      </c>
      <c r="C1125" s="40">
        <v>12.95</v>
      </c>
      <c r="D1125" s="40">
        <v>11.9</v>
      </c>
      <c r="E1125" s="40">
        <v>12.17</v>
      </c>
      <c r="K1125" s="40"/>
      <c r="P1125" s="40"/>
      <c r="Q1125" s="40"/>
      <c r="R1125" s="40"/>
    </row>
    <row r="1126" spans="1:18" x14ac:dyDescent="0.2">
      <c r="A1126" s="40" t="s">
        <v>1428</v>
      </c>
      <c r="B1126" s="40">
        <v>12.95</v>
      </c>
      <c r="C1126" s="40">
        <v>14.81</v>
      </c>
      <c r="D1126" s="40">
        <v>12.1</v>
      </c>
      <c r="E1126" s="40">
        <v>14.81</v>
      </c>
      <c r="K1126" s="40"/>
      <c r="P1126" s="40"/>
      <c r="Q1126" s="40"/>
      <c r="R1126" s="40"/>
    </row>
    <row r="1127" spans="1:18" x14ac:dyDescent="0.2">
      <c r="A1127" s="40" t="s">
        <v>1429</v>
      </c>
      <c r="B1127" s="40">
        <v>13.75</v>
      </c>
      <c r="C1127" s="40">
        <v>15.34</v>
      </c>
      <c r="D1127" s="40">
        <v>13.67</v>
      </c>
      <c r="E1127" s="40">
        <v>15.13</v>
      </c>
      <c r="K1127" s="40"/>
      <c r="P1127" s="40"/>
      <c r="Q1127" s="40"/>
      <c r="R1127" s="40"/>
    </row>
    <row r="1128" spans="1:18" x14ac:dyDescent="0.2">
      <c r="A1128" s="40" t="s">
        <v>1430</v>
      </c>
      <c r="B1128" s="40">
        <v>15.26</v>
      </c>
      <c r="C1128" s="40">
        <v>16.809999999999999</v>
      </c>
      <c r="D1128" s="40">
        <v>14.43</v>
      </c>
      <c r="E1128" s="40">
        <v>15.49</v>
      </c>
      <c r="K1128" s="40"/>
      <c r="P1128" s="40"/>
      <c r="Q1128" s="40"/>
      <c r="R1128" s="40"/>
    </row>
    <row r="1129" spans="1:18" x14ac:dyDescent="0.2">
      <c r="A1129" s="40" t="s">
        <v>1431</v>
      </c>
      <c r="B1129" s="40">
        <v>19.34</v>
      </c>
      <c r="C1129" s="40">
        <v>23.54</v>
      </c>
      <c r="D1129" s="40">
        <v>17.78</v>
      </c>
      <c r="E1129" s="40">
        <v>22.56</v>
      </c>
      <c r="K1129" s="40"/>
      <c r="P1129" s="40"/>
      <c r="Q1129" s="40"/>
      <c r="R1129" s="40"/>
    </row>
    <row r="1130" spans="1:18" x14ac:dyDescent="0.2">
      <c r="A1130" s="40" t="s">
        <v>1432</v>
      </c>
      <c r="B1130" s="40">
        <v>20.84</v>
      </c>
      <c r="C1130" s="40">
        <v>23.31</v>
      </c>
      <c r="D1130" s="40">
        <v>20.440000000000001</v>
      </c>
      <c r="E1130" s="40">
        <v>20.93</v>
      </c>
      <c r="K1130" s="40"/>
      <c r="P1130" s="40"/>
      <c r="Q1130" s="40"/>
      <c r="R1130" s="40"/>
    </row>
    <row r="1131" spans="1:18" x14ac:dyDescent="0.2">
      <c r="A1131" s="41">
        <v>42011</v>
      </c>
      <c r="B1131" s="40">
        <v>18.93</v>
      </c>
      <c r="C1131" s="40">
        <v>19.2</v>
      </c>
      <c r="D1131" s="40">
        <v>17.170000000000002</v>
      </c>
      <c r="E1131" s="40">
        <v>17.23</v>
      </c>
      <c r="K1131" s="40"/>
      <c r="P1131" s="40"/>
      <c r="Q1131" s="40"/>
      <c r="R1131" s="40"/>
    </row>
    <row r="1132" spans="1:18" x14ac:dyDescent="0.2">
      <c r="A1132" s="41">
        <v>42042</v>
      </c>
      <c r="B1132" s="40">
        <v>16.190000000000001</v>
      </c>
      <c r="C1132" s="40">
        <v>18.899999999999999</v>
      </c>
      <c r="D1132" s="40">
        <v>16.149999999999999</v>
      </c>
      <c r="E1132" s="40">
        <v>17.97</v>
      </c>
      <c r="K1132" s="40"/>
      <c r="P1132" s="40"/>
      <c r="Q1132" s="40"/>
      <c r="R1132" s="40"/>
    </row>
    <row r="1133" spans="1:18" x14ac:dyDescent="0.2">
      <c r="A1133" s="41">
        <v>42162</v>
      </c>
      <c r="B1133" s="40">
        <v>20</v>
      </c>
      <c r="C1133" s="40">
        <v>20.07</v>
      </c>
      <c r="D1133" s="40">
        <v>16.649999999999999</v>
      </c>
      <c r="E1133" s="40">
        <v>16.649999999999999</v>
      </c>
      <c r="K1133" s="40"/>
      <c r="P1133" s="40"/>
      <c r="Q1133" s="40"/>
      <c r="R1133" s="40"/>
    </row>
    <row r="1134" spans="1:18" x14ac:dyDescent="0.2">
      <c r="A1134" s="41">
        <v>42192</v>
      </c>
      <c r="B1134" s="40">
        <v>17.059999999999999</v>
      </c>
      <c r="C1134" s="40">
        <v>19.68</v>
      </c>
      <c r="D1134" s="40">
        <v>15.57</v>
      </c>
      <c r="E1134" s="40">
        <v>15.91</v>
      </c>
      <c r="K1134" s="40"/>
      <c r="P1134" s="40"/>
      <c r="Q1134" s="40"/>
      <c r="R1134" s="40"/>
    </row>
    <row r="1135" spans="1:18" x14ac:dyDescent="0.2">
      <c r="A1135" s="41">
        <v>42223</v>
      </c>
      <c r="B1135" s="40">
        <v>17.66</v>
      </c>
      <c r="C1135" s="40">
        <v>21.64</v>
      </c>
      <c r="D1135" s="40">
        <v>17.57</v>
      </c>
      <c r="E1135" s="40">
        <v>20.96</v>
      </c>
      <c r="K1135" s="40"/>
      <c r="P1135" s="40"/>
      <c r="Q1135" s="40"/>
      <c r="R1135" s="40"/>
    </row>
    <row r="1136" spans="1:18" x14ac:dyDescent="0.2">
      <c r="A1136" s="41">
        <v>42254</v>
      </c>
      <c r="B1136" s="40">
        <v>18.12</v>
      </c>
      <c r="C1136" s="40">
        <v>22.06</v>
      </c>
      <c r="D1136" s="40">
        <v>17.899999999999999</v>
      </c>
      <c r="E1136" s="40">
        <v>22.06</v>
      </c>
      <c r="K1136" s="40"/>
      <c r="P1136" s="40"/>
      <c r="Q1136" s="40"/>
      <c r="R1136" s="40"/>
    </row>
    <row r="1137" spans="1:18" x14ac:dyDescent="0.2">
      <c r="A1137" s="41">
        <v>42284</v>
      </c>
      <c r="B1137" s="40">
        <v>18.329999999999998</v>
      </c>
      <c r="C1137" s="40">
        <v>19.11</v>
      </c>
      <c r="D1137" s="40">
        <v>17.11</v>
      </c>
      <c r="E1137" s="40">
        <v>17.239999999999998</v>
      </c>
      <c r="K1137" s="40"/>
      <c r="P1137" s="40"/>
      <c r="Q1137" s="40"/>
      <c r="R1137" s="40"/>
    </row>
    <row r="1138" spans="1:18" x14ac:dyDescent="0.2">
      <c r="A1138" s="40" t="s">
        <v>1433</v>
      </c>
      <c r="B1138" s="40">
        <v>15.62</v>
      </c>
      <c r="C1138" s="40">
        <v>15.63</v>
      </c>
      <c r="D1138" s="40">
        <v>13.23</v>
      </c>
      <c r="E1138" s="40">
        <v>13.32</v>
      </c>
      <c r="K1138" s="40"/>
      <c r="P1138" s="40"/>
      <c r="Q1138" s="40"/>
      <c r="R1138" s="40"/>
    </row>
    <row r="1139" spans="1:18" x14ac:dyDescent="0.2">
      <c r="A1139" s="40" t="s">
        <v>1434</v>
      </c>
      <c r="B1139" s="40">
        <v>13.15</v>
      </c>
      <c r="C1139" s="40">
        <v>13.28</v>
      </c>
      <c r="D1139" s="40">
        <v>11.46</v>
      </c>
      <c r="E1139" s="40">
        <v>12.18</v>
      </c>
      <c r="K1139" s="40"/>
      <c r="P1139" s="40"/>
      <c r="Q1139" s="40"/>
      <c r="R1139" s="40"/>
    </row>
    <row r="1140" spans="1:18" x14ac:dyDescent="0.2">
      <c r="A1140" s="40" t="s">
        <v>1435</v>
      </c>
      <c r="B1140" s="40">
        <v>12.26</v>
      </c>
      <c r="C1140" s="40">
        <v>13.51</v>
      </c>
      <c r="D1140" s="40">
        <v>11.04</v>
      </c>
      <c r="E1140" s="40">
        <v>12.4</v>
      </c>
      <c r="K1140" s="40"/>
      <c r="P1140" s="40"/>
      <c r="Q1140" s="40"/>
      <c r="R1140" s="40"/>
    </row>
    <row r="1141" spans="1:18" x14ac:dyDescent="0.2">
      <c r="A1141" s="40" t="s">
        <v>1436</v>
      </c>
      <c r="B1141" s="40">
        <v>10.91</v>
      </c>
      <c r="C1141" s="40">
        <v>10.93</v>
      </c>
      <c r="D1141" s="40">
        <v>10.01</v>
      </c>
      <c r="E1141" s="40">
        <v>10.35</v>
      </c>
      <c r="K1141" s="40"/>
      <c r="P1141" s="40"/>
      <c r="Q1141" s="40"/>
      <c r="R1141" s="40"/>
    </row>
    <row r="1142" spans="1:18" x14ac:dyDescent="0.2">
      <c r="A1142" s="40" t="s">
        <v>1437</v>
      </c>
      <c r="B1142" s="40">
        <v>10.02</v>
      </c>
      <c r="C1142" s="40">
        <v>10.32</v>
      </c>
      <c r="D1142" s="40">
        <v>9.58</v>
      </c>
      <c r="E1142" s="40">
        <v>9.7200000000000006</v>
      </c>
      <c r="K1142" s="40"/>
      <c r="P1142" s="40"/>
      <c r="Q1142" s="40"/>
      <c r="R1142" s="40"/>
    </row>
    <row r="1143" spans="1:18" x14ac:dyDescent="0.2">
      <c r="A1143" s="40" t="s">
        <v>1438</v>
      </c>
      <c r="B1143" s="40">
        <v>10.75</v>
      </c>
      <c r="C1143" s="40">
        <v>11.35</v>
      </c>
      <c r="D1143" s="40">
        <v>10.039999999999999</v>
      </c>
      <c r="E1143" s="40">
        <v>11.1</v>
      </c>
      <c r="K1143" s="40"/>
      <c r="P1143" s="40"/>
      <c r="Q1143" s="40"/>
      <c r="R1143" s="40"/>
    </row>
    <row r="1144" spans="1:18" x14ac:dyDescent="0.2">
      <c r="A1144" s="40" t="s">
        <v>1439</v>
      </c>
      <c r="B1144" s="40">
        <v>11.23</v>
      </c>
      <c r="C1144" s="40">
        <v>12.01</v>
      </c>
      <c r="D1144" s="40">
        <v>11</v>
      </c>
      <c r="E1144" s="40">
        <v>11.32</v>
      </c>
      <c r="K1144" s="40"/>
      <c r="P1144" s="40"/>
      <c r="Q1144" s="40"/>
      <c r="R1144" s="40"/>
    </row>
    <row r="1145" spans="1:18" x14ac:dyDescent="0.2">
      <c r="A1145" s="40" t="s">
        <v>1440</v>
      </c>
      <c r="B1145" s="40">
        <v>12.01</v>
      </c>
      <c r="C1145" s="40">
        <v>12.07</v>
      </c>
      <c r="D1145" s="40">
        <v>11.18</v>
      </c>
      <c r="E1145" s="40">
        <v>11.2</v>
      </c>
      <c r="K1145" s="40"/>
      <c r="P1145" s="40"/>
      <c r="Q1145" s="40"/>
      <c r="R1145" s="40"/>
    </row>
    <row r="1146" spans="1:18" x14ac:dyDescent="0.2">
      <c r="A1146" s="40" t="s">
        <v>1441</v>
      </c>
      <c r="B1146" s="40">
        <v>11.29</v>
      </c>
      <c r="C1146" s="40">
        <v>12.84</v>
      </c>
      <c r="D1146" s="40">
        <v>11</v>
      </c>
      <c r="E1146" s="40">
        <v>11.95</v>
      </c>
      <c r="K1146" s="40"/>
      <c r="P1146" s="40"/>
      <c r="Q1146" s="40"/>
      <c r="R1146" s="40"/>
    </row>
    <row r="1147" spans="1:18" x14ac:dyDescent="0.2">
      <c r="A1147" s="40" t="s">
        <v>1442</v>
      </c>
      <c r="B1147" s="40">
        <v>12.04</v>
      </c>
      <c r="C1147" s="40">
        <v>15.55</v>
      </c>
      <c r="D1147" s="40">
        <v>12.04</v>
      </c>
      <c r="E1147" s="40">
        <v>13.05</v>
      </c>
      <c r="K1147" s="40"/>
      <c r="P1147" s="40"/>
      <c r="Q1147" s="40"/>
      <c r="R1147" s="40"/>
    </row>
    <row r="1148" spans="1:18" x14ac:dyDescent="0.2">
      <c r="A1148" s="40" t="s">
        <v>1443</v>
      </c>
      <c r="B1148" s="40">
        <v>16.53</v>
      </c>
      <c r="C1148" s="40">
        <v>17.739999999999998</v>
      </c>
      <c r="D1148" s="40">
        <v>15.66</v>
      </c>
      <c r="E1148" s="40">
        <v>16.61</v>
      </c>
      <c r="K1148" s="40"/>
      <c r="P1148" s="40"/>
      <c r="Q1148" s="40"/>
      <c r="R1148" s="40"/>
    </row>
    <row r="1149" spans="1:18" x14ac:dyDescent="0.2">
      <c r="A1149" s="40" t="s">
        <v>1444</v>
      </c>
      <c r="B1149" s="40">
        <v>15.66</v>
      </c>
      <c r="C1149" s="40">
        <v>16.59</v>
      </c>
      <c r="D1149" s="40">
        <v>13.46</v>
      </c>
      <c r="E1149" s="40">
        <v>13.62</v>
      </c>
      <c r="K1149" s="40"/>
      <c r="P1149" s="40"/>
      <c r="Q1149" s="40"/>
      <c r="R1149" s="40"/>
    </row>
    <row r="1150" spans="1:18" x14ac:dyDescent="0.2">
      <c r="A1150" s="40" t="s">
        <v>1445</v>
      </c>
      <c r="B1150" s="40">
        <v>14.06</v>
      </c>
      <c r="C1150" s="40">
        <v>14.12</v>
      </c>
      <c r="D1150" s="40">
        <v>11.8</v>
      </c>
      <c r="E1150" s="40">
        <v>12.18</v>
      </c>
      <c r="K1150" s="40"/>
      <c r="P1150" s="40"/>
      <c r="Q1150" s="40"/>
      <c r="R1150" s="40"/>
    </row>
    <row r="1151" spans="1:18" x14ac:dyDescent="0.2">
      <c r="A1151" s="40" t="s">
        <v>1446</v>
      </c>
      <c r="B1151" s="40">
        <v>12.62</v>
      </c>
      <c r="C1151" s="40">
        <v>13.75</v>
      </c>
      <c r="D1151" s="40">
        <v>11.06</v>
      </c>
      <c r="E1151" s="40">
        <v>11.06</v>
      </c>
      <c r="K1151" s="40"/>
      <c r="P1151" s="40"/>
      <c r="Q1151" s="40"/>
      <c r="R1151" s="40"/>
    </row>
    <row r="1152" spans="1:18" x14ac:dyDescent="0.2">
      <c r="A1152" s="40" t="s">
        <v>1447</v>
      </c>
      <c r="B1152" s="40">
        <v>10.94</v>
      </c>
      <c r="C1152" s="40">
        <v>11.83</v>
      </c>
      <c r="D1152" s="40">
        <v>10.49</v>
      </c>
      <c r="E1152" s="40">
        <v>10.67</v>
      </c>
      <c r="K1152" s="40"/>
      <c r="P1152" s="40"/>
      <c r="Q1152" s="40"/>
      <c r="R1152" s="40"/>
    </row>
    <row r="1153" spans="1:18" x14ac:dyDescent="0.2">
      <c r="A1153" s="41">
        <v>42071</v>
      </c>
      <c r="B1153" s="40">
        <v>12.19</v>
      </c>
      <c r="C1153" s="40">
        <v>13.75</v>
      </c>
      <c r="D1153" s="40">
        <v>11.61</v>
      </c>
      <c r="E1153" s="40">
        <v>12.12</v>
      </c>
      <c r="K1153" s="40"/>
      <c r="P1153" s="40"/>
      <c r="Q1153" s="40"/>
      <c r="R1153" s="40"/>
    </row>
    <row r="1154" spans="1:18" x14ac:dyDescent="0.2">
      <c r="A1154" s="41">
        <v>42102</v>
      </c>
      <c r="B1154" s="40">
        <v>12.21</v>
      </c>
      <c r="C1154" s="40">
        <v>12.82</v>
      </c>
      <c r="D1154" s="40">
        <v>11.72</v>
      </c>
      <c r="E1154" s="40">
        <v>12.42</v>
      </c>
      <c r="K1154" s="40"/>
      <c r="P1154" s="40"/>
      <c r="Q1154" s="40"/>
      <c r="R1154" s="40"/>
    </row>
    <row r="1155" spans="1:18" x14ac:dyDescent="0.2">
      <c r="A1155" s="41">
        <v>42132</v>
      </c>
      <c r="B1155" s="40">
        <v>10.87</v>
      </c>
      <c r="C1155" s="40">
        <v>12</v>
      </c>
      <c r="D1155" s="40">
        <v>10.24</v>
      </c>
      <c r="E1155" s="40">
        <v>11.51</v>
      </c>
      <c r="K1155" s="40"/>
      <c r="P1155" s="40"/>
      <c r="Q1155" s="40"/>
      <c r="R1155" s="40"/>
    </row>
    <row r="1156" spans="1:18" x14ac:dyDescent="0.2">
      <c r="A1156" s="41">
        <v>42163</v>
      </c>
      <c r="B1156" s="40">
        <v>11.42</v>
      </c>
      <c r="C1156" s="40">
        <v>14.44</v>
      </c>
      <c r="D1156" s="40">
        <v>11.33</v>
      </c>
      <c r="E1156" s="40">
        <v>13.66</v>
      </c>
      <c r="K1156" s="40"/>
      <c r="P1156" s="40"/>
      <c r="Q1156" s="40"/>
      <c r="R1156" s="40"/>
    </row>
    <row r="1157" spans="1:18" x14ac:dyDescent="0.2">
      <c r="A1157" s="41">
        <v>42193</v>
      </c>
      <c r="B1157" s="40">
        <v>13.39</v>
      </c>
      <c r="C1157" s="40">
        <v>14.65</v>
      </c>
      <c r="D1157" s="40">
        <v>13.04</v>
      </c>
      <c r="E1157" s="40">
        <v>13.04</v>
      </c>
      <c r="K1157" s="40"/>
      <c r="P1157" s="40"/>
      <c r="Q1157" s="40"/>
      <c r="R1157" s="40"/>
    </row>
    <row r="1158" spans="1:18" x14ac:dyDescent="0.2">
      <c r="A1158" s="41">
        <v>42285</v>
      </c>
      <c r="B1158" s="40">
        <v>12.76</v>
      </c>
      <c r="C1158" s="40">
        <v>12.76</v>
      </c>
      <c r="D1158" s="40">
        <v>11.35</v>
      </c>
      <c r="E1158" s="40">
        <v>11.44</v>
      </c>
      <c r="K1158" s="40"/>
      <c r="P1158" s="40"/>
      <c r="Q1158" s="40"/>
      <c r="R1158" s="40"/>
    </row>
    <row r="1159" spans="1:18" x14ac:dyDescent="0.2">
      <c r="A1159" s="41">
        <v>42316</v>
      </c>
      <c r="B1159" s="40">
        <v>13.3</v>
      </c>
      <c r="C1159" s="40">
        <v>15.1</v>
      </c>
      <c r="D1159" s="40">
        <v>12.56</v>
      </c>
      <c r="E1159" s="40">
        <v>14.13</v>
      </c>
      <c r="K1159" s="40"/>
      <c r="P1159" s="40"/>
      <c r="Q1159" s="40"/>
      <c r="R1159" s="40"/>
    </row>
    <row r="1160" spans="1:18" x14ac:dyDescent="0.2">
      <c r="A1160" s="41">
        <v>42346</v>
      </c>
      <c r="B1160" s="40">
        <v>16.61</v>
      </c>
      <c r="C1160" s="40">
        <v>18.53</v>
      </c>
      <c r="D1160" s="40">
        <v>13.88</v>
      </c>
      <c r="E1160" s="40">
        <v>14.27</v>
      </c>
      <c r="K1160" s="40"/>
      <c r="P1160" s="40"/>
      <c r="Q1160" s="40"/>
      <c r="R1160" s="40"/>
    </row>
    <row r="1161" spans="1:18" x14ac:dyDescent="0.2">
      <c r="A1161" s="40" t="s">
        <v>1448</v>
      </c>
      <c r="B1161" s="40">
        <v>14.02</v>
      </c>
      <c r="C1161" s="40">
        <v>14.98</v>
      </c>
      <c r="D1161" s="40">
        <v>12.66</v>
      </c>
      <c r="E1161" s="40">
        <v>13.63</v>
      </c>
      <c r="K1161" s="40"/>
      <c r="P1161" s="40"/>
      <c r="Q1161" s="40"/>
      <c r="R1161" s="40"/>
    </row>
    <row r="1162" spans="1:18" x14ac:dyDescent="0.2">
      <c r="A1162" s="40" t="s">
        <v>1449</v>
      </c>
      <c r="B1162" s="40">
        <v>13.52</v>
      </c>
      <c r="C1162" s="40">
        <v>13.88</v>
      </c>
      <c r="D1162" s="40">
        <v>11.77</v>
      </c>
      <c r="E1162" s="40">
        <v>11.77</v>
      </c>
      <c r="K1162" s="40"/>
      <c r="P1162" s="40"/>
      <c r="Q1162" s="40"/>
      <c r="R1162" s="40"/>
    </row>
    <row r="1163" spans="1:18" x14ac:dyDescent="0.2">
      <c r="A1163" s="40" t="s">
        <v>1450</v>
      </c>
      <c r="B1163" s="40">
        <v>14.07</v>
      </c>
      <c r="C1163" s="40">
        <v>14.49</v>
      </c>
      <c r="D1163" s="40">
        <v>11.17</v>
      </c>
      <c r="E1163" s="40">
        <v>11.29</v>
      </c>
      <c r="K1163" s="40"/>
      <c r="P1163" s="40"/>
      <c r="Q1163" s="40"/>
      <c r="R1163" s="40"/>
    </row>
    <row r="1164" spans="1:18" x14ac:dyDescent="0.2">
      <c r="A1164" s="40" t="s">
        <v>1451</v>
      </c>
      <c r="B1164" s="40">
        <v>11.68</v>
      </c>
      <c r="C1164" s="40">
        <v>12.52</v>
      </c>
      <c r="D1164" s="40">
        <v>11.23</v>
      </c>
      <c r="E1164" s="40">
        <v>12.14</v>
      </c>
      <c r="K1164" s="40"/>
      <c r="P1164" s="40"/>
      <c r="Q1164" s="40"/>
      <c r="R1164" s="40"/>
    </row>
    <row r="1165" spans="1:18" x14ac:dyDescent="0.2">
      <c r="A1165" s="40" t="s">
        <v>1452</v>
      </c>
      <c r="B1165" s="40">
        <v>13.71</v>
      </c>
      <c r="C1165" s="40">
        <v>15.68</v>
      </c>
      <c r="D1165" s="40">
        <v>12.08</v>
      </c>
      <c r="E1165" s="40">
        <v>14.34</v>
      </c>
      <c r="K1165" s="40"/>
      <c r="P1165" s="40"/>
      <c r="Q1165" s="40"/>
      <c r="R1165" s="40"/>
    </row>
    <row r="1166" spans="1:18" x14ac:dyDescent="0.2">
      <c r="A1166" s="40" t="s">
        <v>1453</v>
      </c>
      <c r="B1166" s="40">
        <v>16.71</v>
      </c>
      <c r="C1166" s="40">
        <v>21.44</v>
      </c>
      <c r="D1166" s="40">
        <v>15.96</v>
      </c>
      <c r="E1166" s="40">
        <v>20.88</v>
      </c>
      <c r="K1166" s="40"/>
      <c r="P1166" s="40"/>
      <c r="Q1166" s="40"/>
      <c r="R1166" s="40"/>
    </row>
    <row r="1167" spans="1:18" x14ac:dyDescent="0.2">
      <c r="A1167" s="40" t="s">
        <v>1454</v>
      </c>
      <c r="B1167" s="40">
        <v>25.78</v>
      </c>
      <c r="C1167" s="40">
        <v>39.299999999999997</v>
      </c>
      <c r="D1167" s="40">
        <v>23.23</v>
      </c>
      <c r="E1167" s="40">
        <v>38.96</v>
      </c>
      <c r="K1167" s="40"/>
      <c r="P1167" s="40"/>
      <c r="Q1167" s="40"/>
      <c r="R1167" s="40"/>
    </row>
    <row r="1168" spans="1:18" x14ac:dyDescent="0.2">
      <c r="A1168" s="40" t="s">
        <v>1455</v>
      </c>
      <c r="B1168" s="40">
        <v>38.96</v>
      </c>
      <c r="C1168" s="40">
        <v>81.94</v>
      </c>
      <c r="D1168" s="40">
        <v>36.5</v>
      </c>
      <c r="E1168" s="40">
        <v>54.61</v>
      </c>
      <c r="K1168" s="40"/>
      <c r="P1168" s="40"/>
      <c r="Q1168" s="40"/>
      <c r="R1168" s="40"/>
    </row>
    <row r="1169" spans="1:18" x14ac:dyDescent="0.2">
      <c r="A1169" s="40" t="s">
        <v>1456</v>
      </c>
      <c r="B1169" s="40">
        <v>39.5</v>
      </c>
      <c r="C1169" s="40">
        <v>47.51</v>
      </c>
      <c r="D1169" s="40">
        <v>32.979999999999997</v>
      </c>
      <c r="E1169" s="40">
        <v>44.92</v>
      </c>
      <c r="K1169" s="40"/>
      <c r="P1169" s="40"/>
      <c r="Q1169" s="40"/>
      <c r="R1169" s="40"/>
    </row>
    <row r="1170" spans="1:18" x14ac:dyDescent="0.2">
      <c r="A1170" s="40" t="s">
        <v>1457</v>
      </c>
      <c r="B1170" s="40">
        <v>38.53</v>
      </c>
      <c r="C1170" s="40">
        <v>45.75</v>
      </c>
      <c r="D1170" s="40">
        <v>35.479999999999997</v>
      </c>
      <c r="E1170" s="40">
        <v>37.880000000000003</v>
      </c>
      <c r="K1170" s="40"/>
      <c r="P1170" s="40"/>
      <c r="Q1170" s="40"/>
      <c r="R1170" s="40"/>
    </row>
    <row r="1171" spans="1:18" x14ac:dyDescent="0.2">
      <c r="A1171" s="40" t="s">
        <v>1458</v>
      </c>
      <c r="B1171" s="40">
        <v>32.270000000000003</v>
      </c>
      <c r="C1171" s="40">
        <v>34.61</v>
      </c>
      <c r="D1171" s="40">
        <v>27.29</v>
      </c>
      <c r="E1171" s="40">
        <v>28.89</v>
      </c>
      <c r="K1171" s="40"/>
      <c r="P1171" s="40"/>
      <c r="Q1171" s="40"/>
      <c r="R1171" s="40"/>
    </row>
    <row r="1172" spans="1:18" x14ac:dyDescent="0.2">
      <c r="A1172" s="40" t="s">
        <v>1459</v>
      </c>
      <c r="B1172" s="40">
        <v>29.51</v>
      </c>
      <c r="C1172" s="40">
        <v>32.65</v>
      </c>
      <c r="D1172" s="40">
        <v>27.11</v>
      </c>
      <c r="E1172" s="40">
        <v>27.11</v>
      </c>
      <c r="K1172" s="40"/>
      <c r="P1172" s="40"/>
      <c r="Q1172" s="40"/>
      <c r="R1172" s="40"/>
    </row>
    <row r="1173" spans="1:18" x14ac:dyDescent="0.2">
      <c r="A1173" s="40" t="s">
        <v>1460</v>
      </c>
      <c r="B1173" s="40">
        <v>29.5</v>
      </c>
      <c r="C1173" s="40">
        <v>31.83</v>
      </c>
      <c r="D1173" s="40">
        <v>26.18</v>
      </c>
      <c r="E1173" s="40">
        <v>28.26</v>
      </c>
      <c r="K1173" s="40"/>
      <c r="P1173" s="40"/>
      <c r="Q1173" s="40"/>
      <c r="R1173" s="40"/>
    </row>
    <row r="1174" spans="1:18" x14ac:dyDescent="0.2">
      <c r="A1174" s="41">
        <v>42013</v>
      </c>
      <c r="B1174" s="40">
        <v>33.06</v>
      </c>
      <c r="C1174" s="40">
        <v>34.369999999999997</v>
      </c>
      <c r="D1174" s="40">
        <v>29.31</v>
      </c>
      <c r="E1174" s="40">
        <v>31.21</v>
      </c>
      <c r="K1174" s="40"/>
      <c r="P1174" s="40"/>
      <c r="Q1174" s="40"/>
      <c r="R1174" s="40"/>
    </row>
    <row r="1175" spans="1:18" x14ac:dyDescent="0.2">
      <c r="A1175" s="41">
        <v>42044</v>
      </c>
      <c r="B1175" s="40">
        <v>28.37</v>
      </c>
      <c r="C1175" s="40">
        <v>29.41</v>
      </c>
      <c r="D1175" s="40">
        <v>23.15</v>
      </c>
      <c r="E1175" s="40">
        <v>24.26</v>
      </c>
      <c r="K1175" s="40"/>
      <c r="P1175" s="40"/>
      <c r="Q1175" s="40"/>
      <c r="R1175" s="40"/>
    </row>
    <row r="1176" spans="1:18" x14ac:dyDescent="0.2">
      <c r="A1176" s="41">
        <v>42072</v>
      </c>
      <c r="B1176" s="40">
        <v>23.75</v>
      </c>
      <c r="C1176" s="40">
        <v>25.06</v>
      </c>
      <c r="D1176" s="40">
        <v>21.55</v>
      </c>
      <c r="E1176" s="40">
        <v>23.99</v>
      </c>
      <c r="K1176" s="40"/>
      <c r="P1176" s="40"/>
      <c r="Q1176" s="40"/>
      <c r="R1176" s="40"/>
    </row>
    <row r="1177" spans="1:18" x14ac:dyDescent="0.2">
      <c r="A1177" s="41">
        <v>42103</v>
      </c>
      <c r="B1177" s="40">
        <v>26.67</v>
      </c>
      <c r="C1177" s="40">
        <v>29.4</v>
      </c>
      <c r="D1177" s="40">
        <v>24.9</v>
      </c>
      <c r="E1177" s="40">
        <v>26.88</v>
      </c>
      <c r="K1177" s="40"/>
      <c r="P1177" s="40"/>
      <c r="Q1177" s="40"/>
      <c r="R1177" s="40"/>
    </row>
    <row r="1178" spans="1:18" x14ac:dyDescent="0.2">
      <c r="A1178" s="41">
        <v>42225</v>
      </c>
      <c r="B1178" s="40">
        <v>25.55</v>
      </c>
      <c r="C1178" s="40">
        <v>27.48</v>
      </c>
      <c r="D1178" s="40">
        <v>24.36</v>
      </c>
      <c r="E1178" s="40">
        <v>24.42</v>
      </c>
      <c r="K1178" s="40"/>
      <c r="P1178" s="40"/>
      <c r="Q1178" s="40"/>
      <c r="R1178" s="40"/>
    </row>
    <row r="1179" spans="1:18" x14ac:dyDescent="0.2">
      <c r="A1179" s="41">
        <v>42256</v>
      </c>
      <c r="B1179" s="40">
        <v>24.3</v>
      </c>
      <c r="C1179" s="40">
        <v>29.1</v>
      </c>
      <c r="D1179" s="40">
        <v>24.3</v>
      </c>
      <c r="E1179" s="40">
        <v>27.9</v>
      </c>
      <c r="K1179" s="40"/>
      <c r="P1179" s="40"/>
      <c r="Q1179" s="40"/>
      <c r="R1179" s="40"/>
    </row>
    <row r="1180" spans="1:18" x14ac:dyDescent="0.2">
      <c r="A1180" s="41">
        <v>42286</v>
      </c>
      <c r="B1180" s="40">
        <v>28.62</v>
      </c>
      <c r="C1180" s="40">
        <v>30.24</v>
      </c>
      <c r="D1180" s="40">
        <v>26.11</v>
      </c>
      <c r="E1180" s="40">
        <v>26.11</v>
      </c>
      <c r="K1180" s="40"/>
      <c r="P1180" s="40"/>
      <c r="Q1180" s="40"/>
      <c r="R1180" s="40"/>
    </row>
    <row r="1181" spans="1:18" x14ac:dyDescent="0.2">
      <c r="A1181" s="41">
        <v>42317</v>
      </c>
      <c r="B1181" s="40">
        <v>27.31</v>
      </c>
      <c r="C1181" s="40">
        <v>28.02</v>
      </c>
      <c r="D1181" s="40">
        <v>23.28</v>
      </c>
      <c r="E1181" s="40">
        <v>23.43</v>
      </c>
      <c r="K1181" s="40"/>
      <c r="P1181" s="40"/>
      <c r="Q1181" s="40"/>
      <c r="R1181" s="40"/>
    </row>
    <row r="1182" spans="1:18" x14ac:dyDescent="0.2">
      <c r="A1182" s="40" t="s">
        <v>1461</v>
      </c>
      <c r="B1182" s="40">
        <v>26.41</v>
      </c>
      <c r="C1182" s="40">
        <v>27.48</v>
      </c>
      <c r="D1182" s="40">
        <v>25.26</v>
      </c>
      <c r="E1182" s="40">
        <v>25.52</v>
      </c>
      <c r="K1182" s="40"/>
      <c r="P1182" s="40"/>
      <c r="Q1182" s="40"/>
      <c r="R1182" s="40"/>
    </row>
    <row r="1183" spans="1:18" x14ac:dyDescent="0.2">
      <c r="A1183" s="40" t="s">
        <v>1462</v>
      </c>
      <c r="B1183" s="40">
        <v>25.38</v>
      </c>
      <c r="C1183" s="40">
        <v>25.87</v>
      </c>
      <c r="D1183" s="40">
        <v>23.49</v>
      </c>
      <c r="E1183" s="40">
        <v>24.62</v>
      </c>
      <c r="K1183" s="40"/>
      <c r="P1183" s="40"/>
      <c r="Q1183" s="40"/>
      <c r="R1183" s="40"/>
    </row>
    <row r="1184" spans="1:18" x14ac:dyDescent="0.2">
      <c r="A1184" s="40" t="s">
        <v>1463</v>
      </c>
      <c r="B1184" s="40">
        <v>24.82</v>
      </c>
      <c r="C1184" s="40">
        <v>25.23</v>
      </c>
      <c r="D1184" s="40">
        <v>23.12</v>
      </c>
      <c r="E1184" s="40">
        <v>23.75</v>
      </c>
      <c r="K1184" s="40"/>
      <c r="P1184" s="40"/>
      <c r="Q1184" s="40"/>
      <c r="R1184" s="40"/>
    </row>
    <row r="1185" spans="1:18" x14ac:dyDescent="0.2">
      <c r="A1185" s="40" t="s">
        <v>1464</v>
      </c>
      <c r="B1185" s="40">
        <v>24.68</v>
      </c>
      <c r="C1185" s="40">
        <v>26.04</v>
      </c>
      <c r="D1185" s="40">
        <v>17.5</v>
      </c>
      <c r="E1185" s="40">
        <v>22.25</v>
      </c>
      <c r="K1185" s="40"/>
      <c r="P1185" s="40"/>
      <c r="Q1185" s="40"/>
      <c r="R1185" s="40"/>
    </row>
    <row r="1186" spans="1:18" x14ac:dyDescent="0.2">
      <c r="A1186" s="40" t="s">
        <v>1465</v>
      </c>
      <c r="B1186" s="40">
        <v>23.95</v>
      </c>
      <c r="C1186" s="40">
        <v>24.61</v>
      </c>
      <c r="D1186" s="40">
        <v>21.2</v>
      </c>
      <c r="E1186" s="40">
        <v>21.78</v>
      </c>
      <c r="K1186" s="40"/>
      <c r="P1186" s="40"/>
      <c r="Q1186" s="40"/>
      <c r="R1186" s="40"/>
    </row>
    <row r="1187" spans="1:18" x14ac:dyDescent="0.2">
      <c r="A1187" s="40" t="s">
        <v>1466</v>
      </c>
      <c r="B1187" s="40">
        <v>22.69</v>
      </c>
      <c r="C1187" s="40">
        <v>23.06</v>
      </c>
      <c r="D1187" s="40">
        <v>19.600000000000001</v>
      </c>
      <c r="E1187" s="40">
        <v>19.61</v>
      </c>
      <c r="K1187" s="40"/>
      <c r="P1187" s="40"/>
      <c r="Q1187" s="40"/>
      <c r="R1187" s="40"/>
    </row>
    <row r="1188" spans="1:18" x14ac:dyDescent="0.2">
      <c r="A1188" s="40" t="s">
        <v>1467</v>
      </c>
      <c r="B1188" s="40">
        <v>24.21</v>
      </c>
      <c r="C1188" s="40">
        <v>25.69</v>
      </c>
      <c r="D1188" s="40">
        <v>23.12</v>
      </c>
      <c r="E1188" s="40">
        <v>23.45</v>
      </c>
      <c r="K1188" s="40"/>
      <c r="P1188" s="40"/>
      <c r="Q1188" s="40"/>
      <c r="R1188" s="40"/>
    </row>
    <row r="1189" spans="1:18" x14ac:dyDescent="0.2">
      <c r="A1189" s="40" t="s">
        <v>1468</v>
      </c>
      <c r="B1189" s="40">
        <v>23.49</v>
      </c>
      <c r="C1189" s="40">
        <v>24</v>
      </c>
      <c r="D1189" s="40">
        <v>21.45</v>
      </c>
      <c r="E1189" s="40">
        <v>22.46</v>
      </c>
      <c r="K1189" s="40"/>
      <c r="P1189" s="40"/>
      <c r="Q1189" s="40"/>
      <c r="R1189" s="40"/>
    </row>
    <row r="1190" spans="1:18" x14ac:dyDescent="0.2">
      <c r="A1190" s="40" t="s">
        <v>1469</v>
      </c>
      <c r="B1190" s="40">
        <v>25.03</v>
      </c>
      <c r="C1190" s="40">
        <v>26.83</v>
      </c>
      <c r="D1190" s="40">
        <v>22.63</v>
      </c>
      <c r="E1190" s="40">
        <v>24.22</v>
      </c>
      <c r="K1190" s="40"/>
      <c r="P1190" s="40"/>
      <c r="Q1190" s="40"/>
      <c r="R1190" s="40"/>
    </row>
    <row r="1191" spans="1:18" x14ac:dyDescent="0.2">
      <c r="A1191" s="40" t="s">
        <v>1470</v>
      </c>
      <c r="B1191" s="40">
        <v>21.31</v>
      </c>
      <c r="C1191" s="40">
        <v>24.78</v>
      </c>
      <c r="D1191" s="40">
        <v>21.23</v>
      </c>
      <c r="E1191" s="40">
        <v>22.89</v>
      </c>
      <c r="K1191" s="40"/>
      <c r="P1191" s="40"/>
      <c r="Q1191" s="40"/>
      <c r="R1191" s="40"/>
    </row>
    <row r="1192" spans="1:18" x14ac:dyDescent="0.2">
      <c r="A1192" s="40" t="s">
        <v>1471</v>
      </c>
      <c r="B1192" s="40">
        <v>26.69</v>
      </c>
      <c r="C1192" s="40">
        <v>31.13</v>
      </c>
      <c r="D1192" s="40">
        <v>25.61</v>
      </c>
      <c r="E1192" s="40">
        <v>30.26</v>
      </c>
      <c r="K1192" s="40"/>
      <c r="P1192" s="40"/>
      <c r="Q1192" s="40"/>
      <c r="R1192" s="40"/>
    </row>
    <row r="1193" spans="1:18" x14ac:dyDescent="0.2">
      <c r="A1193" s="40" t="s">
        <v>1472</v>
      </c>
      <c r="B1193" s="40">
        <v>29.55</v>
      </c>
      <c r="C1193" s="40">
        <v>31.06</v>
      </c>
      <c r="D1193" s="40">
        <v>27.96</v>
      </c>
      <c r="E1193" s="40">
        <v>28.56</v>
      </c>
      <c r="K1193" s="40"/>
      <c r="P1193" s="40"/>
      <c r="Q1193" s="40"/>
      <c r="R1193" s="40"/>
    </row>
    <row r="1194" spans="1:18" x14ac:dyDescent="0.2">
      <c r="A1194" s="40" t="s">
        <v>1473</v>
      </c>
      <c r="B1194" s="40">
        <v>26.24</v>
      </c>
      <c r="C1194" s="40">
        <v>27.37</v>
      </c>
      <c r="D1194" s="40">
        <v>24.48</v>
      </c>
      <c r="E1194" s="40">
        <v>25.7</v>
      </c>
      <c r="K1194" s="40"/>
      <c r="P1194" s="40"/>
      <c r="Q1194" s="40"/>
      <c r="R1194" s="40"/>
    </row>
    <row r="1195" spans="1:18" x14ac:dyDescent="0.2">
      <c r="A1195" s="41">
        <v>42014</v>
      </c>
      <c r="B1195" s="40">
        <v>22.84</v>
      </c>
      <c r="C1195" s="40">
        <v>24.94</v>
      </c>
      <c r="D1195" s="40">
        <v>21.91</v>
      </c>
      <c r="E1195" s="40">
        <v>21.93</v>
      </c>
      <c r="K1195" s="40"/>
      <c r="P1195" s="40"/>
      <c r="Q1195" s="40"/>
      <c r="R1195" s="40"/>
    </row>
    <row r="1196" spans="1:18" x14ac:dyDescent="0.2">
      <c r="A1196" s="41">
        <v>42045</v>
      </c>
      <c r="B1196" s="40">
        <v>24.14</v>
      </c>
      <c r="C1196" s="40">
        <v>24.51</v>
      </c>
      <c r="D1196" s="40">
        <v>19.21</v>
      </c>
      <c r="E1196" s="40">
        <v>19.350000000000001</v>
      </c>
      <c r="K1196" s="40"/>
      <c r="P1196" s="40"/>
      <c r="Q1196" s="40"/>
      <c r="R1196" s="40"/>
    </row>
    <row r="1197" spans="1:18" x14ac:dyDescent="0.2">
      <c r="A1197" s="41">
        <v>42134</v>
      </c>
      <c r="B1197" s="40">
        <v>19.88</v>
      </c>
      <c r="C1197" s="40">
        <v>20.61</v>
      </c>
      <c r="D1197" s="40">
        <v>18.559999999999999</v>
      </c>
      <c r="E1197" s="40">
        <v>19.02</v>
      </c>
      <c r="K1197" s="40"/>
      <c r="P1197" s="40"/>
      <c r="Q1197" s="40"/>
      <c r="R1197" s="40"/>
    </row>
    <row r="1198" spans="1:18" x14ac:dyDescent="0.2">
      <c r="A1198" s="41">
        <v>42165</v>
      </c>
      <c r="B1198" s="40">
        <v>18.82</v>
      </c>
      <c r="C1198" s="40">
        <v>19.8</v>
      </c>
      <c r="D1198" s="40">
        <v>17.739999999999998</v>
      </c>
      <c r="E1198" s="40">
        <v>18.190000000000001</v>
      </c>
      <c r="K1198" s="40"/>
      <c r="P1198" s="40"/>
      <c r="Q1198" s="40"/>
      <c r="R1198" s="40"/>
    </row>
    <row r="1199" spans="1:18" x14ac:dyDescent="0.2">
      <c r="A1199" s="41">
        <v>42195</v>
      </c>
      <c r="B1199" s="40">
        <v>17.190000000000001</v>
      </c>
      <c r="C1199" s="40">
        <v>18.54</v>
      </c>
      <c r="D1199" s="40">
        <v>16.32</v>
      </c>
      <c r="E1199" s="40">
        <v>16.39</v>
      </c>
      <c r="K1199" s="40"/>
      <c r="P1199" s="40"/>
      <c r="Q1199" s="40"/>
      <c r="R1199" s="40"/>
    </row>
    <row r="1200" spans="1:18" x14ac:dyDescent="0.2">
      <c r="A1200" s="41">
        <v>42226</v>
      </c>
      <c r="B1200" s="40">
        <v>16.96</v>
      </c>
      <c r="C1200" s="40">
        <v>17.489999999999998</v>
      </c>
      <c r="D1200" s="40">
        <v>15.06</v>
      </c>
      <c r="E1200" s="40">
        <v>15.47</v>
      </c>
      <c r="K1200" s="40"/>
      <c r="P1200" s="40"/>
      <c r="Q1200" s="40"/>
      <c r="R1200" s="40"/>
    </row>
    <row r="1201" spans="1:18" x14ac:dyDescent="0.2">
      <c r="A1201" s="41">
        <v>42257</v>
      </c>
      <c r="B1201" s="40">
        <v>14.89</v>
      </c>
      <c r="C1201" s="40">
        <v>16.579999999999998</v>
      </c>
      <c r="D1201" s="40">
        <v>14.2</v>
      </c>
      <c r="E1201" s="40">
        <v>14.27</v>
      </c>
      <c r="K1201" s="40"/>
      <c r="P1201" s="40"/>
      <c r="Q1201" s="40"/>
      <c r="R1201" s="40"/>
    </row>
    <row r="1202" spans="1:18" x14ac:dyDescent="0.2">
      <c r="A1202" s="41">
        <v>42348</v>
      </c>
      <c r="B1202" s="40">
        <v>16.170000000000002</v>
      </c>
      <c r="C1202" s="40">
        <v>16.43</v>
      </c>
      <c r="D1202" s="40">
        <v>14.51</v>
      </c>
      <c r="E1202" s="40">
        <v>14.73</v>
      </c>
      <c r="K1202" s="40"/>
      <c r="P1202" s="40"/>
      <c r="Q1202" s="40"/>
      <c r="R1202" s="40"/>
    </row>
    <row r="1203" spans="1:18" x14ac:dyDescent="0.2">
      <c r="A1203" s="40" t="s">
        <v>1474</v>
      </c>
      <c r="B1203" s="40">
        <v>15.99</v>
      </c>
      <c r="C1203" s="40">
        <v>16.66</v>
      </c>
      <c r="D1203" s="40">
        <v>14.48</v>
      </c>
      <c r="E1203" s="40">
        <v>16.53</v>
      </c>
      <c r="K1203" s="40"/>
      <c r="P1203" s="40"/>
      <c r="Q1203" s="40"/>
      <c r="R1203" s="40"/>
    </row>
    <row r="1204" spans="1:18" x14ac:dyDescent="0.2">
      <c r="A1204" s="40" t="s">
        <v>1475</v>
      </c>
      <c r="B1204" s="40">
        <v>16.45</v>
      </c>
      <c r="C1204" s="40">
        <v>18.190000000000001</v>
      </c>
      <c r="D1204" s="40">
        <v>15.93</v>
      </c>
      <c r="E1204" s="40">
        <v>16.899999999999999</v>
      </c>
      <c r="K1204" s="40"/>
      <c r="P1204" s="40"/>
      <c r="Q1204" s="40"/>
      <c r="R1204" s="40"/>
    </row>
    <row r="1205" spans="1:18" x14ac:dyDescent="0.2">
      <c r="A1205" s="40" t="s">
        <v>1476</v>
      </c>
      <c r="B1205" s="40">
        <v>16.72</v>
      </c>
      <c r="C1205" s="40">
        <v>17.22</v>
      </c>
      <c r="D1205" s="40">
        <v>13.84</v>
      </c>
      <c r="E1205" s="40">
        <v>13.85</v>
      </c>
      <c r="K1205" s="40"/>
      <c r="P1205" s="40"/>
      <c r="Q1205" s="40"/>
      <c r="R1205" s="40"/>
    </row>
    <row r="1206" spans="1:18" x14ac:dyDescent="0.2">
      <c r="A1206" s="40" t="s">
        <v>1477</v>
      </c>
      <c r="B1206" s="40">
        <v>13.7</v>
      </c>
      <c r="C1206" s="40">
        <v>14.55</v>
      </c>
      <c r="D1206" s="40">
        <v>12.86</v>
      </c>
      <c r="E1206" s="40">
        <v>12.89</v>
      </c>
      <c r="K1206" s="40"/>
      <c r="P1206" s="40"/>
      <c r="Q1206" s="40"/>
      <c r="R1206" s="40"/>
    </row>
    <row r="1207" spans="1:18" x14ac:dyDescent="0.2">
      <c r="A1207" s="40" t="s">
        <v>1478</v>
      </c>
      <c r="B1207" s="40">
        <v>14.88</v>
      </c>
      <c r="C1207" s="40">
        <v>15.26</v>
      </c>
      <c r="D1207" s="40">
        <v>13.64</v>
      </c>
      <c r="E1207" s="40">
        <v>13.87</v>
      </c>
      <c r="K1207" s="40"/>
      <c r="P1207" s="40"/>
      <c r="Q1207" s="40"/>
      <c r="R1207" s="40"/>
    </row>
    <row r="1208" spans="1:18" x14ac:dyDescent="0.2">
      <c r="A1208" s="40" t="s">
        <v>1479</v>
      </c>
      <c r="B1208" s="40">
        <v>14.79</v>
      </c>
      <c r="C1208" s="40">
        <v>15.68</v>
      </c>
      <c r="D1208" s="40">
        <v>13.94</v>
      </c>
      <c r="E1208" s="40">
        <v>15.01</v>
      </c>
      <c r="K1208" s="40"/>
      <c r="P1208" s="40"/>
      <c r="Q1208" s="40"/>
      <c r="R1208" s="40"/>
    </row>
    <row r="1209" spans="1:18" x14ac:dyDescent="0.2">
      <c r="A1209" s="40" t="s">
        <v>1480</v>
      </c>
      <c r="B1209" s="40">
        <v>14.58</v>
      </c>
      <c r="C1209" s="40">
        <v>16.7</v>
      </c>
      <c r="D1209" s="40">
        <v>14.18</v>
      </c>
      <c r="E1209" s="40">
        <v>16.670000000000002</v>
      </c>
      <c r="K1209" s="40"/>
      <c r="P1209" s="40"/>
      <c r="Q1209" s="40"/>
      <c r="R1209" s="40"/>
    </row>
    <row r="1210" spans="1:18" x14ac:dyDescent="0.2">
      <c r="A1210" s="40" t="s">
        <v>1481</v>
      </c>
      <c r="B1210" s="40">
        <v>15.19</v>
      </c>
      <c r="C1210" s="40">
        <v>15.72</v>
      </c>
      <c r="D1210" s="40">
        <v>13.1</v>
      </c>
      <c r="E1210" s="40">
        <v>13.1</v>
      </c>
      <c r="K1210" s="40"/>
      <c r="P1210" s="40"/>
      <c r="Q1210" s="40"/>
      <c r="R1210" s="40"/>
    </row>
    <row r="1211" spans="1:18" x14ac:dyDescent="0.2">
      <c r="A1211" s="40" t="s">
        <v>1482</v>
      </c>
      <c r="B1211" s="40">
        <v>13.57</v>
      </c>
      <c r="C1211" s="40">
        <v>14.57</v>
      </c>
      <c r="D1211" s="40">
        <v>12.79</v>
      </c>
      <c r="E1211" s="40">
        <v>13.15</v>
      </c>
      <c r="K1211" s="40"/>
      <c r="P1211" s="40"/>
      <c r="Q1211" s="40"/>
      <c r="R1211" s="40"/>
    </row>
    <row r="1212" spans="1:18" x14ac:dyDescent="0.2">
      <c r="A1212" s="40" t="s">
        <v>1483</v>
      </c>
      <c r="B1212" s="40">
        <v>14.61</v>
      </c>
      <c r="C1212" s="40">
        <v>15.64</v>
      </c>
      <c r="D1212" s="40">
        <v>14.53</v>
      </c>
      <c r="E1212" s="40">
        <v>15.2</v>
      </c>
      <c r="K1212" s="40"/>
      <c r="P1212" s="40"/>
      <c r="Q1212" s="40"/>
      <c r="R1212" s="40"/>
    </row>
    <row r="1213" spans="1:18" x14ac:dyDescent="0.2">
      <c r="A1213" s="40" t="s">
        <v>1484</v>
      </c>
      <c r="B1213" s="40">
        <v>16.28</v>
      </c>
      <c r="C1213" s="40">
        <v>16.75</v>
      </c>
      <c r="D1213" s="40">
        <v>15.39</v>
      </c>
      <c r="E1213" s="40">
        <v>16.309999999999999</v>
      </c>
      <c r="K1213" s="40"/>
      <c r="P1213" s="40"/>
      <c r="Q1213" s="40"/>
      <c r="R1213" s="40"/>
    </row>
    <row r="1214" spans="1:18" x14ac:dyDescent="0.2">
      <c r="A1214" s="40" t="s">
        <v>1485</v>
      </c>
      <c r="B1214" s="40">
        <v>16.12</v>
      </c>
      <c r="C1214" s="40">
        <v>21.12</v>
      </c>
      <c r="D1214" s="40">
        <v>14.02</v>
      </c>
      <c r="E1214" s="40">
        <v>14.57</v>
      </c>
      <c r="K1214" s="40"/>
      <c r="P1214" s="40"/>
      <c r="Q1214" s="40"/>
      <c r="R1214" s="40"/>
    </row>
    <row r="1215" spans="1:18" x14ac:dyDescent="0.2">
      <c r="A1215" s="40" t="s">
        <v>1486</v>
      </c>
      <c r="B1215" s="40">
        <v>15.26</v>
      </c>
      <c r="C1215" s="40">
        <v>16.149999999999999</v>
      </c>
      <c r="D1215" s="40">
        <v>14.26</v>
      </c>
      <c r="E1215" s="40">
        <v>14.54</v>
      </c>
      <c r="K1215" s="40"/>
      <c r="P1215" s="40"/>
      <c r="Q1215" s="40"/>
      <c r="R1215" s="40"/>
    </row>
    <row r="1216" spans="1:18" x14ac:dyDescent="0.2">
      <c r="A1216" s="40" t="s">
        <v>1487</v>
      </c>
      <c r="B1216" s="40">
        <v>14.55</v>
      </c>
      <c r="C1216" s="40">
        <v>15.28</v>
      </c>
      <c r="D1216" s="40">
        <v>13.31</v>
      </c>
      <c r="E1216" s="40">
        <v>14.31</v>
      </c>
      <c r="K1216" s="40"/>
      <c r="P1216" s="40"/>
      <c r="Q1216" s="40"/>
      <c r="R1216" s="40"/>
    </row>
    <row r="1217" spans="1:18" x14ac:dyDescent="0.2">
      <c r="A1217" s="41">
        <v>42046</v>
      </c>
      <c r="B1217" s="40">
        <v>15.38</v>
      </c>
      <c r="C1217" s="40">
        <v>15.38</v>
      </c>
      <c r="D1217" s="40">
        <v>12.94</v>
      </c>
      <c r="E1217" s="40">
        <v>13.68</v>
      </c>
      <c r="K1217" s="40"/>
      <c r="P1217" s="40"/>
      <c r="Q1217" s="40"/>
      <c r="R1217" s="40"/>
    </row>
    <row r="1218" spans="1:18" x14ac:dyDescent="0.2">
      <c r="A1218" s="41">
        <v>42074</v>
      </c>
      <c r="B1218" s="40">
        <v>13.92</v>
      </c>
      <c r="C1218" s="40">
        <v>14.08</v>
      </c>
      <c r="D1218" s="40">
        <v>12.84</v>
      </c>
      <c r="E1218" s="40">
        <v>13.81</v>
      </c>
      <c r="K1218" s="40"/>
      <c r="P1218" s="40"/>
      <c r="Q1218" s="40"/>
      <c r="R1218" s="40"/>
    </row>
    <row r="1219" spans="1:18" x14ac:dyDescent="0.2">
      <c r="A1219" s="41">
        <v>42105</v>
      </c>
      <c r="B1219" s="40">
        <v>12.96</v>
      </c>
      <c r="C1219" s="40">
        <v>15.75</v>
      </c>
      <c r="D1219" s="40">
        <v>12.87</v>
      </c>
      <c r="E1219" s="40">
        <v>14.76</v>
      </c>
      <c r="K1219" s="40"/>
      <c r="P1219" s="40"/>
      <c r="Q1219" s="40"/>
      <c r="R1219" s="40"/>
    </row>
    <row r="1220" spans="1:18" x14ac:dyDescent="0.2">
      <c r="A1220" s="41">
        <v>42135</v>
      </c>
      <c r="B1220" s="40">
        <v>14.81</v>
      </c>
      <c r="C1220" s="40">
        <v>16.329999999999998</v>
      </c>
      <c r="D1220" s="40">
        <v>14.2</v>
      </c>
      <c r="E1220" s="40">
        <v>14.22</v>
      </c>
      <c r="K1220" s="40"/>
      <c r="P1220" s="40"/>
      <c r="Q1220" s="40"/>
      <c r="R1220" s="40"/>
    </row>
    <row r="1221" spans="1:18" x14ac:dyDescent="0.2">
      <c r="A1221" s="41">
        <v>42166</v>
      </c>
      <c r="B1221" s="40">
        <v>13.59</v>
      </c>
      <c r="C1221" s="40">
        <v>15.4</v>
      </c>
      <c r="D1221" s="40">
        <v>12.54</v>
      </c>
      <c r="E1221" s="40">
        <v>12.6</v>
      </c>
      <c r="K1221" s="40"/>
      <c r="P1221" s="40"/>
      <c r="Q1221" s="40"/>
      <c r="R1221" s="40"/>
    </row>
    <row r="1222" spans="1:18" x14ac:dyDescent="0.2">
      <c r="A1222" s="41">
        <v>42258</v>
      </c>
      <c r="B1222" s="40">
        <v>14.88</v>
      </c>
      <c r="C1222" s="40">
        <v>17.87</v>
      </c>
      <c r="D1222" s="40">
        <v>14.75</v>
      </c>
      <c r="E1222" s="40">
        <v>16.39</v>
      </c>
      <c r="K1222" s="40"/>
      <c r="P1222" s="40"/>
      <c r="Q1222" s="40"/>
      <c r="R1222" s="40"/>
    </row>
    <row r="1223" spans="1:18" x14ac:dyDescent="0.2">
      <c r="A1223" s="41">
        <v>42288</v>
      </c>
      <c r="B1223" s="40">
        <v>16.739999999999998</v>
      </c>
      <c r="C1223" s="40">
        <v>17.2</v>
      </c>
      <c r="D1223" s="40">
        <v>14.1</v>
      </c>
      <c r="E1223" s="40">
        <v>14.29</v>
      </c>
      <c r="K1223" s="40"/>
      <c r="P1223" s="40"/>
      <c r="Q1223" s="40"/>
      <c r="R1223" s="40"/>
    </row>
    <row r="1224" spans="1:18" x14ac:dyDescent="0.2">
      <c r="A1224" s="41">
        <v>42319</v>
      </c>
      <c r="B1224" s="40">
        <v>14.16</v>
      </c>
      <c r="C1224" s="40">
        <v>15.68</v>
      </c>
      <c r="D1224" s="40">
        <v>14.08</v>
      </c>
      <c r="E1224" s="40">
        <v>15.6</v>
      </c>
      <c r="K1224" s="40"/>
      <c r="P1224" s="40"/>
      <c r="Q1224" s="40"/>
      <c r="R1224" s="40"/>
    </row>
    <row r="1225" spans="1:18" x14ac:dyDescent="0.2">
      <c r="A1225" s="41">
        <v>42349</v>
      </c>
      <c r="B1225" s="40">
        <v>16.77</v>
      </c>
      <c r="C1225" s="40">
        <v>18.39</v>
      </c>
      <c r="D1225" s="40">
        <v>15.87</v>
      </c>
      <c r="E1225" s="40">
        <v>18.39</v>
      </c>
      <c r="K1225" s="40"/>
      <c r="P1225" s="40"/>
      <c r="Q1225" s="40"/>
      <c r="R1225" s="40"/>
    </row>
    <row r="1226" spans="1:18" x14ac:dyDescent="0.2">
      <c r="A1226" s="40" t="s">
        <v>1488</v>
      </c>
      <c r="B1226" s="40">
        <v>18.77</v>
      </c>
      <c r="C1226" s="40">
        <v>21.34</v>
      </c>
      <c r="D1226" s="40">
        <v>18.2</v>
      </c>
      <c r="E1226" s="40">
        <v>20.43</v>
      </c>
      <c r="K1226" s="40"/>
      <c r="P1226" s="40"/>
      <c r="Q1226" s="40"/>
      <c r="R1226" s="40"/>
    </row>
    <row r="1227" spans="1:18" x14ac:dyDescent="0.2">
      <c r="A1227" s="40" t="s">
        <v>1489</v>
      </c>
      <c r="B1227" s="40">
        <v>21.11</v>
      </c>
      <c r="C1227" s="40">
        <v>21.2</v>
      </c>
      <c r="D1227" s="40">
        <v>16.29</v>
      </c>
      <c r="E1227" s="40">
        <v>16.809999999999999</v>
      </c>
      <c r="K1227" s="40"/>
      <c r="P1227" s="40"/>
      <c r="Q1227" s="40"/>
      <c r="R1227" s="40"/>
    </row>
    <row r="1228" spans="1:18" x14ac:dyDescent="0.2">
      <c r="A1228" s="40" t="s">
        <v>1490</v>
      </c>
      <c r="B1228" s="40">
        <v>16.5</v>
      </c>
      <c r="C1228" s="40">
        <v>18.32</v>
      </c>
      <c r="D1228" s="40">
        <v>15.32</v>
      </c>
      <c r="E1228" s="40">
        <v>17.02</v>
      </c>
      <c r="K1228" s="40"/>
      <c r="P1228" s="40"/>
      <c r="Q1228" s="40"/>
      <c r="R1228" s="40"/>
    </row>
    <row r="1229" spans="1:18" x14ac:dyDescent="0.2">
      <c r="A1229" s="40" t="s">
        <v>1491</v>
      </c>
      <c r="B1229" s="40">
        <v>16.559999999999999</v>
      </c>
      <c r="C1229" s="40">
        <v>16.579999999999998</v>
      </c>
      <c r="D1229" s="40">
        <v>13.33</v>
      </c>
      <c r="E1229" s="40">
        <v>13.33</v>
      </c>
      <c r="K1229" s="40"/>
      <c r="P1229" s="40"/>
      <c r="Q1229" s="40"/>
      <c r="R1229" s="40"/>
    </row>
    <row r="1230" spans="1:18" x14ac:dyDescent="0.2">
      <c r="A1230" s="40" t="s">
        <v>1492</v>
      </c>
      <c r="B1230" s="40">
        <v>13.37</v>
      </c>
      <c r="C1230" s="40">
        <v>14.28</v>
      </c>
      <c r="D1230" s="40">
        <v>13.16</v>
      </c>
      <c r="E1230" s="40">
        <v>13.62</v>
      </c>
      <c r="K1230" s="40"/>
      <c r="P1230" s="40"/>
      <c r="Q1230" s="40"/>
      <c r="R1230" s="40"/>
    </row>
    <row r="1231" spans="1:18" x14ac:dyDescent="0.2">
      <c r="A1231" s="40" t="s">
        <v>1493</v>
      </c>
      <c r="B1231" s="40">
        <v>12.98</v>
      </c>
      <c r="C1231" s="40">
        <v>13.44</v>
      </c>
      <c r="D1231" s="40">
        <v>12.4</v>
      </c>
      <c r="E1231" s="40">
        <v>12.4</v>
      </c>
      <c r="K1231" s="40"/>
      <c r="P1231" s="40"/>
      <c r="Q1231" s="40"/>
      <c r="R1231" s="40"/>
    </row>
    <row r="1232" spans="1:18" x14ac:dyDescent="0.2">
      <c r="A1232" s="40" t="s">
        <v>1494</v>
      </c>
      <c r="B1232" s="40">
        <v>14.83</v>
      </c>
      <c r="C1232" s="40">
        <v>15.1</v>
      </c>
      <c r="D1232" s="40">
        <v>13.45</v>
      </c>
      <c r="E1232" s="40">
        <v>14.07</v>
      </c>
      <c r="K1232" s="40"/>
      <c r="P1232" s="40"/>
      <c r="Q1232" s="40"/>
      <c r="R1232" s="40"/>
    </row>
    <row r="1233" spans="1:18" x14ac:dyDescent="0.2">
      <c r="A1233" s="40" t="s">
        <v>1495</v>
      </c>
      <c r="B1233" s="40">
        <v>16.059999999999999</v>
      </c>
      <c r="C1233" s="40">
        <v>17.059999999999999</v>
      </c>
      <c r="D1233" s="40">
        <v>14.39</v>
      </c>
      <c r="E1233" s="40">
        <v>14.54</v>
      </c>
      <c r="K1233" s="40"/>
      <c r="P1233" s="40"/>
      <c r="Q1233" s="40"/>
      <c r="R1233" s="40"/>
    </row>
    <row r="1234" spans="1:18" x14ac:dyDescent="0.2">
      <c r="A1234" s="40" t="s">
        <v>1496</v>
      </c>
      <c r="B1234" s="40">
        <v>14.49</v>
      </c>
      <c r="C1234" s="40">
        <v>15.05</v>
      </c>
      <c r="D1234" s="40">
        <v>14.14</v>
      </c>
      <c r="E1234" s="40">
        <v>14.35</v>
      </c>
      <c r="K1234" s="40"/>
      <c r="P1234" s="40"/>
      <c r="Q1234" s="40"/>
      <c r="R1234" s="40"/>
    </row>
    <row r="1235" spans="1:18" x14ac:dyDescent="0.2">
      <c r="A1235" s="40" t="s">
        <v>1497</v>
      </c>
      <c r="B1235" s="40">
        <v>14.75</v>
      </c>
      <c r="C1235" s="40">
        <v>15.8</v>
      </c>
      <c r="D1235" s="40">
        <v>13.94</v>
      </c>
      <c r="E1235" s="40">
        <v>14.21</v>
      </c>
      <c r="K1235" s="40"/>
      <c r="P1235" s="40"/>
      <c r="Q1235" s="40"/>
      <c r="R1235" s="40"/>
    </row>
    <row r="1236" spans="1:18" x14ac:dyDescent="0.2">
      <c r="A1236" s="40" t="s">
        <v>1498</v>
      </c>
      <c r="B1236" s="40">
        <v>15.19</v>
      </c>
      <c r="C1236" s="40">
        <v>17.37</v>
      </c>
      <c r="D1236" s="40">
        <v>15.15</v>
      </c>
      <c r="E1236" s="40">
        <v>16.600000000000001</v>
      </c>
      <c r="K1236" s="40"/>
      <c r="P1236" s="40"/>
      <c r="Q1236" s="40"/>
      <c r="R1236" s="40"/>
    </row>
    <row r="1237" spans="1:18" x14ac:dyDescent="0.2">
      <c r="A1237" s="41">
        <v>42016</v>
      </c>
      <c r="B1237" s="40">
        <v>15.57</v>
      </c>
      <c r="C1237" s="40">
        <v>16.78</v>
      </c>
      <c r="D1237" s="40">
        <v>13.95</v>
      </c>
      <c r="E1237" s="40">
        <v>13.99</v>
      </c>
      <c r="K1237" s="40"/>
      <c r="P1237" s="40"/>
      <c r="Q1237" s="40"/>
      <c r="R1237" s="40"/>
    </row>
    <row r="1238" spans="1:18" x14ac:dyDescent="0.2">
      <c r="A1238" s="41">
        <v>42047</v>
      </c>
      <c r="B1238" s="40">
        <v>14.54</v>
      </c>
      <c r="C1238" s="40">
        <v>17.100000000000001</v>
      </c>
      <c r="D1238" s="40">
        <v>13.96</v>
      </c>
      <c r="E1238" s="40">
        <v>15.97</v>
      </c>
      <c r="K1238" s="40"/>
      <c r="P1238" s="40"/>
      <c r="Q1238" s="40"/>
      <c r="R1238" s="40"/>
    </row>
    <row r="1239" spans="1:18" x14ac:dyDescent="0.2">
      <c r="A1239" s="41">
        <v>42075</v>
      </c>
      <c r="B1239" s="40">
        <v>16.010000000000002</v>
      </c>
      <c r="C1239" s="40">
        <v>20.57</v>
      </c>
      <c r="D1239" s="40">
        <v>15.97</v>
      </c>
      <c r="E1239" s="40">
        <v>18.71</v>
      </c>
      <c r="K1239" s="40"/>
      <c r="P1239" s="40"/>
      <c r="Q1239" s="40"/>
      <c r="R1239" s="40"/>
    </row>
    <row r="1240" spans="1:18" x14ac:dyDescent="0.2">
      <c r="A1240" s="41">
        <v>42106</v>
      </c>
      <c r="B1240" s="40">
        <v>17.420000000000002</v>
      </c>
      <c r="C1240" s="40">
        <v>17.809999999999999</v>
      </c>
      <c r="D1240" s="40">
        <v>13.64</v>
      </c>
      <c r="E1240" s="40">
        <v>13.65</v>
      </c>
      <c r="K1240" s="40"/>
      <c r="P1240" s="40"/>
      <c r="Q1240" s="40"/>
      <c r="R1240" s="40"/>
    </row>
    <row r="1241" spans="1:18" x14ac:dyDescent="0.2">
      <c r="A1241" s="41">
        <v>42197</v>
      </c>
      <c r="B1241" s="40">
        <v>15.94</v>
      </c>
      <c r="C1241" s="40">
        <v>18.07</v>
      </c>
      <c r="D1241" s="40">
        <v>15.88</v>
      </c>
      <c r="E1241" s="40">
        <v>16</v>
      </c>
      <c r="K1241" s="40"/>
      <c r="P1241" s="40"/>
      <c r="Q1241" s="40"/>
      <c r="R1241" s="40"/>
    </row>
    <row r="1242" spans="1:18" x14ac:dyDescent="0.2">
      <c r="A1242" s="41">
        <v>42228</v>
      </c>
      <c r="B1242" s="40">
        <v>19.02</v>
      </c>
      <c r="C1242" s="40">
        <v>20.09</v>
      </c>
      <c r="D1242" s="40">
        <v>17.52</v>
      </c>
      <c r="E1242" s="40">
        <v>18.809999999999999</v>
      </c>
      <c r="K1242" s="40"/>
      <c r="P1242" s="40"/>
      <c r="Q1242" s="40"/>
      <c r="R1242" s="40"/>
    </row>
    <row r="1243" spans="1:18" x14ac:dyDescent="0.2">
      <c r="A1243" s="41">
        <v>42259</v>
      </c>
      <c r="B1243" s="40">
        <v>19.77</v>
      </c>
      <c r="C1243" s="40">
        <v>22.99</v>
      </c>
      <c r="D1243" s="40">
        <v>18.079999999999998</v>
      </c>
      <c r="E1243" s="40">
        <v>22.07</v>
      </c>
      <c r="K1243" s="40"/>
      <c r="P1243" s="40"/>
      <c r="Q1243" s="40"/>
      <c r="R1243" s="40"/>
    </row>
    <row r="1244" spans="1:18" x14ac:dyDescent="0.2">
      <c r="A1244" s="41">
        <v>42289</v>
      </c>
      <c r="B1244" s="40">
        <v>21.48</v>
      </c>
      <c r="C1244" s="40">
        <v>22.08</v>
      </c>
      <c r="D1244" s="40">
        <v>19.16</v>
      </c>
      <c r="E1244" s="40">
        <v>20.420000000000002</v>
      </c>
      <c r="K1244" s="40"/>
      <c r="P1244" s="40"/>
      <c r="Q1244" s="40"/>
      <c r="R1244" s="40"/>
    </row>
    <row r="1245" spans="1:18" x14ac:dyDescent="0.2">
      <c r="A1245" s="41">
        <v>42320</v>
      </c>
      <c r="B1245" s="40">
        <v>23.34</v>
      </c>
      <c r="C1245" s="40">
        <v>29.88</v>
      </c>
      <c r="D1245" s="40">
        <v>22.94</v>
      </c>
      <c r="E1245" s="40">
        <v>28</v>
      </c>
      <c r="K1245" s="40"/>
      <c r="P1245" s="40"/>
      <c r="Q1245" s="40"/>
      <c r="R1245" s="40"/>
    </row>
    <row r="1246" spans="1:18" x14ac:dyDescent="0.2">
      <c r="A1246" s="40" t="s">
        <v>1499</v>
      </c>
      <c r="B1246" s="40">
        <v>30.71</v>
      </c>
      <c r="C1246" s="40">
        <v>34.18</v>
      </c>
      <c r="D1246" s="40">
        <v>25.28</v>
      </c>
      <c r="E1246" s="40">
        <v>25.78</v>
      </c>
      <c r="K1246" s="40"/>
      <c r="P1246" s="40"/>
      <c r="Q1246" s="40"/>
      <c r="R1246" s="40"/>
    </row>
    <row r="1247" spans="1:18" x14ac:dyDescent="0.2">
      <c r="A1247" s="40" t="s">
        <v>1500</v>
      </c>
      <c r="B1247" s="40">
        <v>24.04</v>
      </c>
      <c r="C1247" s="40">
        <v>24.04</v>
      </c>
      <c r="D1247" s="40">
        <v>22.29</v>
      </c>
      <c r="E1247" s="40">
        <v>23.05</v>
      </c>
      <c r="K1247" s="40"/>
      <c r="P1247" s="40"/>
      <c r="Q1247" s="40"/>
      <c r="R1247" s="40"/>
    </row>
    <row r="1248" spans="1:18" x14ac:dyDescent="0.2">
      <c r="A1248" s="40" t="s">
        <v>1501</v>
      </c>
      <c r="B1248" s="40">
        <v>22.38</v>
      </c>
      <c r="C1248" s="40">
        <v>24.7</v>
      </c>
      <c r="D1248" s="40">
        <v>17.87</v>
      </c>
      <c r="E1248" s="40">
        <v>18.809999999999999</v>
      </c>
      <c r="K1248" s="40"/>
      <c r="P1248" s="40"/>
      <c r="Q1248" s="40"/>
      <c r="R1248" s="40"/>
    </row>
    <row r="1249" spans="1:18" x14ac:dyDescent="0.2">
      <c r="A1249" s="40" t="s">
        <v>1502</v>
      </c>
      <c r="B1249" s="40">
        <v>15.9</v>
      </c>
      <c r="C1249" s="40">
        <v>19.5</v>
      </c>
      <c r="D1249" s="40">
        <v>15.85</v>
      </c>
      <c r="E1249" s="40">
        <v>18.88</v>
      </c>
      <c r="K1249" s="40"/>
      <c r="P1249" s="40"/>
      <c r="Q1249" s="40"/>
      <c r="R1249" s="40"/>
    </row>
    <row r="1250" spans="1:18" x14ac:dyDescent="0.2">
      <c r="A1250" s="40" t="s">
        <v>1503</v>
      </c>
      <c r="B1250" s="40">
        <v>18.91</v>
      </c>
      <c r="C1250" s="40">
        <v>20.16</v>
      </c>
      <c r="D1250" s="40">
        <v>18.22</v>
      </c>
      <c r="E1250" s="40">
        <v>19.38</v>
      </c>
      <c r="K1250" s="40"/>
      <c r="P1250" s="40"/>
      <c r="Q1250" s="40"/>
      <c r="R1250" s="40"/>
    </row>
    <row r="1251" spans="1:18" x14ac:dyDescent="0.2">
      <c r="A1251" s="40" t="s">
        <v>1504</v>
      </c>
      <c r="B1251" s="40">
        <v>19.16</v>
      </c>
      <c r="C1251" s="40">
        <v>19.53</v>
      </c>
      <c r="D1251" s="40">
        <v>17.55</v>
      </c>
      <c r="E1251" s="40">
        <v>17.55</v>
      </c>
      <c r="K1251" s="40"/>
      <c r="P1251" s="40"/>
      <c r="Q1251" s="40"/>
      <c r="R1251" s="40"/>
    </row>
    <row r="1252" spans="1:18" x14ac:dyDescent="0.2">
      <c r="A1252" s="40" t="s">
        <v>1505</v>
      </c>
      <c r="B1252" s="40">
        <v>16.34</v>
      </c>
      <c r="C1252" s="40">
        <v>17.07</v>
      </c>
      <c r="D1252" s="40">
        <v>14.73</v>
      </c>
      <c r="E1252" s="40">
        <v>15.06</v>
      </c>
      <c r="K1252" s="40"/>
      <c r="P1252" s="40"/>
      <c r="Q1252" s="40"/>
      <c r="R1252" s="40"/>
    </row>
    <row r="1253" spans="1:18" x14ac:dyDescent="0.2">
      <c r="A1253" s="40" t="s">
        <v>1506</v>
      </c>
      <c r="B1253" s="40">
        <v>14.39</v>
      </c>
      <c r="C1253" s="40">
        <v>14.95</v>
      </c>
      <c r="D1253" s="40">
        <v>13.2</v>
      </c>
      <c r="E1253" s="40">
        <v>13.64</v>
      </c>
      <c r="K1253" s="40"/>
      <c r="P1253" s="40"/>
      <c r="Q1253" s="40"/>
      <c r="R1253" s="40"/>
    </row>
    <row r="1254" spans="1:18" x14ac:dyDescent="0.2">
      <c r="A1254" s="40" t="s">
        <v>1507</v>
      </c>
      <c r="B1254" s="40">
        <v>13.55</v>
      </c>
      <c r="C1254" s="40">
        <v>13.75</v>
      </c>
      <c r="D1254" s="40">
        <v>12.97</v>
      </c>
      <c r="E1254" s="40">
        <v>13.47</v>
      </c>
      <c r="K1254" s="40"/>
      <c r="P1254" s="40"/>
      <c r="Q1254" s="40"/>
      <c r="R1254" s="40"/>
    </row>
    <row r="1255" spans="1:18" x14ac:dyDescent="0.2">
      <c r="A1255" s="40" t="s">
        <v>1508</v>
      </c>
      <c r="B1255" s="40">
        <v>16.760000000000002</v>
      </c>
      <c r="C1255" s="40">
        <v>17.420000000000002</v>
      </c>
      <c r="D1255" s="40">
        <v>15.76</v>
      </c>
      <c r="E1255" s="40">
        <v>15.79</v>
      </c>
      <c r="K1255" s="40"/>
      <c r="P1255" s="40"/>
      <c r="Q1255" s="40"/>
      <c r="R1255" s="40"/>
    </row>
    <row r="1256" spans="1:18" x14ac:dyDescent="0.2">
      <c r="A1256" s="40" t="s">
        <v>1509</v>
      </c>
      <c r="B1256" s="40">
        <v>14.73</v>
      </c>
      <c r="C1256" s="40">
        <v>16.329999999999998</v>
      </c>
      <c r="D1256" s="40">
        <v>14.35</v>
      </c>
      <c r="E1256" s="40">
        <v>14.74</v>
      </c>
      <c r="K1256" s="40"/>
      <c r="P1256" s="40"/>
      <c r="Q1256" s="40"/>
      <c r="R1256" s="40"/>
    </row>
    <row r="1257" spans="1:18" x14ac:dyDescent="0.2">
      <c r="A1257" s="40" t="s">
        <v>1510</v>
      </c>
      <c r="B1257" s="40">
        <v>15.01</v>
      </c>
      <c r="C1257" s="40">
        <v>16.22</v>
      </c>
      <c r="D1257" s="40">
        <v>15.01</v>
      </c>
      <c r="E1257" s="40">
        <v>15.96</v>
      </c>
      <c r="K1257" s="40"/>
      <c r="P1257" s="40"/>
      <c r="Q1257" s="40"/>
      <c r="R1257" s="40"/>
    </row>
    <row r="1258" spans="1:18" x14ac:dyDescent="0.2">
      <c r="A1258" s="40" t="s">
        <v>1511</v>
      </c>
      <c r="B1258" s="40">
        <v>16.940000000000001</v>
      </c>
      <c r="C1258" s="40">
        <v>18.100000000000001</v>
      </c>
      <c r="D1258" s="40">
        <v>16.190000000000001</v>
      </c>
      <c r="E1258" s="40">
        <v>17.52</v>
      </c>
      <c r="K1258" s="40"/>
      <c r="P1258" s="40"/>
      <c r="Q1258" s="40"/>
      <c r="R1258" s="40"/>
    </row>
    <row r="1259" spans="1:18" x14ac:dyDescent="0.2">
      <c r="A1259" s="41">
        <v>42461</v>
      </c>
      <c r="B1259" s="40">
        <v>24.72</v>
      </c>
      <c r="C1259" s="40">
        <v>25.79</v>
      </c>
      <c r="D1259" s="40">
        <v>21.34</v>
      </c>
      <c r="E1259" s="40">
        <v>21.93</v>
      </c>
      <c r="K1259" s="40"/>
      <c r="P1259" s="40"/>
      <c r="Q1259" s="40"/>
      <c r="R1259" s="40"/>
    </row>
    <row r="1260" spans="1:18" x14ac:dyDescent="0.2">
      <c r="A1260" s="41">
        <v>42491</v>
      </c>
      <c r="B1260" s="40">
        <v>21.73</v>
      </c>
      <c r="C1260" s="40">
        <v>22.09</v>
      </c>
      <c r="D1260" s="40">
        <v>19.079999999999998</v>
      </c>
      <c r="E1260" s="40">
        <v>19.37</v>
      </c>
      <c r="K1260" s="40"/>
      <c r="P1260" s="40"/>
      <c r="Q1260" s="40"/>
      <c r="R1260" s="40"/>
    </row>
    <row r="1261" spans="1:18" x14ac:dyDescent="0.2">
      <c r="A1261" s="41">
        <v>42522</v>
      </c>
      <c r="B1261" s="40">
        <v>22.37</v>
      </c>
      <c r="C1261" s="40">
        <v>22.77</v>
      </c>
      <c r="D1261" s="40">
        <v>20.11</v>
      </c>
      <c r="E1261" s="40">
        <v>20.6</v>
      </c>
      <c r="K1261" s="40"/>
      <c r="P1261" s="40"/>
      <c r="Q1261" s="40"/>
      <c r="R1261" s="40"/>
    </row>
    <row r="1262" spans="1:18" x14ac:dyDescent="0.2">
      <c r="A1262" s="41">
        <v>42552</v>
      </c>
      <c r="B1262" s="40">
        <v>24.16</v>
      </c>
      <c r="C1262" s="40">
        <v>27.58</v>
      </c>
      <c r="D1262" s="40">
        <v>23.63</v>
      </c>
      <c r="E1262" s="40">
        <v>26.19</v>
      </c>
      <c r="K1262" s="40"/>
      <c r="P1262" s="40"/>
      <c r="Q1262" s="40"/>
      <c r="R1262" s="40"/>
    </row>
    <row r="1263" spans="1:18" x14ac:dyDescent="0.2">
      <c r="A1263" s="41">
        <v>42583</v>
      </c>
      <c r="B1263" s="40">
        <v>23</v>
      </c>
      <c r="C1263" s="40">
        <v>28.3</v>
      </c>
      <c r="D1263" s="40">
        <v>22.58</v>
      </c>
      <c r="E1263" s="40">
        <v>27.98</v>
      </c>
      <c r="K1263" s="40"/>
      <c r="P1263" s="40"/>
      <c r="Q1263" s="40"/>
      <c r="R1263" s="40"/>
    </row>
    <row r="1264" spans="1:18" x14ac:dyDescent="0.2">
      <c r="A1264" s="41">
        <v>42675</v>
      </c>
      <c r="B1264" s="40">
        <v>26.68</v>
      </c>
      <c r="C1264" s="40">
        <v>28.34</v>
      </c>
      <c r="D1264" s="40">
        <v>23.47</v>
      </c>
      <c r="E1264" s="40">
        <v>24.21</v>
      </c>
      <c r="K1264" s="40"/>
      <c r="P1264" s="40"/>
      <c r="Q1264" s="40"/>
      <c r="R1264" s="40"/>
    </row>
    <row r="1265" spans="1:18" x14ac:dyDescent="0.2">
      <c r="A1265" s="41">
        <v>42705</v>
      </c>
      <c r="B1265" s="40">
        <v>23.06</v>
      </c>
      <c r="C1265" s="40">
        <v>23.75</v>
      </c>
      <c r="D1265" s="40">
        <v>21.42</v>
      </c>
      <c r="E1265" s="40">
        <v>22.3</v>
      </c>
      <c r="K1265" s="40"/>
      <c r="P1265" s="40"/>
      <c r="Q1265" s="40"/>
      <c r="R1265" s="40"/>
    </row>
    <row r="1266" spans="1:18" x14ac:dyDescent="0.2">
      <c r="A1266" s="40" t="s">
        <v>1512</v>
      </c>
      <c r="B1266" s="40">
        <v>21.48</v>
      </c>
      <c r="C1266" s="40">
        <v>26.87</v>
      </c>
      <c r="D1266" s="40">
        <v>21.08</v>
      </c>
      <c r="E1266" s="40">
        <v>25.57</v>
      </c>
      <c r="K1266" s="40"/>
      <c r="P1266" s="40"/>
      <c r="Q1266" s="40"/>
      <c r="R1266" s="40"/>
    </row>
    <row r="1267" spans="1:18" x14ac:dyDescent="0.2">
      <c r="A1267" s="40" t="s">
        <v>1513</v>
      </c>
      <c r="B1267" s="40">
        <v>25.21</v>
      </c>
      <c r="C1267" s="40">
        <v>27.53</v>
      </c>
      <c r="D1267" s="40">
        <v>23.68</v>
      </c>
      <c r="E1267" s="40">
        <v>24.63</v>
      </c>
      <c r="K1267" s="40"/>
      <c r="P1267" s="40"/>
      <c r="Q1267" s="40"/>
      <c r="R1267" s="40"/>
    </row>
    <row r="1268" spans="1:18" x14ac:dyDescent="0.2">
      <c r="A1268" s="40" t="s">
        <v>1514</v>
      </c>
      <c r="B1268" s="40">
        <v>32.1</v>
      </c>
      <c r="C1268" s="40">
        <v>35.47</v>
      </c>
      <c r="D1268" s="40">
        <v>28.96</v>
      </c>
      <c r="E1268" s="40">
        <v>29.6</v>
      </c>
      <c r="K1268" s="40"/>
      <c r="P1268" s="40"/>
      <c r="Q1268" s="40"/>
      <c r="R1268" s="40"/>
    </row>
    <row r="1269" spans="1:18" x14ac:dyDescent="0.2">
      <c r="A1269" s="40" t="s">
        <v>1515</v>
      </c>
      <c r="B1269" s="40">
        <v>28.83</v>
      </c>
      <c r="C1269" s="40">
        <v>32.520000000000003</v>
      </c>
      <c r="D1269" s="40">
        <v>28.43</v>
      </c>
      <c r="E1269" s="40">
        <v>30.43</v>
      </c>
      <c r="K1269" s="40"/>
      <c r="P1269" s="40"/>
      <c r="Q1269" s="40"/>
      <c r="R1269" s="40"/>
    </row>
    <row r="1270" spans="1:18" x14ac:dyDescent="0.2">
      <c r="A1270" s="40" t="s">
        <v>1516</v>
      </c>
      <c r="B1270" s="40">
        <v>34.119999999999997</v>
      </c>
      <c r="C1270" s="40">
        <v>38.549999999999997</v>
      </c>
      <c r="D1270" s="40">
        <v>31.27</v>
      </c>
      <c r="E1270" s="40">
        <v>32.85</v>
      </c>
      <c r="K1270" s="40"/>
      <c r="P1270" s="40"/>
      <c r="Q1270" s="40"/>
      <c r="R1270" s="40"/>
    </row>
    <row r="1271" spans="1:18" x14ac:dyDescent="0.2">
      <c r="A1271" s="40" t="s">
        <v>1517</v>
      </c>
      <c r="B1271" s="40">
        <v>32.4</v>
      </c>
      <c r="C1271" s="40">
        <v>33.67</v>
      </c>
      <c r="D1271" s="40">
        <v>28.2</v>
      </c>
      <c r="E1271" s="40">
        <v>29.99</v>
      </c>
      <c r="K1271" s="40"/>
      <c r="P1271" s="40"/>
      <c r="Q1271" s="40"/>
      <c r="R1271" s="40"/>
    </row>
    <row r="1272" spans="1:18" x14ac:dyDescent="0.2">
      <c r="A1272" s="40" t="s">
        <v>1518</v>
      </c>
      <c r="B1272" s="40">
        <v>26.17</v>
      </c>
      <c r="C1272" s="40">
        <v>26.29</v>
      </c>
      <c r="D1272" s="40">
        <v>22.55</v>
      </c>
      <c r="E1272" s="40">
        <v>22.59</v>
      </c>
      <c r="K1272" s="40"/>
      <c r="P1272" s="40"/>
      <c r="Q1272" s="40"/>
      <c r="R1272" s="40"/>
    </row>
    <row r="1273" spans="1:18" x14ac:dyDescent="0.2">
      <c r="A1273" s="40" t="s">
        <v>1519</v>
      </c>
      <c r="B1273" s="40">
        <v>25.03</v>
      </c>
      <c r="C1273" s="40">
        <v>26.32</v>
      </c>
      <c r="D1273" s="40">
        <v>23.48</v>
      </c>
      <c r="E1273" s="40">
        <v>26.04</v>
      </c>
      <c r="K1273" s="40"/>
      <c r="P1273" s="40"/>
      <c r="Q1273" s="40"/>
      <c r="R1273" s="40"/>
    </row>
    <row r="1274" spans="1:18" x14ac:dyDescent="0.2">
      <c r="A1274" s="40" t="s">
        <v>1520</v>
      </c>
      <c r="B1274" s="40">
        <v>25.75</v>
      </c>
      <c r="C1274" s="40">
        <v>26</v>
      </c>
      <c r="D1274" s="40">
        <v>24.06</v>
      </c>
      <c r="E1274" s="40">
        <v>24.25</v>
      </c>
      <c r="K1274" s="40"/>
      <c r="P1274" s="40"/>
      <c r="Q1274" s="40"/>
      <c r="R1274" s="40"/>
    </row>
    <row r="1275" spans="1:18" x14ac:dyDescent="0.2">
      <c r="A1275" s="40" t="s">
        <v>1521</v>
      </c>
      <c r="B1275" s="40">
        <v>25.22</v>
      </c>
      <c r="C1275" s="40">
        <v>26.85</v>
      </c>
      <c r="D1275" s="40">
        <v>23.51</v>
      </c>
      <c r="E1275" s="40">
        <v>24.51</v>
      </c>
      <c r="K1275" s="40"/>
      <c r="P1275" s="40"/>
      <c r="Q1275" s="40"/>
      <c r="R1275" s="40"/>
    </row>
    <row r="1276" spans="1:18" x14ac:dyDescent="0.2">
      <c r="A1276" s="40" t="s">
        <v>1522</v>
      </c>
      <c r="B1276" s="40">
        <v>23.4</v>
      </c>
      <c r="C1276" s="40">
        <v>25.26</v>
      </c>
      <c r="D1276" s="40">
        <v>22.79</v>
      </c>
      <c r="E1276" s="40">
        <v>23.4</v>
      </c>
      <c r="K1276" s="40"/>
      <c r="P1276" s="40"/>
      <c r="Q1276" s="40"/>
      <c r="R1276" s="40"/>
    </row>
    <row r="1277" spans="1:18" x14ac:dyDescent="0.2">
      <c r="A1277" s="40" t="s">
        <v>1523</v>
      </c>
      <c r="B1277" s="40">
        <v>22.47</v>
      </c>
      <c r="C1277" s="40">
        <v>22.48</v>
      </c>
      <c r="D1277" s="40">
        <v>18.850000000000001</v>
      </c>
      <c r="E1277" s="40">
        <v>19.37</v>
      </c>
      <c r="K1277" s="40"/>
      <c r="P1277" s="40"/>
      <c r="Q1277" s="40"/>
      <c r="R1277" s="40"/>
    </row>
    <row r="1278" spans="1:18" x14ac:dyDescent="0.2">
      <c r="A1278" s="41">
        <v>42371</v>
      </c>
      <c r="B1278" s="40">
        <v>21.62</v>
      </c>
      <c r="C1278" s="40">
        <v>22.3</v>
      </c>
      <c r="D1278" s="40">
        <v>19.25</v>
      </c>
      <c r="E1278" s="40">
        <v>19.68</v>
      </c>
      <c r="K1278" s="40"/>
      <c r="P1278" s="40"/>
      <c r="Q1278" s="40"/>
      <c r="R1278" s="40"/>
    </row>
    <row r="1279" spans="1:18" x14ac:dyDescent="0.2">
      <c r="A1279" s="41">
        <v>42402</v>
      </c>
      <c r="B1279" s="40">
        <v>21.59</v>
      </c>
      <c r="C1279" s="40">
        <v>23.06</v>
      </c>
      <c r="D1279" s="40">
        <v>21.35</v>
      </c>
      <c r="E1279" s="40">
        <v>22.19</v>
      </c>
      <c r="K1279" s="40"/>
      <c r="P1279" s="40"/>
      <c r="Q1279" s="40"/>
      <c r="R1279" s="40"/>
    </row>
    <row r="1280" spans="1:18" x14ac:dyDescent="0.2">
      <c r="A1280" s="41">
        <v>42431</v>
      </c>
      <c r="B1280" s="40">
        <v>21.71</v>
      </c>
      <c r="C1280" s="40">
        <v>25.2</v>
      </c>
      <c r="D1280" s="40">
        <v>21.67</v>
      </c>
      <c r="E1280" s="40">
        <v>22.35</v>
      </c>
      <c r="K1280" s="40"/>
      <c r="P1280" s="40"/>
      <c r="Q1280" s="40"/>
      <c r="R1280" s="40"/>
    </row>
    <row r="1281" spans="1:18" x14ac:dyDescent="0.2">
      <c r="A1281" s="41">
        <v>42462</v>
      </c>
      <c r="B1281" s="40">
        <v>23.21</v>
      </c>
      <c r="C1281" s="40">
        <v>23.97</v>
      </c>
      <c r="D1281" s="40">
        <v>21.56</v>
      </c>
      <c r="E1281" s="40">
        <v>21.75</v>
      </c>
      <c r="K1281" s="40"/>
      <c r="P1281" s="40"/>
      <c r="Q1281" s="40"/>
      <c r="R1281" s="40"/>
    </row>
    <row r="1282" spans="1:18" x14ac:dyDescent="0.2">
      <c r="A1282" s="41">
        <v>42492</v>
      </c>
      <c r="B1282" s="40">
        <v>21.7</v>
      </c>
      <c r="C1282" s="40">
        <v>23.87</v>
      </c>
      <c r="D1282" s="40">
        <v>21.56</v>
      </c>
      <c r="E1282" s="40">
        <v>22.96</v>
      </c>
      <c r="K1282" s="40"/>
      <c r="P1282" s="40"/>
      <c r="Q1282" s="40"/>
      <c r="R1282" s="40"/>
    </row>
    <row r="1283" spans="1:18" x14ac:dyDescent="0.2">
      <c r="A1283" s="41">
        <v>42584</v>
      </c>
      <c r="B1283" s="40">
        <v>26.57</v>
      </c>
      <c r="C1283" s="40">
        <v>28.88</v>
      </c>
      <c r="D1283" s="40">
        <v>25.99</v>
      </c>
      <c r="E1283" s="40">
        <v>26.4</v>
      </c>
      <c r="K1283" s="40"/>
      <c r="P1283" s="40"/>
      <c r="Q1283" s="40"/>
      <c r="R1283" s="40"/>
    </row>
    <row r="1284" spans="1:18" x14ac:dyDescent="0.2">
      <c r="A1284" s="41">
        <v>42615</v>
      </c>
      <c r="B1284" s="40">
        <v>29.78</v>
      </c>
      <c r="C1284" s="40">
        <v>30.28</v>
      </c>
      <c r="D1284" s="40">
        <v>26.01</v>
      </c>
      <c r="E1284" s="40">
        <v>26.84</v>
      </c>
      <c r="K1284" s="40"/>
      <c r="P1284" s="40"/>
      <c r="Q1284" s="40"/>
      <c r="R1284" s="40"/>
    </row>
    <row r="1285" spans="1:18" x14ac:dyDescent="0.2">
      <c r="A1285" s="41">
        <v>42645</v>
      </c>
      <c r="B1285" s="40">
        <v>25.64</v>
      </c>
      <c r="C1285" s="40">
        <v>26.25</v>
      </c>
      <c r="D1285" s="40">
        <v>23.96</v>
      </c>
      <c r="E1285" s="40">
        <v>25.53</v>
      </c>
      <c r="K1285" s="40"/>
      <c r="P1285" s="40"/>
      <c r="Q1285" s="40"/>
      <c r="R1285" s="40"/>
    </row>
    <row r="1286" spans="1:18" x14ac:dyDescent="0.2">
      <c r="A1286" s="41">
        <v>42676</v>
      </c>
      <c r="B1286" s="40">
        <v>29.57</v>
      </c>
      <c r="C1286" s="40">
        <v>30.04</v>
      </c>
      <c r="D1286" s="40">
        <v>27.16</v>
      </c>
      <c r="E1286" s="40">
        <v>27.36</v>
      </c>
      <c r="K1286" s="40"/>
      <c r="P1286" s="40"/>
      <c r="Q1286" s="40"/>
      <c r="R1286" s="40"/>
    </row>
    <row r="1287" spans="1:18" x14ac:dyDescent="0.2">
      <c r="A1287" s="41">
        <v>42706</v>
      </c>
      <c r="B1287" s="40">
        <v>26</v>
      </c>
      <c r="C1287" s="40">
        <v>26.49</v>
      </c>
      <c r="D1287" s="40">
        <v>22.15</v>
      </c>
      <c r="E1287" s="40">
        <v>22.71</v>
      </c>
      <c r="K1287" s="40"/>
      <c r="P1287" s="40"/>
      <c r="Q1287" s="40"/>
      <c r="R1287" s="40"/>
    </row>
    <row r="1288" spans="1:18" x14ac:dyDescent="0.2">
      <c r="A1288" s="40" t="s">
        <v>1524</v>
      </c>
      <c r="B1288" s="40">
        <v>23.96</v>
      </c>
      <c r="C1288" s="40">
        <v>24.61</v>
      </c>
      <c r="D1288" s="40">
        <v>21.56</v>
      </c>
      <c r="E1288" s="40">
        <v>21.81</v>
      </c>
      <c r="K1288" s="40"/>
      <c r="P1288" s="40"/>
      <c r="Q1288" s="40"/>
      <c r="R1288" s="40"/>
    </row>
    <row r="1289" spans="1:18" x14ac:dyDescent="0.2">
      <c r="A1289" s="40" t="s">
        <v>1525</v>
      </c>
      <c r="B1289" s="40">
        <v>20.98</v>
      </c>
      <c r="C1289" s="40">
        <v>21.54</v>
      </c>
      <c r="D1289" s="40">
        <v>20.07</v>
      </c>
      <c r="E1289" s="40">
        <v>20.27</v>
      </c>
      <c r="K1289" s="40"/>
      <c r="P1289" s="40"/>
      <c r="Q1289" s="40"/>
      <c r="R1289" s="40"/>
    </row>
    <row r="1290" spans="1:18" x14ac:dyDescent="0.2">
      <c r="A1290" s="40" t="s">
        <v>1526</v>
      </c>
      <c r="B1290" s="40">
        <v>20.25</v>
      </c>
      <c r="C1290" s="40">
        <v>20.7</v>
      </c>
      <c r="D1290" s="40">
        <v>18.71</v>
      </c>
      <c r="E1290" s="40">
        <v>19.53</v>
      </c>
      <c r="K1290" s="40"/>
      <c r="P1290" s="40"/>
      <c r="Q1290" s="40"/>
      <c r="R1290" s="40"/>
    </row>
    <row r="1291" spans="1:18" x14ac:dyDescent="0.2">
      <c r="A1291" s="40" t="s">
        <v>1527</v>
      </c>
      <c r="B1291" s="40">
        <v>20.57</v>
      </c>
      <c r="C1291" s="40">
        <v>21.15</v>
      </c>
      <c r="D1291" s="40">
        <v>18.18</v>
      </c>
      <c r="E1291" s="40">
        <v>18.22</v>
      </c>
      <c r="K1291" s="40"/>
      <c r="P1291" s="40"/>
      <c r="Q1291" s="40"/>
      <c r="R1291" s="40"/>
    </row>
    <row r="1292" spans="1:18" x14ac:dyDescent="0.2">
      <c r="A1292" s="40" t="s">
        <v>1528</v>
      </c>
      <c r="B1292" s="40">
        <v>19.54</v>
      </c>
      <c r="C1292" s="40">
        <v>19.7</v>
      </c>
      <c r="D1292" s="40">
        <v>17.8</v>
      </c>
      <c r="E1292" s="40">
        <v>18.39</v>
      </c>
      <c r="K1292" s="40"/>
      <c r="P1292" s="40"/>
      <c r="Q1292" s="40"/>
      <c r="R1292" s="40"/>
    </row>
    <row r="1293" spans="1:18" x14ac:dyDescent="0.2">
      <c r="A1293" s="40" t="s">
        <v>1529</v>
      </c>
      <c r="B1293" s="40">
        <v>19.04</v>
      </c>
      <c r="C1293" s="40">
        <v>21.16</v>
      </c>
      <c r="D1293" s="40">
        <v>18.66</v>
      </c>
      <c r="E1293" s="40">
        <v>20.69</v>
      </c>
      <c r="K1293" s="40"/>
      <c r="P1293" s="40"/>
      <c r="Q1293" s="40"/>
      <c r="R1293" s="40"/>
    </row>
    <row r="1294" spans="1:18" x14ac:dyDescent="0.2">
      <c r="A1294" s="40" t="s">
        <v>1530</v>
      </c>
      <c r="B1294" s="40">
        <v>22.59</v>
      </c>
      <c r="C1294" s="40">
        <v>23.34</v>
      </c>
      <c r="D1294" s="40">
        <v>20.47</v>
      </c>
      <c r="E1294" s="40">
        <v>20.72</v>
      </c>
      <c r="K1294" s="40"/>
      <c r="P1294" s="40"/>
      <c r="Q1294" s="40"/>
      <c r="R1294" s="40"/>
    </row>
    <row r="1295" spans="1:18" x14ac:dyDescent="0.2">
      <c r="A1295" s="40" t="s">
        <v>1531</v>
      </c>
      <c r="B1295" s="40">
        <v>20.47</v>
      </c>
      <c r="C1295" s="40">
        <v>21.37</v>
      </c>
      <c r="D1295" s="40">
        <v>17.79</v>
      </c>
      <c r="E1295" s="40">
        <v>17.79</v>
      </c>
      <c r="K1295" s="40"/>
      <c r="P1295" s="40"/>
      <c r="Q1295" s="40"/>
      <c r="R1295" s="40"/>
    </row>
    <row r="1296" spans="1:18" x14ac:dyDescent="0.2">
      <c r="A1296" s="40" t="s">
        <v>1532</v>
      </c>
      <c r="B1296" s="40">
        <v>17.690000000000001</v>
      </c>
      <c r="C1296" s="40">
        <v>19.22</v>
      </c>
      <c r="D1296" s="40">
        <v>17.690000000000001</v>
      </c>
      <c r="E1296" s="40">
        <v>18.559999999999999</v>
      </c>
      <c r="K1296" s="40"/>
      <c r="P1296" s="40"/>
      <c r="Q1296" s="40"/>
      <c r="R1296" s="40"/>
    </row>
    <row r="1297" spans="1:18" x14ac:dyDescent="0.2">
      <c r="A1297" s="40" t="s">
        <v>1533</v>
      </c>
      <c r="B1297" s="40">
        <v>20.57</v>
      </c>
      <c r="C1297" s="40">
        <v>20.78</v>
      </c>
      <c r="D1297" s="40">
        <v>18.77</v>
      </c>
      <c r="E1297" s="40">
        <v>20.36</v>
      </c>
      <c r="K1297" s="40"/>
      <c r="P1297" s="40"/>
      <c r="Q1297" s="40"/>
      <c r="R1297" s="40"/>
    </row>
    <row r="1298" spans="1:18" x14ac:dyDescent="0.2">
      <c r="A1298" s="41">
        <v>42372</v>
      </c>
      <c r="B1298" s="40">
        <v>19.600000000000001</v>
      </c>
      <c r="C1298" s="40">
        <v>20</v>
      </c>
      <c r="D1298" s="40">
        <v>16.920000000000002</v>
      </c>
      <c r="E1298" s="40">
        <v>17.04</v>
      </c>
      <c r="K1298" s="40"/>
      <c r="P1298" s="40"/>
      <c r="Q1298" s="40"/>
      <c r="R1298" s="40"/>
    </row>
    <row r="1299" spans="1:18" x14ac:dyDescent="0.2">
      <c r="A1299" s="41">
        <v>42403</v>
      </c>
      <c r="B1299" s="40">
        <v>17.55</v>
      </c>
      <c r="C1299" s="40">
        <v>18.18</v>
      </c>
      <c r="D1299" s="40">
        <v>15.03</v>
      </c>
      <c r="E1299" s="40">
        <v>15.78</v>
      </c>
      <c r="K1299" s="40"/>
      <c r="P1299" s="40"/>
      <c r="Q1299" s="40"/>
      <c r="R1299" s="40"/>
    </row>
    <row r="1300" spans="1:18" x14ac:dyDescent="0.2">
      <c r="A1300" s="41">
        <v>42432</v>
      </c>
      <c r="B1300" s="40">
        <v>16.239999999999998</v>
      </c>
      <c r="C1300" s="40">
        <v>16.739999999999998</v>
      </c>
      <c r="D1300" s="40">
        <v>15.53</v>
      </c>
      <c r="E1300" s="40">
        <v>15.91</v>
      </c>
      <c r="K1300" s="40"/>
      <c r="P1300" s="40"/>
      <c r="Q1300" s="40"/>
      <c r="R1300" s="40"/>
    </row>
    <row r="1301" spans="1:18" x14ac:dyDescent="0.2">
      <c r="A1301" s="41">
        <v>42463</v>
      </c>
      <c r="B1301" s="40">
        <v>15.83</v>
      </c>
      <c r="C1301" s="40">
        <v>16.72</v>
      </c>
      <c r="D1301" s="40">
        <v>14.86</v>
      </c>
      <c r="E1301" s="40">
        <v>15.86</v>
      </c>
      <c r="K1301" s="40"/>
      <c r="P1301" s="40"/>
      <c r="Q1301" s="40"/>
      <c r="R1301" s="40"/>
    </row>
    <row r="1302" spans="1:18" x14ac:dyDescent="0.2">
      <c r="A1302" s="41">
        <v>42554</v>
      </c>
      <c r="B1302" s="40">
        <v>18.600000000000001</v>
      </c>
      <c r="C1302" s="40">
        <v>18.739999999999998</v>
      </c>
      <c r="D1302" s="40">
        <v>17.14</v>
      </c>
      <c r="E1302" s="40">
        <v>17.66</v>
      </c>
      <c r="K1302" s="40"/>
      <c r="P1302" s="40"/>
      <c r="Q1302" s="40"/>
      <c r="R1302" s="40"/>
    </row>
    <row r="1303" spans="1:18" x14ac:dyDescent="0.2">
      <c r="A1303" s="41">
        <v>42585</v>
      </c>
      <c r="B1303" s="40">
        <v>19.329999999999998</v>
      </c>
      <c r="C1303" s="40">
        <v>19.73</v>
      </c>
      <c r="D1303" s="40">
        <v>18.45</v>
      </c>
      <c r="E1303" s="40">
        <v>19.170000000000002</v>
      </c>
      <c r="K1303" s="40"/>
      <c r="P1303" s="40"/>
      <c r="Q1303" s="40"/>
      <c r="R1303" s="40"/>
    </row>
    <row r="1304" spans="1:18" x14ac:dyDescent="0.2">
      <c r="A1304" s="41">
        <v>42616</v>
      </c>
      <c r="B1304" s="40">
        <v>19.2</v>
      </c>
      <c r="C1304" s="40">
        <v>19.95</v>
      </c>
      <c r="D1304" s="40">
        <v>18.72</v>
      </c>
      <c r="E1304" s="40">
        <v>18.79</v>
      </c>
      <c r="K1304" s="40"/>
      <c r="P1304" s="40"/>
      <c r="Q1304" s="40"/>
      <c r="R1304" s="40"/>
    </row>
    <row r="1305" spans="1:18" x14ac:dyDescent="0.2">
      <c r="A1305" s="41">
        <v>42646</v>
      </c>
      <c r="B1305" s="40">
        <v>18.329999999999998</v>
      </c>
      <c r="C1305" s="40">
        <v>19.86</v>
      </c>
      <c r="D1305" s="40">
        <v>16.98</v>
      </c>
      <c r="E1305" s="40">
        <v>17.66</v>
      </c>
      <c r="K1305" s="40"/>
      <c r="P1305" s="40"/>
      <c r="Q1305" s="40"/>
      <c r="R1305" s="40"/>
    </row>
    <row r="1306" spans="1:18" x14ac:dyDescent="0.2">
      <c r="A1306" s="41">
        <v>42677</v>
      </c>
      <c r="B1306" s="40">
        <v>16.37</v>
      </c>
      <c r="C1306" s="40">
        <v>16.72</v>
      </c>
      <c r="D1306" s="40">
        <v>15.18</v>
      </c>
      <c r="E1306" s="40">
        <v>15.2</v>
      </c>
      <c r="K1306" s="40"/>
      <c r="P1306" s="40"/>
      <c r="Q1306" s="40"/>
      <c r="R1306" s="40"/>
    </row>
    <row r="1307" spans="1:18" x14ac:dyDescent="0.2">
      <c r="A1307" s="40" t="s">
        <v>1534</v>
      </c>
      <c r="B1307" s="40">
        <v>16.54</v>
      </c>
      <c r="C1307" s="40">
        <v>17.190000000000001</v>
      </c>
      <c r="D1307" s="40">
        <v>15.66</v>
      </c>
      <c r="E1307" s="40">
        <v>15.99</v>
      </c>
      <c r="K1307" s="40"/>
      <c r="P1307" s="40"/>
      <c r="Q1307" s="40"/>
      <c r="R1307" s="40"/>
    </row>
    <row r="1308" spans="1:18" x14ac:dyDescent="0.2">
      <c r="A1308" s="40" t="s">
        <v>1535</v>
      </c>
      <c r="B1308" s="40">
        <v>16.97</v>
      </c>
      <c r="C1308" s="40">
        <v>17.25</v>
      </c>
      <c r="D1308" s="40">
        <v>16.21</v>
      </c>
      <c r="E1308" s="40">
        <v>16.46</v>
      </c>
      <c r="K1308" s="40"/>
      <c r="P1308" s="40"/>
      <c r="Q1308" s="40"/>
      <c r="R1308" s="40"/>
    </row>
    <row r="1309" spans="1:18" x14ac:dyDescent="0.2">
      <c r="A1309" s="40" t="s">
        <v>1536</v>
      </c>
      <c r="B1309" s="40">
        <v>17.2</v>
      </c>
      <c r="C1309" s="40">
        <v>17.2</v>
      </c>
      <c r="D1309" s="40">
        <v>14.02</v>
      </c>
      <c r="E1309" s="40">
        <v>14.07</v>
      </c>
      <c r="K1309" s="40"/>
      <c r="P1309" s="40"/>
      <c r="Q1309" s="40"/>
      <c r="R1309" s="40"/>
    </row>
    <row r="1310" spans="1:18" x14ac:dyDescent="0.2">
      <c r="A1310" s="40" t="s">
        <v>1537</v>
      </c>
      <c r="B1310" s="40">
        <v>14.4</v>
      </c>
      <c r="C1310" s="40">
        <v>14.4</v>
      </c>
      <c r="D1310" s="40">
        <v>12.44</v>
      </c>
      <c r="E1310" s="40">
        <v>13.05</v>
      </c>
      <c r="K1310" s="40"/>
      <c r="P1310" s="40"/>
      <c r="Q1310" s="40"/>
      <c r="R1310" s="40"/>
    </row>
    <row r="1311" spans="1:18" x14ac:dyDescent="0.2">
      <c r="A1311" s="40" t="s">
        <v>1538</v>
      </c>
      <c r="B1311" s="40">
        <v>12.76</v>
      </c>
      <c r="C1311" s="40">
        <v>13</v>
      </c>
      <c r="D1311" s="40">
        <v>12.32</v>
      </c>
      <c r="E1311" s="40">
        <v>12.47</v>
      </c>
      <c r="K1311" s="40"/>
      <c r="P1311" s="40"/>
      <c r="Q1311" s="40"/>
      <c r="R1311" s="40"/>
    </row>
    <row r="1312" spans="1:18" x14ac:dyDescent="0.2">
      <c r="A1312" s="40" t="s">
        <v>1539</v>
      </c>
      <c r="B1312" s="40">
        <v>14.01</v>
      </c>
      <c r="C1312" s="40">
        <v>14.27</v>
      </c>
      <c r="D1312" s="40">
        <v>12.47</v>
      </c>
      <c r="E1312" s="40">
        <v>12.77</v>
      </c>
      <c r="K1312" s="40"/>
      <c r="P1312" s="40"/>
      <c r="Q1312" s="40"/>
      <c r="R1312" s="40"/>
    </row>
    <row r="1313" spans="1:18" x14ac:dyDescent="0.2">
      <c r="A1313" s="40" t="s">
        <v>1540</v>
      </c>
      <c r="B1313" s="40">
        <v>13.89</v>
      </c>
      <c r="C1313" s="40">
        <v>14.12</v>
      </c>
      <c r="D1313" s="40">
        <v>12.64</v>
      </c>
      <c r="E1313" s="40">
        <v>13.14</v>
      </c>
      <c r="K1313" s="40"/>
      <c r="P1313" s="40"/>
      <c r="Q1313" s="40"/>
      <c r="R1313" s="40"/>
    </row>
    <row r="1314" spans="1:18" x14ac:dyDescent="0.2">
      <c r="A1314" s="40" t="s">
        <v>1541</v>
      </c>
      <c r="B1314" s="40">
        <v>13.47</v>
      </c>
      <c r="C1314" s="40">
        <v>13.9</v>
      </c>
      <c r="D1314" s="40">
        <v>13.17</v>
      </c>
      <c r="E1314" s="40">
        <v>13.36</v>
      </c>
      <c r="K1314" s="40"/>
      <c r="P1314" s="40"/>
      <c r="Q1314" s="40"/>
      <c r="R1314" s="40"/>
    </row>
    <row r="1315" spans="1:18" x14ac:dyDescent="0.2">
      <c r="A1315" s="40" t="s">
        <v>1542</v>
      </c>
      <c r="B1315" s="40">
        <v>15.27</v>
      </c>
      <c r="C1315" s="40">
        <v>15.42</v>
      </c>
      <c r="D1315" s="40">
        <v>12.33</v>
      </c>
      <c r="E1315" s="40">
        <v>12.35</v>
      </c>
      <c r="K1315" s="40"/>
      <c r="P1315" s="40"/>
      <c r="Q1315" s="40"/>
      <c r="R1315" s="40"/>
    </row>
    <row r="1316" spans="1:18" x14ac:dyDescent="0.2">
      <c r="A1316" s="40" t="s">
        <v>1543</v>
      </c>
      <c r="B1316" s="40">
        <v>14.59</v>
      </c>
      <c r="C1316" s="40">
        <v>15.08</v>
      </c>
      <c r="D1316" s="40">
        <v>13.5</v>
      </c>
      <c r="E1316" s="40">
        <v>14.07</v>
      </c>
      <c r="K1316" s="40"/>
      <c r="P1316" s="40"/>
      <c r="Q1316" s="40"/>
      <c r="R1316" s="40"/>
    </row>
    <row r="1317" spans="1:18" x14ac:dyDescent="0.2">
      <c r="A1317" s="40" t="s">
        <v>1544</v>
      </c>
      <c r="B1317" s="40">
        <v>14.7</v>
      </c>
      <c r="C1317" s="40">
        <v>14.94</v>
      </c>
      <c r="D1317" s="40">
        <v>12.06</v>
      </c>
      <c r="E1317" s="40">
        <v>12.17</v>
      </c>
      <c r="K1317" s="40"/>
      <c r="P1317" s="40"/>
      <c r="Q1317" s="40"/>
      <c r="R1317" s="40"/>
    </row>
    <row r="1318" spans="1:18" x14ac:dyDescent="0.2">
      <c r="A1318" s="40" t="s">
        <v>1545</v>
      </c>
      <c r="B1318" s="40">
        <v>12.15</v>
      </c>
      <c r="C1318" s="40">
        <v>12.34</v>
      </c>
      <c r="D1318" s="40">
        <v>11.39</v>
      </c>
      <c r="E1318" s="40">
        <v>11.87</v>
      </c>
      <c r="K1318" s="40"/>
      <c r="P1318" s="40"/>
      <c r="Q1318" s="40"/>
      <c r="R1318" s="40"/>
    </row>
    <row r="1319" spans="1:18" x14ac:dyDescent="0.2">
      <c r="A1319" s="40" t="s">
        <v>1546</v>
      </c>
      <c r="B1319" s="40">
        <v>12.09</v>
      </c>
      <c r="C1319" s="40">
        <v>12.79</v>
      </c>
      <c r="D1319" s="40">
        <v>11.67</v>
      </c>
      <c r="E1319" s="40">
        <v>12.25</v>
      </c>
      <c r="K1319" s="40"/>
      <c r="P1319" s="40"/>
      <c r="Q1319" s="40"/>
      <c r="R1319" s="40"/>
    </row>
    <row r="1320" spans="1:18" x14ac:dyDescent="0.2">
      <c r="A1320" s="41">
        <v>42373</v>
      </c>
      <c r="B1320" s="40">
        <v>13.82</v>
      </c>
      <c r="C1320" s="40">
        <v>13.84</v>
      </c>
      <c r="D1320" s="40">
        <v>10.72</v>
      </c>
      <c r="E1320" s="40">
        <v>10.92</v>
      </c>
      <c r="K1320" s="40"/>
      <c r="P1320" s="40"/>
      <c r="Q1320" s="40"/>
      <c r="R1320" s="40"/>
    </row>
    <row r="1321" spans="1:18" x14ac:dyDescent="0.2">
      <c r="A1321" s="41">
        <v>42464</v>
      </c>
      <c r="B1321" s="40">
        <v>12.4</v>
      </c>
      <c r="C1321" s="40">
        <v>12.89</v>
      </c>
      <c r="D1321" s="40">
        <v>11.82</v>
      </c>
      <c r="E1321" s="40">
        <v>12.5</v>
      </c>
      <c r="K1321" s="40"/>
      <c r="P1321" s="40"/>
      <c r="Q1321" s="40"/>
      <c r="R1321" s="40"/>
    </row>
    <row r="1322" spans="1:18" x14ac:dyDescent="0.2">
      <c r="A1322" s="41">
        <v>42494</v>
      </c>
      <c r="B1322" s="40">
        <v>14.23</v>
      </c>
      <c r="C1322" s="40">
        <v>14.53</v>
      </c>
      <c r="D1322" s="40">
        <v>13.48</v>
      </c>
      <c r="E1322" s="40">
        <v>13.96</v>
      </c>
      <c r="K1322" s="40"/>
      <c r="P1322" s="40"/>
      <c r="Q1322" s="40"/>
      <c r="R1322" s="40"/>
    </row>
    <row r="1323" spans="1:18" x14ac:dyDescent="0.2">
      <c r="A1323" s="41">
        <v>42525</v>
      </c>
      <c r="B1323" s="40">
        <v>14.43</v>
      </c>
      <c r="C1323" s="40">
        <v>14.69</v>
      </c>
      <c r="D1323" s="40">
        <v>12.15</v>
      </c>
      <c r="E1323" s="40">
        <v>12.56</v>
      </c>
      <c r="K1323" s="40"/>
      <c r="P1323" s="40"/>
      <c r="Q1323" s="40"/>
      <c r="R1323" s="40"/>
    </row>
    <row r="1324" spans="1:18" x14ac:dyDescent="0.2">
      <c r="A1324" s="41">
        <v>42555</v>
      </c>
      <c r="B1324" s="40">
        <v>14.09</v>
      </c>
      <c r="C1324" s="40">
        <v>16.149999999999999</v>
      </c>
      <c r="D1324" s="40">
        <v>13.4</v>
      </c>
      <c r="E1324" s="40">
        <v>15.2</v>
      </c>
      <c r="K1324" s="40"/>
      <c r="P1324" s="40"/>
      <c r="Q1324" s="40"/>
      <c r="R1324" s="40"/>
    </row>
    <row r="1325" spans="1:18" x14ac:dyDescent="0.2">
      <c r="A1325" s="41">
        <v>42586</v>
      </c>
      <c r="B1325" s="40">
        <v>14.09</v>
      </c>
      <c r="C1325" s="40">
        <v>14.53</v>
      </c>
      <c r="D1325" s="40">
        <v>12.97</v>
      </c>
      <c r="E1325" s="40">
        <v>13.59</v>
      </c>
      <c r="K1325" s="40"/>
      <c r="P1325" s="40"/>
      <c r="Q1325" s="40"/>
      <c r="R1325" s="40"/>
    </row>
    <row r="1326" spans="1:18" x14ac:dyDescent="0.2">
      <c r="A1326" s="41">
        <v>42678</v>
      </c>
      <c r="B1326" s="40">
        <v>14.28</v>
      </c>
      <c r="C1326" s="40">
        <v>15.6</v>
      </c>
      <c r="D1326" s="40">
        <v>13.64</v>
      </c>
      <c r="E1326" s="40">
        <v>15.59</v>
      </c>
      <c r="K1326" s="40"/>
      <c r="P1326" s="40"/>
      <c r="Q1326" s="40"/>
      <c r="R1326" s="40"/>
    </row>
    <row r="1327" spans="1:18" x14ac:dyDescent="0.2">
      <c r="A1327" s="41">
        <v>42708</v>
      </c>
      <c r="B1327" s="40">
        <v>15.2</v>
      </c>
      <c r="C1327" s="40">
        <v>16.02</v>
      </c>
      <c r="D1327" s="40">
        <v>13.71</v>
      </c>
      <c r="E1327" s="40">
        <v>13.71</v>
      </c>
      <c r="K1327" s="40"/>
      <c r="P1327" s="40"/>
      <c r="Q1327" s="40"/>
      <c r="R1327" s="40"/>
    </row>
    <row r="1328" spans="1:18" x14ac:dyDescent="0.2">
      <c r="A1328" s="40" t="s">
        <v>1547</v>
      </c>
      <c r="B1328" s="40">
        <v>13.59</v>
      </c>
      <c r="C1328" s="40">
        <v>13.59</v>
      </c>
      <c r="D1328" s="40">
        <v>12.3</v>
      </c>
      <c r="E1328" s="40">
        <v>12.45</v>
      </c>
      <c r="K1328" s="40"/>
      <c r="P1328" s="40"/>
      <c r="Q1328" s="40"/>
      <c r="R1328" s="40"/>
    </row>
    <row r="1329" spans="1:18" x14ac:dyDescent="0.2">
      <c r="A1329" s="40" t="s">
        <v>1548</v>
      </c>
      <c r="B1329" s="40">
        <v>12.76</v>
      </c>
      <c r="C1329" s="40">
        <v>12.91</v>
      </c>
      <c r="D1329" s="40">
        <v>11.84</v>
      </c>
      <c r="E1329" s="40">
        <v>12.32</v>
      </c>
      <c r="K1329" s="40"/>
      <c r="P1329" s="40"/>
      <c r="Q1329" s="40"/>
      <c r="R1329" s="40"/>
    </row>
    <row r="1330" spans="1:18" x14ac:dyDescent="0.2">
      <c r="A1330" s="40" t="s">
        <v>1549</v>
      </c>
      <c r="B1330" s="40">
        <v>12.52</v>
      </c>
      <c r="C1330" s="40">
        <v>12.98</v>
      </c>
      <c r="D1330" s="40">
        <v>12.18</v>
      </c>
      <c r="E1330" s="40">
        <v>12.2</v>
      </c>
      <c r="K1330" s="40"/>
      <c r="P1330" s="40"/>
      <c r="Q1330" s="40"/>
      <c r="R1330" s="40"/>
    </row>
    <row r="1331" spans="1:18" x14ac:dyDescent="0.2">
      <c r="A1331" s="40" t="s">
        <v>1550</v>
      </c>
      <c r="B1331" s="40">
        <v>14.5</v>
      </c>
      <c r="C1331" s="40">
        <v>14.5</v>
      </c>
      <c r="D1331" s="40">
        <v>12.7</v>
      </c>
      <c r="E1331" s="40">
        <v>12.86</v>
      </c>
      <c r="K1331" s="40"/>
      <c r="P1331" s="40"/>
      <c r="Q1331" s="40"/>
      <c r="R1331" s="40"/>
    </row>
    <row r="1332" spans="1:18" x14ac:dyDescent="0.2">
      <c r="A1332" s="40" t="s">
        <v>1551</v>
      </c>
      <c r="B1332" s="40">
        <v>12.96</v>
      </c>
      <c r="C1332" s="40">
        <v>13.76</v>
      </c>
      <c r="D1332" s="40">
        <v>12.69</v>
      </c>
      <c r="E1332" s="40">
        <v>12.86</v>
      </c>
      <c r="K1332" s="40"/>
      <c r="P1332" s="40"/>
      <c r="Q1332" s="40"/>
      <c r="R1332" s="40"/>
    </row>
    <row r="1333" spans="1:18" x14ac:dyDescent="0.2">
      <c r="A1333" s="40" t="s">
        <v>1552</v>
      </c>
      <c r="B1333" s="40">
        <v>12.41</v>
      </c>
      <c r="C1333" s="40">
        <v>13.04</v>
      </c>
      <c r="D1333" s="40">
        <v>12.19</v>
      </c>
      <c r="E1333" s="40">
        <v>12.8</v>
      </c>
      <c r="K1333" s="40"/>
      <c r="P1333" s="40"/>
      <c r="Q1333" s="40"/>
      <c r="R1333" s="40"/>
    </row>
    <row r="1334" spans="1:18" x14ac:dyDescent="0.2">
      <c r="A1334" s="40" t="s">
        <v>1553</v>
      </c>
      <c r="B1334" s="40">
        <v>12.9</v>
      </c>
      <c r="C1334" s="40">
        <v>13.63</v>
      </c>
      <c r="D1334" s="40">
        <v>12.78</v>
      </c>
      <c r="E1334" s="40">
        <v>13.18</v>
      </c>
      <c r="K1334" s="40"/>
      <c r="P1334" s="40"/>
      <c r="Q1334" s="40"/>
      <c r="R1334" s="40"/>
    </row>
    <row r="1335" spans="1:18" x14ac:dyDescent="0.2">
      <c r="A1335" s="40" t="s">
        <v>1554</v>
      </c>
      <c r="B1335" s="40">
        <v>13.29</v>
      </c>
      <c r="C1335" s="40">
        <v>13.43</v>
      </c>
      <c r="D1335" s="40">
        <v>11.73</v>
      </c>
      <c r="E1335" s="40">
        <v>11.93</v>
      </c>
      <c r="K1335" s="40"/>
      <c r="P1335" s="40"/>
      <c r="Q1335" s="40"/>
      <c r="R1335" s="40"/>
    </row>
    <row r="1336" spans="1:18" x14ac:dyDescent="0.2">
      <c r="A1336" s="40" t="s">
        <v>1555</v>
      </c>
      <c r="B1336" s="40">
        <v>14.07</v>
      </c>
      <c r="C1336" s="40">
        <v>14.49</v>
      </c>
      <c r="D1336" s="40">
        <v>13.53</v>
      </c>
      <c r="E1336" s="40">
        <v>13.62</v>
      </c>
      <c r="K1336" s="40"/>
      <c r="P1336" s="40"/>
      <c r="Q1336" s="40"/>
      <c r="R1336" s="40"/>
    </row>
    <row r="1337" spans="1:18" x14ac:dyDescent="0.2">
      <c r="A1337" s="40" t="s">
        <v>1556</v>
      </c>
      <c r="B1337" s="40">
        <v>13.54</v>
      </c>
      <c r="C1337" s="40">
        <v>14.06</v>
      </c>
      <c r="D1337" s="40">
        <v>13.14</v>
      </c>
      <c r="E1337" s="40">
        <v>13.5</v>
      </c>
      <c r="K1337" s="40"/>
      <c r="P1337" s="40"/>
      <c r="Q1337" s="40"/>
      <c r="R1337" s="40"/>
    </row>
    <row r="1338" spans="1:18" x14ac:dyDescent="0.2">
      <c r="A1338" s="40" t="s">
        <v>1557</v>
      </c>
      <c r="B1338" s="40">
        <v>14.12</v>
      </c>
      <c r="C1338" s="40">
        <v>14.64</v>
      </c>
      <c r="D1338" s="40">
        <v>12.42</v>
      </c>
      <c r="E1338" s="40">
        <v>12.81</v>
      </c>
      <c r="K1338" s="40"/>
      <c r="P1338" s="40"/>
      <c r="Q1338" s="40"/>
      <c r="R1338" s="40"/>
    </row>
    <row r="1339" spans="1:18" x14ac:dyDescent="0.2">
      <c r="A1339" s="40" t="s">
        <v>1558</v>
      </c>
      <c r="B1339" s="40">
        <v>13.76</v>
      </c>
      <c r="C1339" s="40">
        <v>15.05</v>
      </c>
      <c r="D1339" s="40">
        <v>12.18</v>
      </c>
      <c r="E1339" s="40">
        <v>14.55</v>
      </c>
      <c r="K1339" s="40"/>
      <c r="P1339" s="40"/>
      <c r="Q1339" s="40"/>
      <c r="R1339" s="40"/>
    </row>
    <row r="1340" spans="1:18" x14ac:dyDescent="0.2">
      <c r="A1340" s="40" t="s">
        <v>1559</v>
      </c>
      <c r="B1340" s="40">
        <v>15.33</v>
      </c>
      <c r="C1340" s="40">
        <v>17.07</v>
      </c>
      <c r="D1340" s="40">
        <v>14.77</v>
      </c>
      <c r="E1340" s="40">
        <v>14.79</v>
      </c>
      <c r="K1340" s="40"/>
      <c r="P1340" s="40"/>
      <c r="Q1340" s="40"/>
      <c r="R1340" s="40"/>
    </row>
    <row r="1341" spans="1:18" x14ac:dyDescent="0.2">
      <c r="A1341" s="41">
        <v>42405</v>
      </c>
      <c r="B1341" s="40">
        <v>15.85</v>
      </c>
      <c r="C1341" s="40">
        <v>15.9</v>
      </c>
      <c r="D1341" s="40">
        <v>13.59</v>
      </c>
      <c r="E1341" s="40">
        <v>13.77</v>
      </c>
      <c r="K1341" s="40"/>
      <c r="P1341" s="40"/>
      <c r="Q1341" s="40"/>
      <c r="R1341" s="40"/>
    </row>
    <row r="1342" spans="1:18" x14ac:dyDescent="0.2">
      <c r="A1342" s="41">
        <v>42434</v>
      </c>
      <c r="B1342" s="40">
        <v>15.48</v>
      </c>
      <c r="C1342" s="40">
        <v>16.37</v>
      </c>
      <c r="D1342" s="40">
        <v>14.6</v>
      </c>
      <c r="E1342" s="40">
        <v>15.17</v>
      </c>
      <c r="K1342" s="40"/>
      <c r="P1342" s="40"/>
      <c r="Q1342" s="40"/>
      <c r="R1342" s="40"/>
    </row>
    <row r="1343" spans="1:18" x14ac:dyDescent="0.2">
      <c r="A1343" s="41">
        <v>42465</v>
      </c>
      <c r="B1343" s="40">
        <v>16.28</v>
      </c>
      <c r="C1343" s="40">
        <v>16.72</v>
      </c>
      <c r="D1343" s="40">
        <v>15.32</v>
      </c>
      <c r="E1343" s="40">
        <v>15.47</v>
      </c>
      <c r="K1343" s="40"/>
      <c r="P1343" s="40"/>
      <c r="Q1343" s="40"/>
      <c r="R1343" s="40"/>
    </row>
    <row r="1344" spans="1:18" x14ac:dyDescent="0.2">
      <c r="A1344" s="41">
        <v>42495</v>
      </c>
      <c r="B1344" s="40">
        <v>15.4</v>
      </c>
      <c r="C1344" s="40">
        <v>16.16</v>
      </c>
      <c r="D1344" s="40">
        <v>15.02</v>
      </c>
      <c r="E1344" s="40">
        <v>15.37</v>
      </c>
      <c r="K1344" s="40"/>
      <c r="P1344" s="40"/>
      <c r="Q1344" s="40"/>
      <c r="R1344" s="40"/>
    </row>
    <row r="1345" spans="1:18" x14ac:dyDescent="0.2">
      <c r="A1345" s="41">
        <v>42526</v>
      </c>
      <c r="B1345" s="40">
        <v>15.67</v>
      </c>
      <c r="C1345" s="40">
        <v>15.74</v>
      </c>
      <c r="D1345" s="40">
        <v>13.2</v>
      </c>
      <c r="E1345" s="40">
        <v>13.38</v>
      </c>
      <c r="K1345" s="40"/>
      <c r="P1345" s="40"/>
      <c r="Q1345" s="40"/>
      <c r="R1345" s="40"/>
    </row>
    <row r="1346" spans="1:18" x14ac:dyDescent="0.2">
      <c r="A1346" s="41">
        <v>42618</v>
      </c>
      <c r="B1346" s="40">
        <v>14.85</v>
      </c>
      <c r="C1346" s="40">
        <v>14.98</v>
      </c>
      <c r="D1346" s="40">
        <v>13.51</v>
      </c>
      <c r="E1346" s="40">
        <v>13.86</v>
      </c>
      <c r="K1346" s="40"/>
      <c r="P1346" s="40"/>
      <c r="Q1346" s="40"/>
      <c r="R1346" s="40"/>
    </row>
    <row r="1347" spans="1:18" x14ac:dyDescent="0.2">
      <c r="A1347" s="41">
        <v>42648</v>
      </c>
      <c r="B1347" s="40">
        <v>13.19</v>
      </c>
      <c r="C1347" s="40">
        <v>13.32</v>
      </c>
      <c r="D1347" s="40">
        <v>12.75</v>
      </c>
      <c r="E1347" s="40">
        <v>12.8</v>
      </c>
      <c r="K1347" s="40"/>
      <c r="P1347" s="40"/>
      <c r="Q1347" s="40"/>
      <c r="R1347" s="40"/>
    </row>
    <row r="1348" spans="1:18" x14ac:dyDescent="0.2">
      <c r="A1348" s="41">
        <v>42679</v>
      </c>
      <c r="B1348" s="40">
        <v>12.71</v>
      </c>
      <c r="C1348" s="40">
        <v>13.75</v>
      </c>
      <c r="D1348" s="40">
        <v>12.55</v>
      </c>
      <c r="E1348" s="40">
        <v>13.75</v>
      </c>
      <c r="K1348" s="40"/>
      <c r="P1348" s="40"/>
      <c r="Q1348" s="40"/>
      <c r="R1348" s="40"/>
    </row>
    <row r="1349" spans="1:18" x14ac:dyDescent="0.2">
      <c r="A1349" s="41">
        <v>42709</v>
      </c>
      <c r="B1349" s="40">
        <v>13.01</v>
      </c>
      <c r="C1349" s="40">
        <v>15.16</v>
      </c>
      <c r="D1349" s="40">
        <v>12.91</v>
      </c>
      <c r="E1349" s="40">
        <v>13.46</v>
      </c>
      <c r="K1349" s="40"/>
      <c r="P1349" s="40"/>
      <c r="Q1349" s="40"/>
      <c r="R1349" s="40"/>
    </row>
    <row r="1350" spans="1:18" x14ac:dyDescent="0.2">
      <c r="A1350" s="40" t="s">
        <v>1560</v>
      </c>
      <c r="B1350" s="40">
        <v>13.75</v>
      </c>
      <c r="C1350" s="40">
        <v>14.68</v>
      </c>
      <c r="D1350" s="40">
        <v>12.66</v>
      </c>
      <c r="E1350" s="40">
        <v>14.15</v>
      </c>
      <c r="K1350" s="40"/>
      <c r="P1350" s="40"/>
      <c r="Q1350" s="40"/>
      <c r="R1350" s="40"/>
    </row>
    <row r="1351" spans="1:18" x14ac:dyDescent="0.2">
      <c r="A1351" s="40" t="s">
        <v>1561</v>
      </c>
      <c r="B1351" s="40">
        <v>15.91</v>
      </c>
      <c r="C1351" s="40">
        <v>15.91</v>
      </c>
      <c r="D1351" s="40">
        <v>13.24</v>
      </c>
      <c r="E1351" s="40">
        <v>13.59</v>
      </c>
      <c r="K1351" s="40"/>
      <c r="P1351" s="40"/>
      <c r="Q1351" s="40"/>
      <c r="R1351" s="40"/>
    </row>
    <row r="1352" spans="1:18" x14ac:dyDescent="0.2">
      <c r="A1352" s="40" t="s">
        <v>1562</v>
      </c>
      <c r="B1352" s="40">
        <v>14</v>
      </c>
      <c r="C1352" s="40">
        <v>15.93</v>
      </c>
      <c r="D1352" s="40">
        <v>13.5</v>
      </c>
      <c r="E1352" s="40">
        <v>15.11</v>
      </c>
      <c r="K1352" s="40"/>
      <c r="P1352" s="40"/>
      <c r="Q1352" s="40"/>
      <c r="R1352" s="40"/>
    </row>
    <row r="1353" spans="1:18" x14ac:dyDescent="0.2">
      <c r="A1353" s="40" t="s">
        <v>1563</v>
      </c>
      <c r="B1353" s="40">
        <v>15.45</v>
      </c>
      <c r="C1353" s="40">
        <v>16.5</v>
      </c>
      <c r="D1353" s="40">
        <v>14.15</v>
      </c>
      <c r="E1353" s="40">
        <v>15.34</v>
      </c>
      <c r="K1353" s="40"/>
      <c r="P1353" s="40"/>
      <c r="Q1353" s="40"/>
      <c r="R1353" s="40"/>
    </row>
    <row r="1354" spans="1:18" x14ac:dyDescent="0.2">
      <c r="A1354" s="40" t="s">
        <v>1564</v>
      </c>
      <c r="B1354" s="40">
        <v>16.32</v>
      </c>
      <c r="C1354" s="40">
        <v>17.48</v>
      </c>
      <c r="D1354" s="40">
        <v>15.28</v>
      </c>
      <c r="E1354" s="40">
        <v>15.28</v>
      </c>
      <c r="K1354" s="40"/>
      <c r="P1354" s="40"/>
      <c r="Q1354" s="40"/>
      <c r="R1354" s="40"/>
    </row>
    <row r="1355" spans="1:18" x14ac:dyDescent="0.2">
      <c r="A1355" s="40" t="s">
        <v>1565</v>
      </c>
      <c r="B1355" s="40">
        <v>14.66</v>
      </c>
      <c r="C1355" s="40">
        <v>14.66</v>
      </c>
      <c r="D1355" s="40">
        <v>12.62</v>
      </c>
      <c r="E1355" s="40">
        <v>12.73</v>
      </c>
      <c r="K1355" s="40"/>
      <c r="P1355" s="40"/>
      <c r="Q1355" s="40"/>
      <c r="R1355" s="40"/>
    </row>
    <row r="1356" spans="1:18" x14ac:dyDescent="0.2">
      <c r="A1356" s="40" t="s">
        <v>1566</v>
      </c>
      <c r="B1356" s="40">
        <v>14.49</v>
      </c>
      <c r="C1356" s="40">
        <v>14.49</v>
      </c>
      <c r="D1356" s="40">
        <v>13.15</v>
      </c>
      <c r="E1356" s="40">
        <v>13.6</v>
      </c>
      <c r="K1356" s="40"/>
      <c r="P1356" s="40"/>
      <c r="Q1356" s="40"/>
      <c r="R1356" s="40"/>
    </row>
    <row r="1357" spans="1:18" x14ac:dyDescent="0.2">
      <c r="A1357" s="40" t="s">
        <v>1567</v>
      </c>
      <c r="B1357" s="40">
        <v>13.17</v>
      </c>
      <c r="C1357" s="40">
        <v>13.22</v>
      </c>
      <c r="D1357" s="40">
        <v>11.75</v>
      </c>
      <c r="E1357" s="40">
        <v>11.91</v>
      </c>
      <c r="K1357" s="40"/>
      <c r="P1357" s="40"/>
      <c r="Q1357" s="40"/>
      <c r="R1357" s="40"/>
    </row>
    <row r="1358" spans="1:18" x14ac:dyDescent="0.2">
      <c r="A1358" s="40" t="s">
        <v>1568</v>
      </c>
      <c r="B1358" s="40">
        <v>11.73</v>
      </c>
      <c r="C1358" s="40">
        <v>11.75</v>
      </c>
      <c r="D1358" s="40">
        <v>11.24</v>
      </c>
      <c r="E1358" s="40">
        <v>11.41</v>
      </c>
      <c r="K1358" s="40"/>
      <c r="P1358" s="40"/>
      <c r="Q1358" s="40"/>
      <c r="R1358" s="40"/>
    </row>
    <row r="1359" spans="1:18" x14ac:dyDescent="0.2">
      <c r="A1359" s="40" t="s">
        <v>1569</v>
      </c>
      <c r="B1359" s="40">
        <v>11.41</v>
      </c>
      <c r="C1359" s="40">
        <v>11.83</v>
      </c>
      <c r="D1359" s="40">
        <v>10.46</v>
      </c>
      <c r="E1359" s="40">
        <v>10.46</v>
      </c>
      <c r="K1359" s="40"/>
      <c r="P1359" s="40"/>
      <c r="Q1359" s="40"/>
      <c r="R1359" s="40"/>
    </row>
    <row r="1360" spans="1:18" x14ac:dyDescent="0.2">
      <c r="A1360" s="40" t="s">
        <v>1570</v>
      </c>
      <c r="B1360" s="40">
        <v>10.69</v>
      </c>
      <c r="C1360" s="40">
        <v>11.16</v>
      </c>
      <c r="D1360" s="40">
        <v>9.73</v>
      </c>
      <c r="E1360" s="40">
        <v>9.77</v>
      </c>
      <c r="K1360" s="40"/>
      <c r="P1360" s="40"/>
      <c r="Q1360" s="40"/>
      <c r="R1360" s="40"/>
    </row>
    <row r="1361" spans="1:18" x14ac:dyDescent="0.2">
      <c r="A1361" s="40" t="s">
        <v>1571</v>
      </c>
      <c r="B1361" s="40">
        <v>11.66</v>
      </c>
      <c r="C1361" s="40">
        <v>13.05</v>
      </c>
      <c r="D1361" s="40">
        <v>11.45</v>
      </c>
      <c r="E1361" s="40">
        <v>11.85</v>
      </c>
      <c r="K1361" s="40"/>
      <c r="P1361" s="40"/>
      <c r="Q1361" s="40"/>
      <c r="R1361" s="40"/>
    </row>
    <row r="1362" spans="1:18" x14ac:dyDescent="0.2">
      <c r="A1362" s="41">
        <v>42375</v>
      </c>
      <c r="B1362" s="40">
        <v>12.86</v>
      </c>
      <c r="C1362" s="40">
        <v>13.26</v>
      </c>
      <c r="D1362" s="40">
        <v>11.6</v>
      </c>
      <c r="E1362" s="40">
        <v>11.61</v>
      </c>
      <c r="K1362" s="40"/>
      <c r="P1362" s="40"/>
      <c r="Q1362" s="40"/>
      <c r="R1362" s="40"/>
    </row>
    <row r="1363" spans="1:18" x14ac:dyDescent="0.2">
      <c r="A1363" s="41">
        <v>42406</v>
      </c>
      <c r="B1363" s="40">
        <v>12.51</v>
      </c>
      <c r="C1363" s="40">
        <v>12.73</v>
      </c>
      <c r="D1363" s="40">
        <v>10.99</v>
      </c>
      <c r="E1363" s="40">
        <v>11.01</v>
      </c>
      <c r="K1363" s="40"/>
      <c r="P1363" s="40"/>
      <c r="Q1363" s="40"/>
      <c r="R1363" s="40"/>
    </row>
    <row r="1364" spans="1:18" x14ac:dyDescent="0.2">
      <c r="A1364" s="41">
        <v>42435</v>
      </c>
      <c r="B1364" s="40">
        <v>11.47</v>
      </c>
      <c r="C1364" s="40">
        <v>12.27</v>
      </c>
      <c r="D1364" s="40">
        <v>9.9700000000000006</v>
      </c>
      <c r="E1364" s="40">
        <v>10.11</v>
      </c>
      <c r="K1364" s="40"/>
      <c r="P1364" s="40"/>
      <c r="Q1364" s="40"/>
      <c r="R1364" s="40"/>
    </row>
    <row r="1365" spans="1:18" x14ac:dyDescent="0.2">
      <c r="A1365" s="41">
        <v>42527</v>
      </c>
      <c r="B1365" s="40">
        <v>11.68</v>
      </c>
      <c r="C1365" s="40">
        <v>12.01</v>
      </c>
      <c r="D1365" s="40">
        <v>11.03</v>
      </c>
      <c r="E1365" s="40">
        <v>11.26</v>
      </c>
      <c r="K1365" s="40"/>
      <c r="P1365" s="40"/>
      <c r="Q1365" s="40"/>
      <c r="R1365" s="40"/>
    </row>
    <row r="1366" spans="1:18" x14ac:dyDescent="0.2">
      <c r="A1366" s="41">
        <v>42557</v>
      </c>
      <c r="B1366" s="40">
        <v>11.27</v>
      </c>
      <c r="C1366" s="40">
        <v>11.65</v>
      </c>
      <c r="D1366" s="40">
        <v>10.98</v>
      </c>
      <c r="E1366" s="40">
        <v>11.56</v>
      </c>
      <c r="K1366" s="40"/>
      <c r="P1366" s="40"/>
      <c r="Q1366" s="40"/>
      <c r="R1366" s="40"/>
    </row>
    <row r="1367" spans="1:18" x14ac:dyDescent="0.2">
      <c r="A1367" s="41">
        <v>42588</v>
      </c>
      <c r="B1367" s="40">
        <v>11.54</v>
      </c>
      <c r="C1367" s="40">
        <v>11.68</v>
      </c>
      <c r="D1367" s="40">
        <v>10.61</v>
      </c>
      <c r="E1367" s="40">
        <v>10.89</v>
      </c>
      <c r="K1367" s="40"/>
      <c r="P1367" s="40"/>
      <c r="Q1367" s="40"/>
      <c r="R1367" s="40"/>
    </row>
    <row r="1368" spans="1:18" x14ac:dyDescent="0.2">
      <c r="A1368" s="41">
        <v>42619</v>
      </c>
      <c r="B1368" s="40">
        <v>12.05</v>
      </c>
      <c r="C1368" s="40">
        <v>12.42</v>
      </c>
      <c r="D1368" s="40">
        <v>11.9</v>
      </c>
      <c r="E1368" s="40">
        <v>12.23</v>
      </c>
      <c r="K1368" s="40"/>
      <c r="P1368" s="40"/>
      <c r="Q1368" s="40"/>
      <c r="R1368" s="40"/>
    </row>
    <row r="1369" spans="1:18" x14ac:dyDescent="0.2">
      <c r="A1369" s="41">
        <v>42649</v>
      </c>
      <c r="B1369" s="40">
        <v>14.22</v>
      </c>
      <c r="C1369" s="40">
        <v>16.37</v>
      </c>
      <c r="D1369" s="40">
        <v>14.11</v>
      </c>
      <c r="E1369" s="40">
        <v>15.83</v>
      </c>
      <c r="K1369" s="40"/>
      <c r="P1369" s="40"/>
      <c r="Q1369" s="40"/>
      <c r="R1369" s="40"/>
    </row>
    <row r="1370" spans="1:18" x14ac:dyDescent="0.2">
      <c r="A1370" s="40" t="s">
        <v>1572</v>
      </c>
      <c r="B1370" s="40">
        <v>19.940000000000001</v>
      </c>
      <c r="C1370" s="40">
        <v>23.13</v>
      </c>
      <c r="D1370" s="40">
        <v>19.170000000000002</v>
      </c>
      <c r="E1370" s="40">
        <v>22.94</v>
      </c>
      <c r="K1370" s="40"/>
      <c r="P1370" s="40"/>
      <c r="Q1370" s="40"/>
      <c r="R1370" s="40"/>
    </row>
    <row r="1371" spans="1:18" x14ac:dyDescent="0.2">
      <c r="A1371" s="40" t="s">
        <v>1573</v>
      </c>
      <c r="B1371" s="40">
        <v>24.91</v>
      </c>
      <c r="C1371" s="40">
        <v>25.46</v>
      </c>
      <c r="D1371" s="40">
        <v>21.97</v>
      </c>
      <c r="E1371" s="40">
        <v>23.35</v>
      </c>
      <c r="K1371" s="40"/>
      <c r="P1371" s="40"/>
      <c r="Q1371" s="40"/>
      <c r="R1371" s="40"/>
    </row>
    <row r="1372" spans="1:18" x14ac:dyDescent="0.2">
      <c r="A1372" s="40" t="s">
        <v>1574</v>
      </c>
      <c r="B1372" s="40">
        <v>23.45</v>
      </c>
      <c r="C1372" s="40">
        <v>23.72</v>
      </c>
      <c r="D1372" s="40">
        <v>18.71</v>
      </c>
      <c r="E1372" s="40">
        <v>22.6</v>
      </c>
      <c r="K1372" s="40"/>
      <c r="P1372" s="40"/>
      <c r="Q1372" s="40"/>
      <c r="R1372" s="40"/>
    </row>
    <row r="1373" spans="1:18" x14ac:dyDescent="0.2">
      <c r="A1373" s="40" t="s">
        <v>1575</v>
      </c>
      <c r="B1373" s="40">
        <v>24.86</v>
      </c>
      <c r="C1373" s="40">
        <v>26.94</v>
      </c>
      <c r="D1373" s="40">
        <v>21.48</v>
      </c>
      <c r="E1373" s="40">
        <v>21.89</v>
      </c>
      <c r="K1373" s="40"/>
      <c r="P1373" s="40"/>
      <c r="Q1373" s="40"/>
      <c r="R1373" s="40"/>
    </row>
    <row r="1374" spans="1:18" x14ac:dyDescent="0.2">
      <c r="A1374" s="40" t="s">
        <v>1576</v>
      </c>
      <c r="B1374" s="40">
        <v>22.16</v>
      </c>
      <c r="C1374" s="40">
        <v>22.81</v>
      </c>
      <c r="D1374" s="40">
        <v>21.21</v>
      </c>
      <c r="E1374" s="40">
        <v>22</v>
      </c>
      <c r="K1374" s="40"/>
      <c r="P1374" s="40"/>
      <c r="Q1374" s="40"/>
      <c r="R1374" s="40"/>
    </row>
    <row r="1375" spans="1:18" x14ac:dyDescent="0.2">
      <c r="A1375" s="40" t="s">
        <v>1577</v>
      </c>
      <c r="B1375" s="40">
        <v>20.51</v>
      </c>
      <c r="C1375" s="40">
        <v>22.59</v>
      </c>
      <c r="D1375" s="40">
        <v>19.61</v>
      </c>
      <c r="E1375" s="40">
        <v>22.21</v>
      </c>
      <c r="K1375" s="40"/>
      <c r="P1375" s="40"/>
      <c r="Q1375" s="40"/>
      <c r="R1375" s="40"/>
    </row>
    <row r="1376" spans="1:18" x14ac:dyDescent="0.2">
      <c r="A1376" s="40" t="s">
        <v>1578</v>
      </c>
      <c r="B1376" s="40">
        <v>21.9</v>
      </c>
      <c r="C1376" s="40">
        <v>23.13</v>
      </c>
      <c r="D1376" s="40">
        <v>21.45</v>
      </c>
      <c r="E1376" s="40">
        <v>22.47</v>
      </c>
      <c r="K1376" s="40"/>
      <c r="P1376" s="40"/>
      <c r="Q1376" s="40"/>
      <c r="R1376" s="40"/>
    </row>
    <row r="1377" spans="1:18" x14ac:dyDescent="0.2">
      <c r="A1377" s="40" t="s">
        <v>1579</v>
      </c>
      <c r="B1377" s="40">
        <v>22.97</v>
      </c>
      <c r="C1377" s="40">
        <v>27.93</v>
      </c>
      <c r="D1377" s="40">
        <v>22.19</v>
      </c>
      <c r="E1377" s="40">
        <v>27.86</v>
      </c>
      <c r="K1377" s="40"/>
      <c r="P1377" s="40"/>
      <c r="Q1377" s="40"/>
      <c r="R1377" s="40"/>
    </row>
    <row r="1378" spans="1:18" x14ac:dyDescent="0.2">
      <c r="A1378" s="40" t="s">
        <v>1580</v>
      </c>
      <c r="B1378" s="40">
        <v>22.96</v>
      </c>
      <c r="C1378" s="40">
        <v>23.56</v>
      </c>
      <c r="D1378" s="40">
        <v>20.89</v>
      </c>
      <c r="E1378" s="40">
        <v>21.13</v>
      </c>
      <c r="K1378" s="40"/>
      <c r="P1378" s="40"/>
      <c r="Q1378" s="40"/>
      <c r="R1378" s="40"/>
    </row>
    <row r="1379" spans="1:18" x14ac:dyDescent="0.2">
      <c r="A1379" s="40" t="s">
        <v>1581</v>
      </c>
      <c r="B1379" s="40">
        <v>29.89</v>
      </c>
      <c r="C1379" s="40">
        <v>31.34</v>
      </c>
      <c r="D1379" s="40">
        <v>23.34</v>
      </c>
      <c r="E1379" s="40">
        <v>30.71</v>
      </c>
      <c r="K1379" s="40"/>
      <c r="P1379" s="40"/>
      <c r="Q1379" s="40"/>
      <c r="R1379" s="40"/>
    </row>
    <row r="1380" spans="1:18" x14ac:dyDescent="0.2">
      <c r="A1380" s="40" t="s">
        <v>1582</v>
      </c>
      <c r="B1380" s="40">
        <v>30.04</v>
      </c>
      <c r="C1380" s="40">
        <v>30.86</v>
      </c>
      <c r="D1380" s="40">
        <v>24.08</v>
      </c>
      <c r="E1380" s="40">
        <v>25.06</v>
      </c>
      <c r="K1380" s="40"/>
      <c r="P1380" s="40"/>
      <c r="Q1380" s="40"/>
      <c r="R1380" s="40"/>
    </row>
    <row r="1381" spans="1:18" x14ac:dyDescent="0.2">
      <c r="A1381" s="40" t="s">
        <v>1583</v>
      </c>
      <c r="B1381" s="40">
        <v>22.12</v>
      </c>
      <c r="C1381" s="40">
        <v>22.12</v>
      </c>
      <c r="D1381" s="40">
        <v>18.739999999999998</v>
      </c>
      <c r="E1381" s="40">
        <v>19.079999999999998</v>
      </c>
      <c r="K1381" s="40"/>
      <c r="P1381" s="40"/>
      <c r="Q1381" s="40"/>
      <c r="R1381" s="40"/>
    </row>
    <row r="1382" spans="1:18" x14ac:dyDescent="0.2">
      <c r="A1382" s="40" t="s">
        <v>1584</v>
      </c>
      <c r="B1382" s="40">
        <v>17.64</v>
      </c>
      <c r="C1382" s="40">
        <v>17.73</v>
      </c>
      <c r="D1382" s="40">
        <v>14.97</v>
      </c>
      <c r="E1382" s="40">
        <v>15.86</v>
      </c>
      <c r="K1382" s="40"/>
      <c r="P1382" s="40"/>
      <c r="Q1382" s="40"/>
      <c r="R1382" s="40"/>
    </row>
    <row r="1383" spans="1:18" x14ac:dyDescent="0.2">
      <c r="A1383" s="40" t="s">
        <v>1585</v>
      </c>
      <c r="B1383" s="40">
        <v>15.22</v>
      </c>
      <c r="C1383" s="40">
        <v>15.5</v>
      </c>
      <c r="D1383" s="40">
        <v>12.86</v>
      </c>
      <c r="E1383" s="40">
        <v>14.05</v>
      </c>
      <c r="K1383" s="40"/>
      <c r="P1383" s="40"/>
      <c r="Q1383" s="40"/>
      <c r="R1383" s="40"/>
    </row>
    <row r="1384" spans="1:18" x14ac:dyDescent="0.2">
      <c r="A1384" s="41">
        <v>42376</v>
      </c>
      <c r="B1384" s="40">
        <v>13.11</v>
      </c>
      <c r="C1384" s="40">
        <v>13.17</v>
      </c>
      <c r="D1384" s="40">
        <v>11.82</v>
      </c>
      <c r="E1384" s="40">
        <v>11.85</v>
      </c>
      <c r="K1384" s="40"/>
      <c r="P1384" s="40"/>
      <c r="Q1384" s="40"/>
      <c r="R1384" s="40"/>
    </row>
    <row r="1385" spans="1:18" x14ac:dyDescent="0.2">
      <c r="A1385" s="41">
        <v>42497</v>
      </c>
      <c r="B1385" s="40">
        <v>14.73</v>
      </c>
      <c r="C1385" s="40">
        <v>15.33</v>
      </c>
      <c r="D1385" s="40">
        <v>14.02</v>
      </c>
      <c r="E1385" s="40">
        <v>14.19</v>
      </c>
      <c r="K1385" s="40"/>
      <c r="P1385" s="40"/>
      <c r="Q1385" s="40"/>
      <c r="R1385" s="40"/>
    </row>
    <row r="1386" spans="1:18" x14ac:dyDescent="0.2">
      <c r="A1386" s="41">
        <v>42528</v>
      </c>
      <c r="B1386" s="40">
        <v>15.44</v>
      </c>
      <c r="C1386" s="40">
        <v>16.190000000000001</v>
      </c>
      <c r="D1386" s="40">
        <v>13.15</v>
      </c>
      <c r="E1386" s="40">
        <v>13.18</v>
      </c>
      <c r="K1386" s="40"/>
      <c r="P1386" s="40"/>
      <c r="Q1386" s="40"/>
      <c r="R1386" s="40"/>
    </row>
    <row r="1387" spans="1:18" x14ac:dyDescent="0.2">
      <c r="A1387" s="41">
        <v>42558</v>
      </c>
      <c r="B1387" s="40">
        <v>13.21</v>
      </c>
      <c r="C1387" s="40">
        <v>14.37</v>
      </c>
      <c r="D1387" s="40">
        <v>12.49</v>
      </c>
      <c r="E1387" s="40">
        <v>13.11</v>
      </c>
      <c r="K1387" s="40"/>
      <c r="P1387" s="40"/>
      <c r="Q1387" s="40"/>
      <c r="R1387" s="40"/>
    </row>
    <row r="1388" spans="1:18" x14ac:dyDescent="0.2">
      <c r="A1388" s="41">
        <v>42589</v>
      </c>
      <c r="B1388" s="40">
        <v>11.74</v>
      </c>
      <c r="C1388" s="40">
        <v>12.07</v>
      </c>
      <c r="D1388" s="40">
        <v>11.15</v>
      </c>
      <c r="E1388" s="40">
        <v>11.43</v>
      </c>
      <c r="K1388" s="40"/>
      <c r="P1388" s="40"/>
      <c r="Q1388" s="40"/>
      <c r="R1388" s="40"/>
    </row>
    <row r="1389" spans="1:18" x14ac:dyDescent="0.2">
      <c r="A1389" s="41">
        <v>42681</v>
      </c>
      <c r="B1389" s="40">
        <v>12.21</v>
      </c>
      <c r="C1389" s="40">
        <v>12.76</v>
      </c>
      <c r="D1389" s="40">
        <v>11.98</v>
      </c>
      <c r="E1389" s="40">
        <v>12.23</v>
      </c>
      <c r="K1389" s="40"/>
      <c r="P1389" s="40"/>
      <c r="Q1389" s="40"/>
      <c r="R1389" s="40"/>
    </row>
    <row r="1390" spans="1:18" x14ac:dyDescent="0.2">
      <c r="A1390" s="41">
        <v>42711</v>
      </c>
      <c r="B1390" s="40">
        <v>11.6</v>
      </c>
      <c r="C1390" s="40">
        <v>12.87</v>
      </c>
      <c r="D1390" s="40">
        <v>11.6</v>
      </c>
      <c r="E1390" s="40">
        <v>12.25</v>
      </c>
      <c r="K1390" s="40"/>
      <c r="P1390" s="40"/>
      <c r="Q1390" s="40"/>
      <c r="R1390" s="40"/>
    </row>
    <row r="1391" spans="1:18" x14ac:dyDescent="0.2">
      <c r="A1391" s="40" t="s">
        <v>1586</v>
      </c>
      <c r="B1391" s="40">
        <v>12.32</v>
      </c>
      <c r="C1391" s="40">
        <v>12.61</v>
      </c>
      <c r="D1391" s="40">
        <v>10.91</v>
      </c>
      <c r="E1391" s="40">
        <v>11.11</v>
      </c>
      <c r="K1391" s="40"/>
      <c r="P1391" s="40"/>
      <c r="Q1391" s="40"/>
      <c r="R1391" s="40"/>
    </row>
    <row r="1392" spans="1:18" x14ac:dyDescent="0.2">
      <c r="A1392" s="40" t="s">
        <v>1587</v>
      </c>
      <c r="B1392" s="40">
        <v>11.76</v>
      </c>
      <c r="C1392" s="40">
        <v>11.77</v>
      </c>
      <c r="D1392" s="40">
        <v>10.61</v>
      </c>
      <c r="E1392" s="40">
        <v>10.93</v>
      </c>
      <c r="K1392" s="40"/>
      <c r="P1392" s="40"/>
      <c r="Q1392" s="40"/>
      <c r="R1392" s="40"/>
    </row>
    <row r="1393" spans="1:18" x14ac:dyDescent="0.2">
      <c r="A1393" s="40" t="s">
        <v>1588</v>
      </c>
      <c r="B1393" s="40">
        <v>10.66</v>
      </c>
      <c r="C1393" s="40">
        <v>10.91</v>
      </c>
      <c r="D1393" s="40">
        <v>9.7100000000000009</v>
      </c>
      <c r="E1393" s="40">
        <v>10.26</v>
      </c>
      <c r="K1393" s="40"/>
      <c r="P1393" s="40"/>
      <c r="Q1393" s="40"/>
      <c r="R1393" s="40"/>
    </row>
    <row r="1394" spans="1:18" x14ac:dyDescent="0.2">
      <c r="A1394" s="40" t="s">
        <v>1589</v>
      </c>
      <c r="B1394" s="40">
        <v>11.68</v>
      </c>
      <c r="C1394" s="40">
        <v>11.73</v>
      </c>
      <c r="D1394" s="40">
        <v>10.93</v>
      </c>
      <c r="E1394" s="40">
        <v>10.99</v>
      </c>
      <c r="K1394" s="40"/>
      <c r="P1394" s="40"/>
      <c r="Q1394" s="40"/>
      <c r="R1394" s="40"/>
    </row>
    <row r="1395" spans="1:18" x14ac:dyDescent="0.2">
      <c r="A1395" s="40" t="s">
        <v>1590</v>
      </c>
      <c r="B1395" s="40">
        <v>11.26</v>
      </c>
      <c r="C1395" s="40">
        <v>11.8</v>
      </c>
      <c r="D1395" s="40">
        <v>10.96</v>
      </c>
      <c r="E1395" s="40">
        <v>11.02</v>
      </c>
      <c r="K1395" s="40"/>
      <c r="P1395" s="40"/>
      <c r="Q1395" s="40"/>
      <c r="R1395" s="40"/>
    </row>
    <row r="1396" spans="1:18" x14ac:dyDescent="0.2">
      <c r="A1396" s="40" t="s">
        <v>1591</v>
      </c>
      <c r="B1396" s="40">
        <v>10.8</v>
      </c>
      <c r="C1396" s="40">
        <v>11.09</v>
      </c>
      <c r="D1396" s="40">
        <v>10.24</v>
      </c>
      <c r="E1396" s="40">
        <v>10.43</v>
      </c>
      <c r="K1396" s="40"/>
      <c r="P1396" s="40"/>
      <c r="Q1396" s="40"/>
      <c r="R1396" s="40"/>
    </row>
    <row r="1397" spans="1:18" x14ac:dyDescent="0.2">
      <c r="A1397" s="40" t="s">
        <v>1592</v>
      </c>
      <c r="B1397" s="40">
        <v>10.8</v>
      </c>
      <c r="C1397" s="40">
        <v>12.24</v>
      </c>
      <c r="D1397" s="40">
        <v>10.41</v>
      </c>
      <c r="E1397" s="40">
        <v>11.5</v>
      </c>
      <c r="K1397" s="40"/>
      <c r="P1397" s="40"/>
      <c r="Q1397" s="40"/>
      <c r="R1397" s="40"/>
    </row>
    <row r="1398" spans="1:18" x14ac:dyDescent="0.2">
      <c r="A1398" s="40" t="s">
        <v>1593</v>
      </c>
      <c r="B1398" s="40">
        <v>11.33</v>
      </c>
      <c r="C1398" s="40">
        <v>11.58</v>
      </c>
      <c r="D1398" s="40">
        <v>10.02</v>
      </c>
      <c r="E1398" s="40">
        <v>10.220000000000001</v>
      </c>
      <c r="K1398" s="40"/>
      <c r="P1398" s="40"/>
      <c r="Q1398" s="40"/>
      <c r="R1398" s="40"/>
    </row>
    <row r="1399" spans="1:18" x14ac:dyDescent="0.2">
      <c r="A1399" s="40" t="s">
        <v>1594</v>
      </c>
      <c r="B1399" s="40">
        <v>12.04</v>
      </c>
      <c r="C1399" s="40">
        <v>13.09</v>
      </c>
      <c r="D1399" s="40">
        <v>11.87</v>
      </c>
      <c r="E1399" s="40">
        <v>11.93</v>
      </c>
      <c r="K1399" s="40"/>
      <c r="P1399" s="40"/>
      <c r="Q1399" s="40"/>
      <c r="R1399" s="40"/>
    </row>
    <row r="1400" spans="1:18" x14ac:dyDescent="0.2">
      <c r="A1400" s="40" t="s">
        <v>1595</v>
      </c>
      <c r="B1400" s="40">
        <v>12.24</v>
      </c>
      <c r="C1400" s="40">
        <v>12.91</v>
      </c>
      <c r="D1400" s="40">
        <v>11.83</v>
      </c>
      <c r="E1400" s="40">
        <v>11.98</v>
      </c>
      <c r="K1400" s="40"/>
      <c r="P1400" s="40"/>
      <c r="Q1400" s="40"/>
      <c r="R1400" s="40"/>
    </row>
    <row r="1401" spans="1:18" x14ac:dyDescent="0.2">
      <c r="A1401" s="40" t="s">
        <v>1596</v>
      </c>
      <c r="B1401" s="40">
        <v>11.7</v>
      </c>
      <c r="C1401" s="40">
        <v>13.09</v>
      </c>
      <c r="D1401" s="40">
        <v>11.18</v>
      </c>
      <c r="E1401" s="40">
        <v>11.61</v>
      </c>
      <c r="K1401" s="40"/>
      <c r="P1401" s="40"/>
      <c r="Q1401" s="40"/>
      <c r="R1401" s="40"/>
    </row>
    <row r="1402" spans="1:18" x14ac:dyDescent="0.2">
      <c r="A1402" s="40" t="s">
        <v>1597</v>
      </c>
      <c r="B1402" s="40">
        <v>11.84</v>
      </c>
      <c r="C1402" s="40">
        <v>12.54</v>
      </c>
      <c r="D1402" s="40">
        <v>11.32</v>
      </c>
      <c r="E1402" s="40">
        <v>11.79</v>
      </c>
      <c r="K1402" s="40"/>
      <c r="P1402" s="40"/>
      <c r="Q1402" s="40"/>
      <c r="R1402" s="40"/>
    </row>
    <row r="1403" spans="1:18" x14ac:dyDescent="0.2">
      <c r="A1403" s="40" t="s">
        <v>1598</v>
      </c>
      <c r="B1403" s="40">
        <v>11.14</v>
      </c>
      <c r="C1403" s="40">
        <v>11.5</v>
      </c>
      <c r="D1403" s="40">
        <v>9.9</v>
      </c>
      <c r="E1403" s="40">
        <v>10.01</v>
      </c>
      <c r="K1403" s="40"/>
      <c r="P1403" s="40"/>
      <c r="Q1403" s="40"/>
      <c r="R1403" s="40"/>
    </row>
    <row r="1404" spans="1:18" x14ac:dyDescent="0.2">
      <c r="A1404" s="41">
        <v>42377</v>
      </c>
      <c r="B1404" s="40">
        <v>11.33</v>
      </c>
      <c r="C1404" s="40">
        <v>11.97</v>
      </c>
      <c r="D1404" s="40">
        <v>10.72</v>
      </c>
      <c r="E1404" s="40">
        <v>11.1</v>
      </c>
      <c r="K1404" s="40"/>
      <c r="P1404" s="40"/>
      <c r="Q1404" s="40"/>
      <c r="R1404" s="40"/>
    </row>
    <row r="1405" spans="1:18" x14ac:dyDescent="0.2">
      <c r="A1405" s="41">
        <v>42408</v>
      </c>
      <c r="B1405" s="40">
        <v>11.55</v>
      </c>
      <c r="C1405" s="40">
        <v>13.53</v>
      </c>
      <c r="D1405" s="40">
        <v>11.47</v>
      </c>
      <c r="E1405" s="40">
        <v>12.35</v>
      </c>
      <c r="K1405" s="40"/>
      <c r="P1405" s="40"/>
      <c r="Q1405" s="40"/>
      <c r="R1405" s="40"/>
    </row>
    <row r="1406" spans="1:18" x14ac:dyDescent="0.2">
      <c r="A1406" s="41">
        <v>42437</v>
      </c>
      <c r="B1406" s="40">
        <v>12.65</v>
      </c>
      <c r="C1406" s="40">
        <v>13.02</v>
      </c>
      <c r="D1406" s="40">
        <v>11.1</v>
      </c>
      <c r="E1406" s="40">
        <v>11.29</v>
      </c>
      <c r="K1406" s="40"/>
      <c r="P1406" s="40"/>
      <c r="Q1406" s="40"/>
      <c r="R1406" s="40"/>
    </row>
    <row r="1407" spans="1:18" x14ac:dyDescent="0.2">
      <c r="A1407" s="41">
        <v>42468</v>
      </c>
      <c r="B1407" s="40">
        <v>11.03</v>
      </c>
      <c r="C1407" s="40">
        <v>11.46</v>
      </c>
      <c r="D1407" s="40">
        <v>10.43</v>
      </c>
      <c r="E1407" s="40">
        <v>10.8</v>
      </c>
      <c r="K1407" s="40"/>
      <c r="P1407" s="40"/>
      <c r="Q1407" s="40"/>
      <c r="R1407" s="40"/>
    </row>
    <row r="1408" spans="1:18" x14ac:dyDescent="0.2">
      <c r="A1408" s="41">
        <v>42498</v>
      </c>
      <c r="B1408" s="40">
        <v>9.92</v>
      </c>
      <c r="C1408" s="40">
        <v>9.9600000000000009</v>
      </c>
      <c r="D1408" s="40">
        <v>9</v>
      </c>
      <c r="E1408" s="40">
        <v>9.18</v>
      </c>
      <c r="K1408" s="40"/>
      <c r="P1408" s="40"/>
      <c r="Q1408" s="40"/>
      <c r="R1408" s="40"/>
    </row>
    <row r="1409" spans="1:18" x14ac:dyDescent="0.2">
      <c r="A1409" s="41">
        <v>42590</v>
      </c>
      <c r="B1409" s="40">
        <v>10.65</v>
      </c>
      <c r="C1409" s="40">
        <v>10.65</v>
      </c>
      <c r="D1409" s="40">
        <v>10.050000000000001</v>
      </c>
      <c r="E1409" s="40">
        <v>10.1</v>
      </c>
      <c r="K1409" s="40"/>
      <c r="P1409" s="40"/>
      <c r="Q1409" s="40"/>
      <c r="R1409" s="40"/>
    </row>
    <row r="1410" spans="1:18" x14ac:dyDescent="0.2">
      <c r="A1410" s="41">
        <v>42621</v>
      </c>
      <c r="B1410" s="40">
        <v>9.8699999999999992</v>
      </c>
      <c r="C1410" s="40">
        <v>10.78</v>
      </c>
      <c r="D1410" s="40">
        <v>9.36</v>
      </c>
      <c r="E1410" s="40">
        <v>10.49</v>
      </c>
      <c r="K1410" s="40"/>
      <c r="P1410" s="40"/>
      <c r="Q1410" s="40"/>
      <c r="R1410" s="40"/>
    </row>
    <row r="1411" spans="1:18" x14ac:dyDescent="0.2">
      <c r="A1411" s="41">
        <v>42651</v>
      </c>
      <c r="B1411" s="40">
        <v>10.41</v>
      </c>
      <c r="C1411" s="40">
        <v>11.27</v>
      </c>
      <c r="D1411" s="40">
        <v>10.28</v>
      </c>
      <c r="E1411" s="40">
        <v>10.68</v>
      </c>
      <c r="K1411" s="40"/>
      <c r="P1411" s="40"/>
      <c r="Q1411" s="40"/>
      <c r="R1411" s="40"/>
    </row>
    <row r="1412" spans="1:18" x14ac:dyDescent="0.2">
      <c r="A1412" s="41">
        <v>42682</v>
      </c>
      <c r="B1412" s="40">
        <v>10.32</v>
      </c>
      <c r="C1412" s="40">
        <v>10.54</v>
      </c>
      <c r="D1412" s="40">
        <v>9.67</v>
      </c>
      <c r="E1412" s="40">
        <v>9.74</v>
      </c>
      <c r="K1412" s="40"/>
      <c r="P1412" s="40"/>
      <c r="Q1412" s="40"/>
      <c r="R1412" s="40"/>
    </row>
    <row r="1413" spans="1:18" x14ac:dyDescent="0.2">
      <c r="A1413" s="41">
        <v>42712</v>
      </c>
      <c r="B1413" s="40">
        <v>10.42</v>
      </c>
      <c r="C1413" s="40">
        <v>10.42</v>
      </c>
      <c r="D1413" s="40">
        <v>9.26</v>
      </c>
      <c r="E1413" s="40">
        <v>9.5399999999999991</v>
      </c>
      <c r="K1413" s="40"/>
      <c r="P1413" s="40"/>
      <c r="Q1413" s="40"/>
      <c r="R1413" s="40"/>
    </row>
    <row r="1414" spans="1:18" x14ac:dyDescent="0.2">
      <c r="A1414" s="40" t="s">
        <v>1599</v>
      </c>
      <c r="B1414" s="40">
        <v>10.44</v>
      </c>
      <c r="C1414" s="40">
        <v>10.45</v>
      </c>
      <c r="D1414" s="40">
        <v>9.6199999999999992</v>
      </c>
      <c r="E1414" s="40">
        <v>9.7200000000000006</v>
      </c>
      <c r="K1414" s="40"/>
      <c r="P1414" s="40"/>
      <c r="Q1414" s="40"/>
      <c r="R1414" s="40"/>
    </row>
    <row r="1415" spans="1:18" x14ac:dyDescent="0.2">
      <c r="A1415" s="40" t="s">
        <v>1600</v>
      </c>
      <c r="B1415" s="40">
        <v>10.34</v>
      </c>
      <c r="C1415" s="40">
        <v>11.21</v>
      </c>
      <c r="D1415" s="40">
        <v>10.220000000000001</v>
      </c>
      <c r="E1415" s="40">
        <v>10.87</v>
      </c>
      <c r="K1415" s="40"/>
      <c r="P1415" s="40"/>
      <c r="Q1415" s="40"/>
      <c r="R1415" s="40"/>
    </row>
    <row r="1416" spans="1:18" x14ac:dyDescent="0.2">
      <c r="A1416" s="40" t="s">
        <v>1601</v>
      </c>
      <c r="B1416" s="40">
        <v>10.98</v>
      </c>
      <c r="C1416" s="40">
        <v>13.21</v>
      </c>
      <c r="D1416" s="40">
        <v>10.57</v>
      </c>
      <c r="E1416" s="40">
        <v>10.76</v>
      </c>
      <c r="K1416" s="40"/>
      <c r="P1416" s="40"/>
      <c r="Q1416" s="40"/>
      <c r="R1416" s="40"/>
    </row>
    <row r="1417" spans="1:18" x14ac:dyDescent="0.2">
      <c r="A1417" s="40" t="s">
        <v>1602</v>
      </c>
      <c r="B1417" s="40">
        <v>10.85</v>
      </c>
      <c r="C1417" s="40">
        <v>11.16</v>
      </c>
      <c r="D1417" s="40">
        <v>9.7100000000000009</v>
      </c>
      <c r="E1417" s="40">
        <v>9.9</v>
      </c>
      <c r="K1417" s="40"/>
      <c r="P1417" s="40"/>
      <c r="Q1417" s="40"/>
      <c r="R1417" s="40"/>
    </row>
    <row r="1418" spans="1:18" x14ac:dyDescent="0.2">
      <c r="A1418" s="40" t="s">
        <v>1603</v>
      </c>
      <c r="B1418" s="40">
        <v>10.37</v>
      </c>
      <c r="C1418" s="40">
        <v>10.99</v>
      </c>
      <c r="D1418" s="40">
        <v>9.25</v>
      </c>
      <c r="E1418" s="40">
        <v>9.4</v>
      </c>
      <c r="K1418" s="40"/>
      <c r="P1418" s="40"/>
      <c r="Q1418" s="40"/>
      <c r="R1418" s="40"/>
    </row>
    <row r="1419" spans="1:18" x14ac:dyDescent="0.2">
      <c r="A1419" s="40" t="s">
        <v>1604</v>
      </c>
      <c r="B1419" s="40">
        <v>11.98</v>
      </c>
      <c r="C1419" s="40">
        <v>12.14</v>
      </c>
      <c r="D1419" s="40">
        <v>10.71</v>
      </c>
      <c r="E1419" s="40">
        <v>10.95</v>
      </c>
      <c r="K1419" s="40"/>
      <c r="P1419" s="40"/>
      <c r="Q1419" s="40"/>
      <c r="R1419" s="40"/>
    </row>
    <row r="1420" spans="1:18" x14ac:dyDescent="0.2">
      <c r="A1420" s="40" t="s">
        <v>1605</v>
      </c>
      <c r="B1420" s="40">
        <v>10.39</v>
      </c>
      <c r="C1420" s="40">
        <v>11.38</v>
      </c>
      <c r="D1420" s="40">
        <v>10.18</v>
      </c>
      <c r="E1420" s="40">
        <v>11.37</v>
      </c>
      <c r="K1420" s="40"/>
      <c r="P1420" s="40"/>
      <c r="Q1420" s="40"/>
      <c r="R1420" s="40"/>
    </row>
    <row r="1421" spans="1:18" x14ac:dyDescent="0.2">
      <c r="A1421" s="40" t="s">
        <v>1606</v>
      </c>
      <c r="B1421" s="40">
        <v>11.58</v>
      </c>
      <c r="C1421" s="40">
        <v>13.81</v>
      </c>
      <c r="D1421" s="40">
        <v>11.43</v>
      </c>
      <c r="E1421" s="40">
        <v>12.67</v>
      </c>
      <c r="K1421" s="40"/>
      <c r="P1421" s="40"/>
      <c r="Q1421" s="40"/>
      <c r="R1421" s="40"/>
    </row>
    <row r="1422" spans="1:18" x14ac:dyDescent="0.2">
      <c r="A1422" s="40" t="s">
        <v>1607</v>
      </c>
      <c r="B1422" s="40">
        <v>13.34</v>
      </c>
      <c r="C1422" s="40">
        <v>13.53</v>
      </c>
      <c r="D1422" s="40">
        <v>12.21</v>
      </c>
      <c r="E1422" s="40">
        <v>12.77</v>
      </c>
      <c r="K1422" s="40"/>
      <c r="P1422" s="40"/>
      <c r="Q1422" s="40"/>
      <c r="R1422" s="40"/>
    </row>
    <row r="1423" spans="1:18" x14ac:dyDescent="0.2">
      <c r="A1423" s="40" t="s">
        <v>1608</v>
      </c>
      <c r="B1423" s="40">
        <v>12.66</v>
      </c>
      <c r="C1423" s="40">
        <v>14.09</v>
      </c>
      <c r="D1423" s="40">
        <v>10.38</v>
      </c>
      <c r="E1423" s="40">
        <v>12.1</v>
      </c>
      <c r="K1423" s="40"/>
      <c r="P1423" s="40"/>
      <c r="Q1423" s="40"/>
      <c r="R1423" s="40"/>
    </row>
    <row r="1424" spans="1:18" x14ac:dyDescent="0.2">
      <c r="A1424" s="40" t="s">
        <v>1609</v>
      </c>
      <c r="B1424" s="40">
        <v>13.32</v>
      </c>
      <c r="C1424" s="40">
        <v>13.34</v>
      </c>
      <c r="D1424" s="40">
        <v>11.1</v>
      </c>
      <c r="E1424" s="40">
        <v>11.14</v>
      </c>
      <c r="K1424" s="40"/>
      <c r="P1424" s="40"/>
      <c r="Q1424" s="40"/>
      <c r="R1424" s="40"/>
    </row>
    <row r="1425" spans="1:18" x14ac:dyDescent="0.2">
      <c r="A1425" s="40" t="s">
        <v>1610</v>
      </c>
      <c r="B1425" s="40">
        <v>10.85</v>
      </c>
      <c r="C1425" s="40">
        <v>11.9</v>
      </c>
      <c r="D1425" s="40">
        <v>10.85</v>
      </c>
      <c r="E1425" s="40">
        <v>11.21</v>
      </c>
      <c r="K1425" s="40"/>
      <c r="P1425" s="40"/>
      <c r="Q1425" s="40"/>
      <c r="R1425" s="40"/>
    </row>
    <row r="1426" spans="1:18" x14ac:dyDescent="0.2">
      <c r="A1426" s="40" t="s">
        <v>1611</v>
      </c>
      <c r="B1426" s="40">
        <v>11.3</v>
      </c>
      <c r="C1426" s="40">
        <v>13.09</v>
      </c>
      <c r="D1426" s="40">
        <v>11.2</v>
      </c>
      <c r="E1426" s="40">
        <v>11.64</v>
      </c>
      <c r="K1426" s="40"/>
      <c r="P1426" s="40"/>
      <c r="Q1426" s="40"/>
      <c r="R1426" s="40"/>
    </row>
    <row r="1427" spans="1:18" x14ac:dyDescent="0.2">
      <c r="A1427" s="41">
        <v>42378</v>
      </c>
      <c r="B1427" s="40">
        <v>11.78</v>
      </c>
      <c r="C1427" s="40">
        <v>13.79</v>
      </c>
      <c r="D1427" s="40">
        <v>11.57</v>
      </c>
      <c r="E1427" s="40">
        <v>11.89</v>
      </c>
      <c r="K1427" s="40"/>
      <c r="P1427" s="40"/>
      <c r="Q1427" s="40"/>
      <c r="R1427" s="40"/>
    </row>
    <row r="1428" spans="1:18" x14ac:dyDescent="0.2">
      <c r="A1428" s="41">
        <v>42409</v>
      </c>
      <c r="B1428" s="40">
        <v>9.7100000000000009</v>
      </c>
      <c r="C1428" s="40">
        <v>10.14</v>
      </c>
      <c r="D1428" s="40">
        <v>9.02</v>
      </c>
      <c r="E1428" s="40">
        <v>9.1</v>
      </c>
      <c r="K1428" s="40"/>
      <c r="P1428" s="40"/>
      <c r="Q1428" s="40"/>
      <c r="R1428" s="40"/>
    </row>
    <row r="1429" spans="1:18" x14ac:dyDescent="0.2">
      <c r="A1429" s="41">
        <v>42530</v>
      </c>
      <c r="B1429" s="40">
        <v>10.47</v>
      </c>
      <c r="C1429" s="40">
        <v>11.18</v>
      </c>
      <c r="D1429" s="40">
        <v>9.9</v>
      </c>
      <c r="E1429" s="40">
        <v>9.98</v>
      </c>
      <c r="K1429" s="40"/>
      <c r="P1429" s="40"/>
      <c r="Q1429" s="40"/>
      <c r="R1429" s="40"/>
    </row>
    <row r="1430" spans="1:18" x14ac:dyDescent="0.2">
      <c r="A1430" s="41">
        <v>42560</v>
      </c>
      <c r="B1430" s="40">
        <v>10.23</v>
      </c>
      <c r="C1430" s="40">
        <v>10.53</v>
      </c>
      <c r="D1430" s="40">
        <v>9.8000000000000007</v>
      </c>
      <c r="E1430" s="40">
        <v>9.8000000000000007</v>
      </c>
      <c r="K1430" s="40"/>
      <c r="P1430" s="40"/>
      <c r="Q1430" s="40"/>
      <c r="R1430" s="40"/>
    </row>
    <row r="1431" spans="1:18" x14ac:dyDescent="0.2">
      <c r="A1431" s="41">
        <v>42591</v>
      </c>
      <c r="B1431" s="40">
        <v>10.64</v>
      </c>
      <c r="C1431" s="40">
        <v>11.15</v>
      </c>
      <c r="D1431" s="40">
        <v>10.48</v>
      </c>
      <c r="E1431" s="40">
        <v>10.99</v>
      </c>
      <c r="K1431" s="40"/>
      <c r="P1431" s="40"/>
      <c r="Q1431" s="40"/>
      <c r="R1431" s="40"/>
    </row>
    <row r="1432" spans="1:18" x14ac:dyDescent="0.2">
      <c r="A1432" s="41">
        <v>42622</v>
      </c>
      <c r="B1432" s="40">
        <v>12.94</v>
      </c>
      <c r="C1432" s="40">
        <v>18.8</v>
      </c>
      <c r="D1432" s="40">
        <v>12.92</v>
      </c>
      <c r="E1432" s="40">
        <v>18.78</v>
      </c>
      <c r="K1432" s="40"/>
      <c r="P1432" s="40"/>
      <c r="Q1432" s="40"/>
      <c r="R1432" s="40"/>
    </row>
    <row r="1433" spans="1:18" x14ac:dyDescent="0.2">
      <c r="A1433" s="41">
        <v>42713</v>
      </c>
      <c r="B1433" s="40">
        <v>23.36</v>
      </c>
      <c r="C1433" s="40">
        <v>23.51</v>
      </c>
      <c r="D1433" s="40">
        <v>15.58</v>
      </c>
      <c r="E1433" s="40">
        <v>16.03</v>
      </c>
      <c r="K1433" s="40"/>
      <c r="P1433" s="40"/>
      <c r="Q1433" s="40"/>
      <c r="R1433" s="40"/>
    </row>
    <row r="1434" spans="1:18" x14ac:dyDescent="0.2">
      <c r="A1434" s="40" t="s">
        <v>1612</v>
      </c>
      <c r="B1434" s="40">
        <v>17.71</v>
      </c>
      <c r="C1434" s="40">
        <v>21.4</v>
      </c>
      <c r="D1434" s="40">
        <v>17.53</v>
      </c>
      <c r="E1434" s="40">
        <v>19.55</v>
      </c>
      <c r="K1434" s="40"/>
      <c r="P1434" s="40"/>
      <c r="Q1434" s="40"/>
      <c r="R1434" s="40"/>
    </row>
    <row r="1435" spans="1:18" x14ac:dyDescent="0.2">
      <c r="A1435" s="40" t="s">
        <v>1613</v>
      </c>
      <c r="B1435" s="40">
        <v>19.579999999999998</v>
      </c>
      <c r="C1435" s="40">
        <v>19.88</v>
      </c>
      <c r="D1435" s="40">
        <v>17.559999999999999</v>
      </c>
      <c r="E1435" s="40">
        <v>19.38</v>
      </c>
      <c r="K1435" s="40"/>
      <c r="P1435" s="40"/>
      <c r="Q1435" s="40"/>
      <c r="R1435" s="40"/>
    </row>
    <row r="1436" spans="1:18" x14ac:dyDescent="0.2">
      <c r="A1436" s="40" t="s">
        <v>1614</v>
      </c>
      <c r="B1436" s="40">
        <v>18.93</v>
      </c>
      <c r="C1436" s="40">
        <v>19.13</v>
      </c>
      <c r="D1436" s="40">
        <v>16.39</v>
      </c>
      <c r="E1436" s="40">
        <v>17</v>
      </c>
      <c r="K1436" s="40"/>
      <c r="P1436" s="40"/>
      <c r="Q1436" s="40"/>
      <c r="R1436" s="40"/>
    </row>
    <row r="1437" spans="1:18" x14ac:dyDescent="0.2">
      <c r="A1437" s="40" t="s">
        <v>1615</v>
      </c>
      <c r="B1437" s="40">
        <v>17.32</v>
      </c>
      <c r="C1437" s="40">
        <v>17.86</v>
      </c>
      <c r="D1437" s="40">
        <v>15.27</v>
      </c>
      <c r="E1437" s="40">
        <v>15.27</v>
      </c>
      <c r="K1437" s="40"/>
      <c r="P1437" s="40"/>
      <c r="Q1437" s="40"/>
      <c r="R1437" s="40"/>
    </row>
    <row r="1438" spans="1:18" x14ac:dyDescent="0.2">
      <c r="A1438" s="40" t="s">
        <v>1616</v>
      </c>
      <c r="B1438" s="40">
        <v>16.03</v>
      </c>
      <c r="C1438" s="40">
        <v>16.95</v>
      </c>
      <c r="D1438" s="40">
        <v>15.24</v>
      </c>
      <c r="E1438" s="40">
        <v>16.309999999999999</v>
      </c>
      <c r="K1438" s="40"/>
      <c r="P1438" s="40"/>
      <c r="Q1438" s="40"/>
      <c r="R1438" s="40"/>
    </row>
    <row r="1439" spans="1:18" x14ac:dyDescent="0.2">
      <c r="A1439" s="40" t="s">
        <v>1617</v>
      </c>
      <c r="B1439" s="40">
        <v>15.9</v>
      </c>
      <c r="C1439" s="40">
        <v>17.38</v>
      </c>
      <c r="D1439" s="40">
        <v>15.77</v>
      </c>
      <c r="E1439" s="40">
        <v>17.22</v>
      </c>
      <c r="K1439" s="40"/>
      <c r="P1439" s="40"/>
      <c r="Q1439" s="40"/>
      <c r="R1439" s="40"/>
    </row>
    <row r="1440" spans="1:18" x14ac:dyDescent="0.2">
      <c r="A1440" s="40" t="s">
        <v>1618</v>
      </c>
      <c r="B1440" s="40">
        <v>16.13</v>
      </c>
      <c r="C1440" s="40">
        <v>17.88</v>
      </c>
      <c r="D1440" s="40">
        <v>12.63</v>
      </c>
      <c r="E1440" s="40">
        <v>12.83</v>
      </c>
      <c r="K1440" s="40"/>
      <c r="P1440" s="40"/>
      <c r="Q1440" s="40"/>
      <c r="R1440" s="40"/>
    </row>
    <row r="1441" spans="1:18" x14ac:dyDescent="0.2">
      <c r="A1441" s="40" t="s">
        <v>1619</v>
      </c>
      <c r="B1441" s="40">
        <v>11.45</v>
      </c>
      <c r="C1441" s="40">
        <v>11.66</v>
      </c>
      <c r="D1441" s="40">
        <v>10.44</v>
      </c>
      <c r="E1441" s="40">
        <v>10.79</v>
      </c>
      <c r="K1441" s="40"/>
      <c r="P1441" s="40"/>
      <c r="Q1441" s="40"/>
      <c r="R1441" s="40"/>
    </row>
    <row r="1442" spans="1:18" x14ac:dyDescent="0.2">
      <c r="A1442" s="40" t="s">
        <v>1620</v>
      </c>
      <c r="B1442" s="40">
        <v>11.35</v>
      </c>
      <c r="C1442" s="40">
        <v>11.96</v>
      </c>
      <c r="D1442" s="40">
        <v>10.76</v>
      </c>
      <c r="E1442" s="40">
        <v>11.39</v>
      </c>
      <c r="K1442" s="40"/>
      <c r="P1442" s="40"/>
      <c r="Q1442" s="40"/>
      <c r="R1442" s="40"/>
    </row>
    <row r="1443" spans="1:18" x14ac:dyDescent="0.2">
      <c r="A1443" s="40" t="s">
        <v>1621</v>
      </c>
      <c r="B1443" s="40">
        <v>14.45</v>
      </c>
      <c r="C1443" s="40">
        <v>15.82</v>
      </c>
      <c r="D1443" s="40">
        <v>13.96</v>
      </c>
      <c r="E1443" s="40">
        <v>15.67</v>
      </c>
      <c r="K1443" s="40"/>
      <c r="P1443" s="40"/>
      <c r="Q1443" s="40"/>
      <c r="R1443" s="40"/>
    </row>
    <row r="1444" spans="1:18" x14ac:dyDescent="0.2">
      <c r="A1444" s="40" t="s">
        <v>1622</v>
      </c>
      <c r="B1444" s="40">
        <v>15.92</v>
      </c>
      <c r="C1444" s="40">
        <v>15.92</v>
      </c>
      <c r="D1444" s="40">
        <v>12.7</v>
      </c>
      <c r="E1444" s="40">
        <v>12.8</v>
      </c>
      <c r="K1444" s="40"/>
      <c r="P1444" s="40"/>
      <c r="Q1444" s="40"/>
      <c r="R1444" s="40"/>
    </row>
    <row r="1445" spans="1:18" x14ac:dyDescent="0.2">
      <c r="A1445" s="40" t="s">
        <v>1623</v>
      </c>
      <c r="B1445" s="40">
        <v>12.5</v>
      </c>
      <c r="C1445" s="40">
        <v>13.5</v>
      </c>
      <c r="D1445" s="40">
        <v>11.53</v>
      </c>
      <c r="E1445" s="40">
        <v>11.72</v>
      </c>
      <c r="K1445" s="40"/>
      <c r="P1445" s="40"/>
      <c r="Q1445" s="40"/>
      <c r="R1445" s="40"/>
    </row>
    <row r="1446" spans="1:18" x14ac:dyDescent="0.2">
      <c r="A1446" s="40" t="s">
        <v>1624</v>
      </c>
      <c r="B1446" s="40">
        <v>12.03</v>
      </c>
      <c r="C1446" s="40">
        <v>16.940000000000001</v>
      </c>
      <c r="D1446" s="40">
        <v>11.21</v>
      </c>
      <c r="E1446" s="40">
        <v>14.71</v>
      </c>
      <c r="K1446" s="40"/>
      <c r="P1446" s="40"/>
      <c r="Q1446" s="40"/>
      <c r="R1446" s="40"/>
    </row>
    <row r="1447" spans="1:18" x14ac:dyDescent="0.2">
      <c r="A1447" s="40" t="s">
        <v>1625</v>
      </c>
      <c r="B1447" s="40">
        <v>13.37</v>
      </c>
      <c r="C1447" s="40">
        <v>14.31</v>
      </c>
      <c r="D1447" s="40">
        <v>11.65</v>
      </c>
      <c r="E1447" s="40">
        <v>12.37</v>
      </c>
      <c r="K1447" s="40"/>
      <c r="P1447" s="40"/>
      <c r="Q1447" s="40"/>
      <c r="R1447" s="40"/>
    </row>
    <row r="1448" spans="1:18" x14ac:dyDescent="0.2">
      <c r="A1448" s="41">
        <v>42439</v>
      </c>
      <c r="B1448" s="40">
        <v>13.93</v>
      </c>
      <c r="C1448" s="40">
        <v>14.27</v>
      </c>
      <c r="D1448" s="40">
        <v>12.8</v>
      </c>
      <c r="E1448" s="40">
        <v>13</v>
      </c>
      <c r="K1448" s="40"/>
      <c r="P1448" s="40"/>
      <c r="Q1448" s="40"/>
      <c r="R1448" s="40"/>
    </row>
    <row r="1449" spans="1:18" x14ac:dyDescent="0.2">
      <c r="A1449" s="41">
        <v>42470</v>
      </c>
      <c r="B1449" s="40">
        <v>12.55</v>
      </c>
      <c r="C1449" s="40">
        <v>14.45</v>
      </c>
      <c r="D1449" s="40">
        <v>11.95</v>
      </c>
      <c r="E1449" s="40">
        <v>12.95</v>
      </c>
      <c r="K1449" s="40"/>
      <c r="P1449" s="40"/>
      <c r="Q1449" s="40"/>
      <c r="R1449" s="40"/>
    </row>
    <row r="1450" spans="1:18" x14ac:dyDescent="0.2">
      <c r="A1450" s="41">
        <v>42500</v>
      </c>
      <c r="B1450" s="40">
        <v>12.38</v>
      </c>
      <c r="C1450" s="40">
        <v>12.53</v>
      </c>
      <c r="D1450" s="40">
        <v>11.59</v>
      </c>
      <c r="E1450" s="40">
        <v>12.03</v>
      </c>
      <c r="K1450" s="40"/>
      <c r="P1450" s="40"/>
      <c r="Q1450" s="40"/>
      <c r="R1450" s="40"/>
    </row>
    <row r="1451" spans="1:18" x14ac:dyDescent="0.2">
      <c r="A1451" s="41">
        <v>42531</v>
      </c>
      <c r="B1451" s="40">
        <v>12.43</v>
      </c>
      <c r="C1451" s="40">
        <v>13.04</v>
      </c>
      <c r="D1451" s="40">
        <v>11.41</v>
      </c>
      <c r="E1451" s="40">
        <v>11.47</v>
      </c>
      <c r="K1451" s="40"/>
      <c r="P1451" s="40"/>
      <c r="Q1451" s="40"/>
      <c r="R1451" s="40"/>
    </row>
    <row r="1452" spans="1:18" x14ac:dyDescent="0.2">
      <c r="A1452" s="41">
        <v>42561</v>
      </c>
      <c r="B1452" s="40">
        <v>11.32</v>
      </c>
      <c r="C1452" s="40">
        <v>13.16</v>
      </c>
      <c r="D1452" s="40">
        <v>11.23</v>
      </c>
      <c r="E1452" s="40">
        <v>11.47</v>
      </c>
      <c r="K1452" s="40"/>
      <c r="P1452" s="40"/>
      <c r="Q1452" s="40"/>
      <c r="R1452" s="40"/>
    </row>
    <row r="1453" spans="1:18" x14ac:dyDescent="0.2">
      <c r="A1453" s="41">
        <v>42653</v>
      </c>
      <c r="B1453" s="40">
        <v>11.28</v>
      </c>
      <c r="C1453" s="40">
        <v>11.43</v>
      </c>
      <c r="D1453" s="40">
        <v>10.57</v>
      </c>
      <c r="E1453" s="40">
        <v>10.81</v>
      </c>
      <c r="K1453" s="40"/>
      <c r="P1453" s="40"/>
      <c r="Q1453" s="40"/>
      <c r="R1453" s="40"/>
    </row>
    <row r="1454" spans="1:18" x14ac:dyDescent="0.2">
      <c r="A1454" s="41">
        <v>42684</v>
      </c>
      <c r="B1454" s="40">
        <v>11.53</v>
      </c>
      <c r="C1454" s="40">
        <v>15.34</v>
      </c>
      <c r="D1454" s="40">
        <v>11.53</v>
      </c>
      <c r="E1454" s="40">
        <v>13.34</v>
      </c>
      <c r="K1454" s="40"/>
      <c r="P1454" s="40"/>
      <c r="Q1454" s="40"/>
      <c r="R1454" s="40"/>
    </row>
    <row r="1455" spans="1:18" x14ac:dyDescent="0.2">
      <c r="A1455" s="41">
        <v>42714</v>
      </c>
      <c r="B1455" s="40">
        <v>13.62</v>
      </c>
      <c r="C1455" s="40">
        <v>14.27</v>
      </c>
      <c r="D1455" s="40">
        <v>12.61</v>
      </c>
      <c r="E1455" s="40">
        <v>13.16</v>
      </c>
      <c r="K1455" s="40"/>
      <c r="P1455" s="40"/>
      <c r="Q1455" s="40"/>
      <c r="R1455" s="40"/>
    </row>
    <row r="1456" spans="1:18" x14ac:dyDescent="0.2">
      <c r="A1456" s="40" t="s">
        <v>1626</v>
      </c>
      <c r="B1456" s="40">
        <v>15.2</v>
      </c>
      <c r="C1456" s="40">
        <v>16.059999999999999</v>
      </c>
      <c r="D1456" s="40">
        <v>13.68</v>
      </c>
      <c r="E1456" s="40">
        <v>14.07</v>
      </c>
      <c r="K1456" s="40"/>
      <c r="P1456" s="40"/>
      <c r="Q1456" s="40"/>
      <c r="R1456" s="40"/>
    </row>
    <row r="1457" spans="1:18" x14ac:dyDescent="0.2">
      <c r="A1457" s="40" t="s">
        <v>1627</v>
      </c>
      <c r="B1457" s="40">
        <v>12.52</v>
      </c>
      <c r="C1457" s="40">
        <v>13.38</v>
      </c>
      <c r="D1457" s="40">
        <v>11.89</v>
      </c>
      <c r="E1457" s="40">
        <v>12.94</v>
      </c>
      <c r="K1457" s="40"/>
      <c r="P1457" s="40"/>
      <c r="Q1457" s="40"/>
      <c r="R1457" s="40"/>
    </row>
    <row r="1458" spans="1:18" x14ac:dyDescent="0.2">
      <c r="A1458" s="40" t="s">
        <v>1628</v>
      </c>
      <c r="B1458" s="40">
        <v>14.38</v>
      </c>
      <c r="C1458" s="40">
        <v>14.99</v>
      </c>
      <c r="D1458" s="40">
        <v>13.69</v>
      </c>
      <c r="E1458" s="40">
        <v>13.81</v>
      </c>
      <c r="K1458" s="40"/>
      <c r="P1458" s="40"/>
      <c r="Q1458" s="40"/>
      <c r="R1458" s="40"/>
    </row>
    <row r="1459" spans="1:18" x14ac:dyDescent="0.2">
      <c r="A1459" s="40" t="s">
        <v>1629</v>
      </c>
      <c r="B1459" s="40">
        <v>12.86</v>
      </c>
      <c r="C1459" s="40">
        <v>13.3</v>
      </c>
      <c r="D1459" s="40">
        <v>12.13</v>
      </c>
      <c r="E1459" s="40">
        <v>12.45</v>
      </c>
      <c r="K1459" s="40"/>
      <c r="P1459" s="40"/>
      <c r="Q1459" s="40"/>
      <c r="R1459" s="40"/>
    </row>
    <row r="1460" spans="1:18" x14ac:dyDescent="0.2">
      <c r="A1460" s="40" t="s">
        <v>1630</v>
      </c>
      <c r="B1460" s="40">
        <v>11.77</v>
      </c>
      <c r="C1460" s="40">
        <v>12.26</v>
      </c>
      <c r="D1460" s="40">
        <v>11.36</v>
      </c>
      <c r="E1460" s="40">
        <v>11.97</v>
      </c>
      <c r="K1460" s="40"/>
      <c r="P1460" s="40"/>
      <c r="Q1460" s="40"/>
      <c r="R1460" s="40"/>
    </row>
    <row r="1461" spans="1:18" x14ac:dyDescent="0.2">
      <c r="A1461" s="40" t="s">
        <v>1631</v>
      </c>
      <c r="B1461" s="40">
        <v>12.09</v>
      </c>
      <c r="C1461" s="40">
        <v>12.3</v>
      </c>
      <c r="D1461" s="40">
        <v>11.03</v>
      </c>
      <c r="E1461" s="40">
        <v>11.07</v>
      </c>
      <c r="K1461" s="40"/>
      <c r="P1461" s="40"/>
      <c r="Q1461" s="40"/>
      <c r="R1461" s="40"/>
    </row>
    <row r="1462" spans="1:18" x14ac:dyDescent="0.2">
      <c r="A1462" s="40" t="s">
        <v>1632</v>
      </c>
      <c r="B1462" s="40">
        <v>11.94</v>
      </c>
      <c r="C1462" s="40">
        <v>12.1</v>
      </c>
      <c r="D1462" s="40">
        <v>10.56</v>
      </c>
      <c r="E1462" s="40">
        <v>10.68</v>
      </c>
      <c r="K1462" s="40"/>
      <c r="P1462" s="40"/>
      <c r="Q1462" s="40"/>
      <c r="R1462" s="40"/>
    </row>
    <row r="1463" spans="1:18" x14ac:dyDescent="0.2">
      <c r="A1463" s="40" t="s">
        <v>1633</v>
      </c>
      <c r="B1463" s="40">
        <v>11.08</v>
      </c>
      <c r="C1463" s="40">
        <v>11.57</v>
      </c>
      <c r="D1463" s="40">
        <v>11</v>
      </c>
      <c r="E1463" s="40">
        <v>11.35</v>
      </c>
      <c r="K1463" s="40"/>
      <c r="P1463" s="40"/>
      <c r="Q1463" s="40"/>
      <c r="R1463" s="40"/>
    </row>
    <row r="1464" spans="1:18" x14ac:dyDescent="0.2">
      <c r="A1464" s="40" t="s">
        <v>1634</v>
      </c>
      <c r="B1464" s="40">
        <v>11.73</v>
      </c>
      <c r="C1464" s="40">
        <v>12.52</v>
      </c>
      <c r="D1464" s="40">
        <v>11.57</v>
      </c>
      <c r="E1464" s="40">
        <v>11.9</v>
      </c>
      <c r="K1464" s="40"/>
      <c r="P1464" s="40"/>
      <c r="Q1464" s="40"/>
      <c r="R1464" s="40"/>
    </row>
    <row r="1465" spans="1:18" x14ac:dyDescent="0.2">
      <c r="A1465" s="40" t="s">
        <v>1635</v>
      </c>
      <c r="B1465" s="40">
        <v>13.11</v>
      </c>
      <c r="C1465" s="40">
        <v>13.61</v>
      </c>
      <c r="D1465" s="40">
        <v>12.23</v>
      </c>
      <c r="E1465" s="40">
        <v>12.58</v>
      </c>
      <c r="K1465" s="40"/>
      <c r="P1465" s="40"/>
      <c r="Q1465" s="40"/>
      <c r="R1465" s="40"/>
    </row>
    <row r="1466" spans="1:18" x14ac:dyDescent="0.2">
      <c r="A1466" s="40" t="s">
        <v>1636</v>
      </c>
      <c r="B1466" s="40">
        <v>12.56</v>
      </c>
      <c r="C1466" s="40">
        <v>14.62</v>
      </c>
      <c r="D1466" s="40">
        <v>12.56</v>
      </c>
      <c r="E1466" s="40">
        <v>14.59</v>
      </c>
      <c r="K1466" s="40"/>
      <c r="P1466" s="40"/>
      <c r="Q1466" s="40"/>
      <c r="R1466" s="40"/>
    </row>
    <row r="1467" spans="1:18" x14ac:dyDescent="0.2">
      <c r="A1467" s="40" t="s">
        <v>1637</v>
      </c>
      <c r="B1467" s="40">
        <v>14.87</v>
      </c>
      <c r="C1467" s="40">
        <v>18.64</v>
      </c>
      <c r="D1467" s="40">
        <v>13.8</v>
      </c>
      <c r="E1467" s="40">
        <v>16.690000000000001</v>
      </c>
      <c r="K1467" s="40"/>
      <c r="P1467" s="40"/>
      <c r="Q1467" s="40"/>
      <c r="R1467" s="40"/>
    </row>
    <row r="1468" spans="1:18" x14ac:dyDescent="0.2">
      <c r="A1468" s="40" t="s">
        <v>1638</v>
      </c>
      <c r="B1468" s="40">
        <v>19.23</v>
      </c>
      <c r="C1468" s="40">
        <v>20.91</v>
      </c>
      <c r="D1468" s="40">
        <v>18.920000000000002</v>
      </c>
      <c r="E1468" s="40">
        <v>20.190000000000001</v>
      </c>
      <c r="K1468" s="40"/>
      <c r="P1468" s="40"/>
      <c r="Q1468" s="40"/>
      <c r="R1468" s="40"/>
    </row>
    <row r="1469" spans="1:18" x14ac:dyDescent="0.2">
      <c r="A1469" s="41">
        <v>42380</v>
      </c>
      <c r="B1469" s="40">
        <v>20.74</v>
      </c>
      <c r="C1469" s="40">
        <v>25.76</v>
      </c>
      <c r="D1469" s="40">
        <v>20.73</v>
      </c>
      <c r="E1469" s="40">
        <v>22.86</v>
      </c>
      <c r="K1469" s="40"/>
      <c r="P1469" s="40"/>
      <c r="Q1469" s="40"/>
      <c r="R1469" s="40"/>
    </row>
    <row r="1470" spans="1:18" x14ac:dyDescent="0.2">
      <c r="A1470" s="41">
        <v>42411</v>
      </c>
      <c r="B1470" s="40">
        <v>24.15</v>
      </c>
      <c r="C1470" s="40">
        <v>24.88</v>
      </c>
      <c r="D1470" s="40">
        <v>23.25</v>
      </c>
      <c r="E1470" s="40">
        <v>24.16</v>
      </c>
      <c r="K1470" s="40"/>
      <c r="P1470" s="40"/>
      <c r="Q1470" s="40"/>
      <c r="R1470" s="40"/>
    </row>
    <row r="1471" spans="1:18" x14ac:dyDescent="0.2">
      <c r="A1471" s="41">
        <v>42440</v>
      </c>
      <c r="B1471" s="40">
        <v>24.12</v>
      </c>
      <c r="C1471" s="40">
        <v>28.77</v>
      </c>
      <c r="D1471" s="40">
        <v>24</v>
      </c>
      <c r="E1471" s="40">
        <v>27.9</v>
      </c>
      <c r="K1471" s="40"/>
      <c r="P1471" s="40"/>
      <c r="Q1471" s="40"/>
      <c r="R1471" s="40"/>
    </row>
    <row r="1472" spans="1:18" x14ac:dyDescent="0.2">
      <c r="A1472" s="41">
        <v>42471</v>
      </c>
      <c r="B1472" s="40">
        <v>27.95</v>
      </c>
      <c r="C1472" s="40">
        <v>29.79</v>
      </c>
      <c r="D1472" s="40">
        <v>27.21</v>
      </c>
      <c r="E1472" s="40">
        <v>28.82</v>
      </c>
      <c r="K1472" s="40"/>
      <c r="P1472" s="40"/>
      <c r="Q1472" s="40"/>
      <c r="R1472" s="40"/>
    </row>
    <row r="1473" spans="1:18" x14ac:dyDescent="0.2">
      <c r="A1473" s="41">
        <v>42562</v>
      </c>
      <c r="B1473" s="40">
        <v>25.99</v>
      </c>
      <c r="C1473" s="40">
        <v>25.99</v>
      </c>
      <c r="D1473" s="40">
        <v>23.42</v>
      </c>
      <c r="E1473" s="40">
        <v>24.67</v>
      </c>
      <c r="K1473" s="40"/>
      <c r="P1473" s="40"/>
      <c r="Q1473" s="40"/>
      <c r="R1473" s="40"/>
    </row>
    <row r="1474" spans="1:18" x14ac:dyDescent="0.2">
      <c r="A1474" s="41">
        <v>42593</v>
      </c>
      <c r="B1474" s="40">
        <v>26.36</v>
      </c>
      <c r="C1474" s="40">
        <v>26.72</v>
      </c>
      <c r="D1474" s="40">
        <v>22.54</v>
      </c>
      <c r="E1474" s="40">
        <v>25.31</v>
      </c>
      <c r="K1474" s="40"/>
      <c r="P1474" s="40"/>
      <c r="Q1474" s="40"/>
      <c r="R1474" s="40"/>
    </row>
    <row r="1475" spans="1:18" x14ac:dyDescent="0.2">
      <c r="A1475" s="41">
        <v>42624</v>
      </c>
      <c r="B1475" s="40">
        <v>20.18</v>
      </c>
      <c r="C1475" s="40">
        <v>20.28</v>
      </c>
      <c r="D1475" s="40">
        <v>15.36</v>
      </c>
      <c r="E1475" s="40">
        <v>15.36</v>
      </c>
      <c r="K1475" s="40"/>
      <c r="P1475" s="40"/>
      <c r="Q1475" s="40"/>
      <c r="R1475" s="40"/>
    </row>
    <row r="1476" spans="1:18" x14ac:dyDescent="0.2">
      <c r="A1476" s="41">
        <v>42654</v>
      </c>
      <c r="B1476" s="40">
        <v>14.12</v>
      </c>
      <c r="C1476" s="40">
        <v>17.32</v>
      </c>
      <c r="D1476" s="40">
        <v>13.1</v>
      </c>
      <c r="E1476" s="40">
        <v>14.12</v>
      </c>
      <c r="K1476" s="40"/>
      <c r="P1476" s="40"/>
      <c r="Q1476" s="40"/>
      <c r="R1476" s="40"/>
    </row>
    <row r="1477" spans="1:18" x14ac:dyDescent="0.2">
      <c r="A1477" s="41">
        <v>42685</v>
      </c>
      <c r="B1477" s="40">
        <v>14.54</v>
      </c>
      <c r="C1477" s="40">
        <v>15.7</v>
      </c>
      <c r="D1477" s="40">
        <v>12.68</v>
      </c>
      <c r="E1477" s="40">
        <v>12.84</v>
      </c>
      <c r="K1477" s="40"/>
      <c r="P1477" s="40"/>
      <c r="Q1477" s="40"/>
      <c r="R1477" s="40"/>
    </row>
    <row r="1478" spans="1:18" x14ac:dyDescent="0.2">
      <c r="A1478" s="40" t="s">
        <v>1639</v>
      </c>
      <c r="B1478" s="40">
        <v>13.93</v>
      </c>
      <c r="C1478" s="40">
        <v>14.38</v>
      </c>
      <c r="D1478" s="40">
        <v>12.3</v>
      </c>
      <c r="E1478" s="40">
        <v>12.51</v>
      </c>
      <c r="K1478" s="40"/>
      <c r="P1478" s="40"/>
      <c r="Q1478" s="40"/>
      <c r="R1478" s="40"/>
    </row>
    <row r="1479" spans="1:18" x14ac:dyDescent="0.2">
      <c r="A1479" s="40" t="s">
        <v>1640</v>
      </c>
      <c r="B1479" s="40">
        <v>12.18</v>
      </c>
      <c r="C1479" s="40">
        <v>12.19</v>
      </c>
      <c r="D1479" s="40">
        <v>10.16</v>
      </c>
      <c r="E1479" s="40">
        <v>10.64</v>
      </c>
      <c r="K1479" s="40"/>
      <c r="P1479" s="40"/>
      <c r="Q1479" s="40"/>
      <c r="R1479" s="40"/>
    </row>
    <row r="1480" spans="1:18" x14ac:dyDescent="0.2">
      <c r="A1480" s="40" t="s">
        <v>1641</v>
      </c>
      <c r="B1480" s="40">
        <v>11.44</v>
      </c>
      <c r="C1480" s="40">
        <v>11.51</v>
      </c>
      <c r="D1480" s="40">
        <v>9.3000000000000007</v>
      </c>
      <c r="E1480" s="40">
        <v>9.52</v>
      </c>
      <c r="K1480" s="40"/>
      <c r="P1480" s="40"/>
      <c r="Q1480" s="40"/>
      <c r="R1480" s="40"/>
    </row>
    <row r="1481" spans="1:18" x14ac:dyDescent="0.2">
      <c r="A1481" s="40" t="s">
        <v>1642</v>
      </c>
      <c r="B1481" s="40">
        <v>9.4700000000000006</v>
      </c>
      <c r="C1481" s="40">
        <v>9.75</v>
      </c>
      <c r="D1481" s="40">
        <v>8.98</v>
      </c>
      <c r="E1481" s="40">
        <v>9.3800000000000008</v>
      </c>
      <c r="K1481" s="40"/>
      <c r="P1481" s="40"/>
      <c r="Q1481" s="40"/>
      <c r="R1481" s="40"/>
    </row>
    <row r="1482" spans="1:18" x14ac:dyDescent="0.2">
      <c r="A1482" s="40" t="s">
        <v>1643</v>
      </c>
      <c r="B1482" s="40">
        <v>9.6</v>
      </c>
      <c r="C1482" s="40">
        <v>9.6199999999999992</v>
      </c>
      <c r="D1482" s="40">
        <v>8.61</v>
      </c>
      <c r="E1482" s="40">
        <v>8.6300000000000008</v>
      </c>
      <c r="K1482" s="40"/>
      <c r="P1482" s="40"/>
      <c r="Q1482" s="40"/>
      <c r="R1482" s="40"/>
    </row>
    <row r="1483" spans="1:18" x14ac:dyDescent="0.2">
      <c r="A1483" s="40" t="s">
        <v>1644</v>
      </c>
      <c r="B1483" s="40">
        <v>10.19</v>
      </c>
      <c r="C1483" s="40">
        <v>10.39</v>
      </c>
      <c r="D1483" s="40">
        <v>9.4700000000000006</v>
      </c>
      <c r="E1483" s="40">
        <v>10</v>
      </c>
      <c r="K1483" s="40"/>
      <c r="P1483" s="40"/>
      <c r="Q1483" s="40"/>
      <c r="R1483" s="40"/>
    </row>
    <row r="1484" spans="1:18" x14ac:dyDescent="0.2">
      <c r="A1484" s="40" t="s">
        <v>1645</v>
      </c>
      <c r="B1484" s="40">
        <v>10.039999999999999</v>
      </c>
      <c r="C1484" s="40">
        <v>10.73</v>
      </c>
      <c r="D1484" s="40">
        <v>9.9700000000000006</v>
      </c>
      <c r="E1484" s="40">
        <v>10.199999999999999</v>
      </c>
      <c r="K1484" s="40"/>
      <c r="P1484" s="40"/>
      <c r="Q1484" s="40"/>
      <c r="R1484" s="40"/>
    </row>
    <row r="1485" spans="1:18" x14ac:dyDescent="0.2">
      <c r="A1485" s="40" t="s">
        <v>1646</v>
      </c>
      <c r="B1485" s="40">
        <v>10.44</v>
      </c>
      <c r="C1485" s="40">
        <v>10.87</v>
      </c>
      <c r="D1485" s="40">
        <v>9.8800000000000008</v>
      </c>
      <c r="E1485" s="40">
        <v>10.06</v>
      </c>
      <c r="K1485" s="40"/>
      <c r="P1485" s="40"/>
      <c r="Q1485" s="40"/>
      <c r="R1485" s="40"/>
    </row>
    <row r="1486" spans="1:18" x14ac:dyDescent="0.2">
      <c r="A1486" s="40" t="s">
        <v>1647</v>
      </c>
      <c r="B1486" s="40">
        <v>10.92</v>
      </c>
      <c r="C1486" s="40">
        <v>11.09</v>
      </c>
      <c r="D1486" s="40">
        <v>10.33</v>
      </c>
      <c r="E1486" s="40">
        <v>10.43</v>
      </c>
      <c r="K1486" s="40"/>
      <c r="P1486" s="40"/>
      <c r="Q1486" s="40"/>
      <c r="R1486" s="40"/>
    </row>
    <row r="1487" spans="1:18" x14ac:dyDescent="0.2">
      <c r="A1487" s="40" t="s">
        <v>1648</v>
      </c>
      <c r="B1487" s="40">
        <v>12.76</v>
      </c>
      <c r="C1487" s="40">
        <v>12.89</v>
      </c>
      <c r="D1487" s="40">
        <v>12.19</v>
      </c>
      <c r="E1487" s="40">
        <v>12.86</v>
      </c>
      <c r="K1487" s="40"/>
      <c r="P1487" s="40"/>
      <c r="Q1487" s="40"/>
      <c r="R1487" s="40"/>
    </row>
    <row r="1488" spans="1:18" x14ac:dyDescent="0.2">
      <c r="A1488" s="40" t="s">
        <v>1649</v>
      </c>
      <c r="B1488" s="40">
        <v>13.05</v>
      </c>
      <c r="C1488" s="40">
        <v>13.67</v>
      </c>
      <c r="D1488" s="40">
        <v>12.21</v>
      </c>
      <c r="E1488" s="40">
        <v>12.64</v>
      </c>
      <c r="K1488" s="40"/>
      <c r="P1488" s="40"/>
      <c r="Q1488" s="40"/>
      <c r="R1488" s="40"/>
    </row>
    <row r="1489" spans="1:18" x14ac:dyDescent="0.2">
      <c r="A1489" s="40" t="s">
        <v>1650</v>
      </c>
      <c r="B1489" s="40">
        <v>12.26</v>
      </c>
      <c r="C1489" s="40">
        <v>13.51</v>
      </c>
      <c r="D1489" s="40">
        <v>12.05</v>
      </c>
      <c r="E1489" s="40">
        <v>13.23</v>
      </c>
      <c r="K1489" s="40"/>
      <c r="P1489" s="40"/>
      <c r="Q1489" s="40"/>
      <c r="R1489" s="40"/>
    </row>
    <row r="1490" spans="1:18" x14ac:dyDescent="0.2">
      <c r="A1490" s="41">
        <v>42381</v>
      </c>
      <c r="B1490" s="40">
        <v>13.25</v>
      </c>
      <c r="C1490" s="40">
        <v>15.13</v>
      </c>
      <c r="D1490" s="40">
        <v>13.21</v>
      </c>
      <c r="E1490" s="40">
        <v>13.96</v>
      </c>
      <c r="K1490" s="40"/>
      <c r="P1490" s="40"/>
      <c r="Q1490" s="40"/>
      <c r="R1490" s="40"/>
    </row>
    <row r="1491" spans="1:18" x14ac:dyDescent="0.2">
      <c r="A1491" s="41">
        <v>42412</v>
      </c>
      <c r="B1491" s="40">
        <v>14.14</v>
      </c>
      <c r="C1491" s="40">
        <v>14.21</v>
      </c>
      <c r="D1491" s="40">
        <v>12.8</v>
      </c>
      <c r="E1491" s="40">
        <v>13.64</v>
      </c>
      <c r="K1491" s="40"/>
      <c r="P1491" s="40"/>
      <c r="Q1491" s="40"/>
      <c r="R1491" s="40"/>
    </row>
    <row r="1492" spans="1:18" x14ac:dyDescent="0.2">
      <c r="A1492" s="41">
        <v>42502</v>
      </c>
      <c r="B1492" s="40">
        <v>12.97</v>
      </c>
      <c r="C1492" s="40">
        <v>13.03</v>
      </c>
      <c r="D1492" s="40">
        <v>11.41</v>
      </c>
      <c r="E1492" s="40">
        <v>11.41</v>
      </c>
      <c r="K1492" s="40"/>
      <c r="P1492" s="40"/>
      <c r="Q1492" s="40"/>
      <c r="R1492" s="40"/>
    </row>
    <row r="1493" spans="1:18" x14ac:dyDescent="0.2">
      <c r="A1493" s="41">
        <v>42533</v>
      </c>
      <c r="B1493" s="40">
        <v>10.91</v>
      </c>
      <c r="C1493" s="40">
        <v>11.43</v>
      </c>
      <c r="D1493" s="40">
        <v>10.42</v>
      </c>
      <c r="E1493" s="40">
        <v>10.84</v>
      </c>
      <c r="K1493" s="40"/>
      <c r="P1493" s="40"/>
      <c r="Q1493" s="40"/>
      <c r="R1493" s="40"/>
    </row>
    <row r="1494" spans="1:18" x14ac:dyDescent="0.2">
      <c r="A1494" s="41">
        <v>42563</v>
      </c>
      <c r="B1494" s="40">
        <v>10.61</v>
      </c>
      <c r="C1494" s="40">
        <v>11.89</v>
      </c>
      <c r="D1494" s="40">
        <v>9.9499999999999993</v>
      </c>
      <c r="E1494" s="40">
        <v>11.79</v>
      </c>
      <c r="K1494" s="40"/>
      <c r="P1494" s="40"/>
      <c r="Q1494" s="40"/>
      <c r="R1494" s="40"/>
    </row>
    <row r="1495" spans="1:18" x14ac:dyDescent="0.2">
      <c r="A1495" s="41">
        <v>42594</v>
      </c>
      <c r="B1495" s="40">
        <v>11.14</v>
      </c>
      <c r="C1495" s="40">
        <v>13.05</v>
      </c>
      <c r="D1495" s="40">
        <v>10.89</v>
      </c>
      <c r="E1495" s="40">
        <v>12.92</v>
      </c>
      <c r="K1495" s="40"/>
      <c r="P1495" s="40"/>
      <c r="Q1495" s="40"/>
      <c r="R1495" s="40"/>
    </row>
    <row r="1496" spans="1:18" x14ac:dyDescent="0.2">
      <c r="A1496" s="41">
        <v>42625</v>
      </c>
      <c r="B1496" s="40">
        <v>12.46</v>
      </c>
      <c r="C1496" s="40">
        <v>12.77</v>
      </c>
      <c r="D1496" s="40">
        <v>10.96</v>
      </c>
      <c r="E1496" s="40">
        <v>11.1</v>
      </c>
      <c r="K1496" s="40"/>
      <c r="P1496" s="40"/>
      <c r="Q1496" s="40"/>
      <c r="R1496" s="40"/>
    </row>
    <row r="1497" spans="1:18" x14ac:dyDescent="0.2">
      <c r="A1497" s="41">
        <v>42716</v>
      </c>
      <c r="B1497" s="40">
        <v>12.19</v>
      </c>
      <c r="C1497" s="40">
        <v>12.61</v>
      </c>
      <c r="D1497" s="40">
        <v>12.14</v>
      </c>
      <c r="E1497" s="40">
        <v>12.25</v>
      </c>
      <c r="K1497" s="40"/>
      <c r="P1497" s="40"/>
      <c r="Q1497" s="40"/>
      <c r="R1497" s="40"/>
    </row>
    <row r="1498" spans="1:18" x14ac:dyDescent="0.2">
      <c r="A1498" s="40" t="s">
        <v>1651</v>
      </c>
      <c r="B1498" s="40">
        <v>12.02</v>
      </c>
      <c r="C1498" s="40">
        <v>13.45</v>
      </c>
      <c r="D1498" s="40">
        <v>12.02</v>
      </c>
      <c r="E1498" s="40">
        <v>12.25</v>
      </c>
      <c r="K1498" s="40"/>
      <c r="P1498" s="40"/>
      <c r="Q1498" s="40"/>
      <c r="R1498" s="40"/>
    </row>
    <row r="1499" spans="1:18" x14ac:dyDescent="0.2">
      <c r="A1499" s="40" t="s">
        <v>1652</v>
      </c>
      <c r="B1499" s="40">
        <v>12.65</v>
      </c>
      <c r="C1499" s="40">
        <v>13.09</v>
      </c>
      <c r="D1499" s="40">
        <v>11.59</v>
      </c>
      <c r="E1499" s="40">
        <v>12.84</v>
      </c>
      <c r="K1499" s="40"/>
      <c r="P1499" s="40"/>
      <c r="Q1499" s="40"/>
      <c r="R1499" s="40"/>
    </row>
    <row r="1500" spans="1:18" x14ac:dyDescent="0.2">
      <c r="A1500" s="40" t="s">
        <v>1653</v>
      </c>
      <c r="B1500" s="40">
        <v>12.5</v>
      </c>
      <c r="C1500" s="40">
        <v>12.91</v>
      </c>
      <c r="D1500" s="40">
        <v>11.53</v>
      </c>
      <c r="E1500" s="40">
        <v>11.85</v>
      </c>
      <c r="K1500" s="40"/>
      <c r="P1500" s="40"/>
      <c r="Q1500" s="40"/>
      <c r="R1500" s="40"/>
    </row>
    <row r="1501" spans="1:18" x14ac:dyDescent="0.2">
      <c r="A1501" s="40" t="s">
        <v>1654</v>
      </c>
      <c r="B1501" s="40">
        <v>11.78</v>
      </c>
      <c r="C1501" s="40">
        <v>11.99</v>
      </c>
      <c r="D1501" s="40">
        <v>10.62</v>
      </c>
      <c r="E1501" s="40">
        <v>10.67</v>
      </c>
      <c r="K1501" s="40"/>
      <c r="P1501" s="40"/>
      <c r="Q1501" s="40"/>
      <c r="R1501" s="40"/>
    </row>
    <row r="1502" spans="1:18" x14ac:dyDescent="0.2">
      <c r="A1502" s="40" t="s">
        <v>1655</v>
      </c>
      <c r="B1502" s="40">
        <v>11.38</v>
      </c>
      <c r="C1502" s="40">
        <v>11.41</v>
      </c>
      <c r="D1502" s="40">
        <v>9.91</v>
      </c>
      <c r="E1502" s="40">
        <v>9.9499999999999993</v>
      </c>
      <c r="K1502" s="40"/>
      <c r="P1502" s="40"/>
      <c r="Q1502" s="40"/>
      <c r="R1502" s="40"/>
    </row>
    <row r="1503" spans="1:18" x14ac:dyDescent="0.2">
      <c r="A1503" s="40" t="s">
        <v>1656</v>
      </c>
      <c r="B1503" s="40">
        <v>9.98</v>
      </c>
      <c r="C1503" s="40">
        <v>9.99</v>
      </c>
      <c r="D1503" s="40">
        <v>9.64</v>
      </c>
      <c r="E1503" s="40">
        <v>9.85</v>
      </c>
      <c r="K1503" s="40"/>
      <c r="P1503" s="40"/>
      <c r="Q1503" s="40"/>
      <c r="R1503" s="40"/>
    </row>
    <row r="1504" spans="1:18" x14ac:dyDescent="0.2">
      <c r="A1504" s="40" t="s">
        <v>1657</v>
      </c>
      <c r="B1504" s="40">
        <v>9.42</v>
      </c>
      <c r="C1504" s="40">
        <v>9.8000000000000007</v>
      </c>
      <c r="D1504" s="40">
        <v>9.31</v>
      </c>
      <c r="E1504" s="40">
        <v>9.33</v>
      </c>
      <c r="K1504" s="40"/>
      <c r="P1504" s="40"/>
      <c r="Q1504" s="40"/>
      <c r="R1504" s="40"/>
    </row>
    <row r="1505" spans="1:18" x14ac:dyDescent="0.2">
      <c r="A1505" s="40" t="s">
        <v>1658</v>
      </c>
      <c r="B1505" s="40">
        <v>9.3699999999999992</v>
      </c>
      <c r="C1505" s="40">
        <v>9.8699999999999992</v>
      </c>
      <c r="D1505" s="40">
        <v>9.1199999999999992</v>
      </c>
      <c r="E1505" s="40">
        <v>9.34</v>
      </c>
      <c r="K1505" s="40"/>
      <c r="P1505" s="40"/>
      <c r="Q1505" s="40"/>
      <c r="R1505" s="40"/>
    </row>
    <row r="1506" spans="1:18" x14ac:dyDescent="0.2">
      <c r="A1506" s="40" t="s">
        <v>1659</v>
      </c>
      <c r="B1506" s="40">
        <v>9.6</v>
      </c>
      <c r="C1506" s="40">
        <v>9.64</v>
      </c>
      <c r="D1506" s="40">
        <v>8.89</v>
      </c>
      <c r="E1506" s="40">
        <v>8.98</v>
      </c>
      <c r="K1506" s="40"/>
      <c r="P1506" s="40"/>
      <c r="Q1506" s="40"/>
      <c r="R1506" s="40"/>
    </row>
    <row r="1507" spans="1:18" x14ac:dyDescent="0.2">
      <c r="A1507" s="40" t="s">
        <v>1660</v>
      </c>
      <c r="B1507" s="40">
        <v>10.07</v>
      </c>
      <c r="C1507" s="40">
        <v>10.31</v>
      </c>
      <c r="D1507" s="40">
        <v>9.94</v>
      </c>
      <c r="E1507" s="40">
        <v>10.220000000000001</v>
      </c>
      <c r="K1507" s="40"/>
      <c r="P1507" s="40"/>
      <c r="Q1507" s="40"/>
      <c r="R1507" s="40"/>
    </row>
    <row r="1508" spans="1:18" x14ac:dyDescent="0.2">
      <c r="A1508" s="40" t="s">
        <v>1661</v>
      </c>
      <c r="B1508" s="40">
        <v>10.16</v>
      </c>
      <c r="C1508" s="40">
        <v>11.53</v>
      </c>
      <c r="D1508" s="40">
        <v>10.08</v>
      </c>
      <c r="E1508" s="40">
        <v>11.22</v>
      </c>
      <c r="K1508" s="40"/>
      <c r="P1508" s="40"/>
      <c r="Q1508" s="40"/>
      <c r="R1508" s="40"/>
    </row>
    <row r="1509" spans="1:18" x14ac:dyDescent="0.2">
      <c r="A1509" s="40" t="s">
        <v>1662</v>
      </c>
      <c r="B1509" s="40">
        <v>11.65</v>
      </c>
      <c r="C1509" s="40">
        <v>12.21</v>
      </c>
      <c r="D1509" s="40">
        <v>11.22</v>
      </c>
      <c r="E1509" s="40">
        <v>11.64</v>
      </c>
      <c r="K1509" s="40"/>
      <c r="P1509" s="40"/>
      <c r="Q1509" s="40"/>
      <c r="R1509" s="40"/>
    </row>
    <row r="1510" spans="1:18" x14ac:dyDescent="0.2">
      <c r="A1510" s="40" t="s">
        <v>1663</v>
      </c>
      <c r="B1510" s="40">
        <v>11.73</v>
      </c>
      <c r="C1510" s="40">
        <v>14.12</v>
      </c>
      <c r="D1510" s="40">
        <v>11.56</v>
      </c>
      <c r="E1510" s="40">
        <v>12.68</v>
      </c>
      <c r="K1510" s="40"/>
      <c r="P1510" s="40"/>
      <c r="Q1510" s="40"/>
      <c r="R1510" s="40"/>
    </row>
    <row r="1511" spans="1:18" x14ac:dyDescent="0.2">
      <c r="A1511" s="41">
        <v>42795</v>
      </c>
      <c r="B1511" s="40">
        <v>13.63</v>
      </c>
      <c r="C1511" s="40">
        <v>13.69</v>
      </c>
      <c r="D1511" s="40">
        <v>11.97</v>
      </c>
      <c r="E1511" s="40">
        <v>11.99</v>
      </c>
      <c r="K1511" s="40"/>
      <c r="P1511" s="40"/>
      <c r="Q1511" s="40"/>
      <c r="R1511" s="40"/>
    </row>
    <row r="1512" spans="1:18" x14ac:dyDescent="0.2">
      <c r="A1512" s="41">
        <v>42826</v>
      </c>
      <c r="B1512" s="40">
        <v>11.49</v>
      </c>
      <c r="C1512" s="40">
        <v>11.67</v>
      </c>
      <c r="D1512" s="40">
        <v>10.38</v>
      </c>
      <c r="E1512" s="40">
        <v>10.68</v>
      </c>
      <c r="K1512" s="40"/>
      <c r="P1512" s="40"/>
      <c r="Q1512" s="40"/>
      <c r="R1512" s="40"/>
    </row>
    <row r="1513" spans="1:18" x14ac:dyDescent="0.2">
      <c r="A1513" s="41">
        <v>42856</v>
      </c>
      <c r="B1513" s="40">
        <v>10.89</v>
      </c>
      <c r="C1513" s="40">
        <v>10.94</v>
      </c>
      <c r="D1513" s="40">
        <v>9.66</v>
      </c>
      <c r="E1513" s="40">
        <v>9.9499999999999993</v>
      </c>
      <c r="K1513" s="40"/>
      <c r="P1513" s="40"/>
      <c r="Q1513" s="40"/>
      <c r="R1513" s="40"/>
    </row>
    <row r="1514" spans="1:18" x14ac:dyDescent="0.2">
      <c r="A1514" s="41">
        <v>42887</v>
      </c>
      <c r="B1514" s="40">
        <v>9.6999999999999993</v>
      </c>
      <c r="C1514" s="40">
        <v>9.94</v>
      </c>
      <c r="D1514" s="40">
        <v>9.06</v>
      </c>
      <c r="E1514" s="40">
        <v>9.19</v>
      </c>
      <c r="K1514" s="40"/>
      <c r="P1514" s="40"/>
      <c r="Q1514" s="40"/>
      <c r="R1514" s="40"/>
    </row>
    <row r="1515" spans="1:18" x14ac:dyDescent="0.2">
      <c r="A1515" s="41">
        <v>42979</v>
      </c>
      <c r="B1515" s="40">
        <v>10.34</v>
      </c>
      <c r="C1515" s="40">
        <v>10.51</v>
      </c>
      <c r="D1515" s="40">
        <v>9.44</v>
      </c>
      <c r="E1515" s="40">
        <v>9.44</v>
      </c>
      <c r="K1515" s="40"/>
      <c r="P1515" s="40"/>
      <c r="Q1515" s="40"/>
      <c r="R1515" s="40"/>
    </row>
    <row r="1516" spans="1:18" x14ac:dyDescent="0.2">
      <c r="A1516" s="41">
        <v>43009</v>
      </c>
      <c r="B1516" s="40">
        <v>9.43</v>
      </c>
      <c r="C1516" s="40">
        <v>9.56</v>
      </c>
      <c r="D1516" s="40">
        <v>8.8800000000000008</v>
      </c>
      <c r="E1516" s="40">
        <v>8.8800000000000008</v>
      </c>
      <c r="K1516" s="40"/>
      <c r="P1516" s="40"/>
      <c r="Q1516" s="40"/>
      <c r="R1516" s="40"/>
    </row>
    <row r="1517" spans="1:18" x14ac:dyDescent="0.2">
      <c r="A1517" s="41">
        <v>43040</v>
      </c>
      <c r="B1517" s="40">
        <v>9.5</v>
      </c>
      <c r="C1517" s="40">
        <v>10.07</v>
      </c>
      <c r="D1517" s="40">
        <v>8.86</v>
      </c>
      <c r="E1517" s="40">
        <v>8.8800000000000008</v>
      </c>
      <c r="K1517" s="40"/>
      <c r="P1517" s="40"/>
      <c r="Q1517" s="40"/>
      <c r="R1517" s="40"/>
    </row>
    <row r="1518" spans="1:18" x14ac:dyDescent="0.2">
      <c r="A1518" s="41">
        <v>43070</v>
      </c>
      <c r="B1518" s="40">
        <v>9.57</v>
      </c>
      <c r="C1518" s="40">
        <v>11.27</v>
      </c>
      <c r="D1518" s="40">
        <v>9.17</v>
      </c>
      <c r="E1518" s="40">
        <v>9.32</v>
      </c>
      <c r="K1518" s="40"/>
      <c r="P1518" s="40"/>
      <c r="Q1518" s="40"/>
      <c r="R1518" s="40"/>
    </row>
    <row r="1519" spans="1:18" x14ac:dyDescent="0.2">
      <c r="A1519" s="40" t="s">
        <v>1664</v>
      </c>
      <c r="B1519" s="40">
        <v>9.26</v>
      </c>
      <c r="C1519" s="40">
        <v>9.27</v>
      </c>
      <c r="D1519" s="40">
        <v>8.44</v>
      </c>
      <c r="E1519" s="40">
        <v>8.99</v>
      </c>
      <c r="K1519" s="40"/>
      <c r="P1519" s="40"/>
      <c r="Q1519" s="40"/>
      <c r="R1519" s="40"/>
    </row>
    <row r="1520" spans="1:18" x14ac:dyDescent="0.2">
      <c r="A1520" s="40" t="s">
        <v>1665</v>
      </c>
      <c r="B1520" s="40">
        <v>10.97</v>
      </c>
      <c r="C1520" s="40">
        <v>11.55</v>
      </c>
      <c r="D1520" s="40">
        <v>10.55</v>
      </c>
      <c r="E1520" s="40">
        <v>10.85</v>
      </c>
      <c r="K1520" s="40"/>
      <c r="P1520" s="40"/>
      <c r="Q1520" s="40"/>
      <c r="R1520" s="40"/>
    </row>
    <row r="1521" spans="1:18" x14ac:dyDescent="0.2">
      <c r="A1521" s="40" t="s">
        <v>1666</v>
      </c>
      <c r="B1521" s="40">
        <v>11.2</v>
      </c>
      <c r="C1521" s="40">
        <v>11.69</v>
      </c>
      <c r="D1521" s="40">
        <v>10.63</v>
      </c>
      <c r="E1521" s="40">
        <v>11.29</v>
      </c>
      <c r="K1521" s="40"/>
      <c r="P1521" s="40"/>
      <c r="Q1521" s="40"/>
      <c r="R1521" s="40"/>
    </row>
    <row r="1522" spans="1:18" x14ac:dyDescent="0.2">
      <c r="A1522" s="40" t="s">
        <v>1667</v>
      </c>
      <c r="B1522" s="40">
        <v>10.91</v>
      </c>
      <c r="C1522" s="40">
        <v>12.68</v>
      </c>
      <c r="D1522" s="40">
        <v>10.85</v>
      </c>
      <c r="E1522" s="40">
        <v>11.5</v>
      </c>
      <c r="K1522" s="40"/>
      <c r="P1522" s="40"/>
      <c r="Q1522" s="40"/>
      <c r="R1522" s="40"/>
    </row>
    <row r="1523" spans="1:18" x14ac:dyDescent="0.2">
      <c r="A1523" s="40" t="s">
        <v>1668</v>
      </c>
      <c r="B1523" s="40">
        <v>11.02</v>
      </c>
      <c r="C1523" s="40">
        <v>11.71</v>
      </c>
      <c r="D1523" s="40">
        <v>9.69</v>
      </c>
      <c r="E1523" s="40">
        <v>9.7200000000000006</v>
      </c>
      <c r="K1523" s="40"/>
      <c r="P1523" s="40"/>
      <c r="Q1523" s="40"/>
      <c r="R1523" s="40"/>
    </row>
    <row r="1524" spans="1:18" x14ac:dyDescent="0.2">
      <c r="A1524" s="40" t="s">
        <v>1669</v>
      </c>
      <c r="B1524" s="40">
        <v>11.31</v>
      </c>
      <c r="C1524" s="40">
        <v>12.49</v>
      </c>
      <c r="D1524" s="40">
        <v>10.75</v>
      </c>
      <c r="E1524" s="40">
        <v>10.92</v>
      </c>
      <c r="K1524" s="40"/>
      <c r="P1524" s="40"/>
      <c r="Q1524" s="40"/>
      <c r="R1524" s="40"/>
    </row>
    <row r="1525" spans="1:18" x14ac:dyDescent="0.2">
      <c r="A1525" s="40" t="s">
        <v>1670</v>
      </c>
      <c r="B1525" s="40">
        <v>10.8</v>
      </c>
      <c r="C1525" s="40">
        <v>10.89</v>
      </c>
      <c r="D1525" s="40">
        <v>10.01</v>
      </c>
      <c r="E1525" s="40">
        <v>10.08</v>
      </c>
      <c r="K1525" s="40"/>
      <c r="P1525" s="40"/>
      <c r="Q1525" s="40"/>
      <c r="R1525" s="40"/>
    </row>
    <row r="1526" spans="1:18" x14ac:dyDescent="0.2">
      <c r="A1526" s="40" t="s">
        <v>1671</v>
      </c>
      <c r="B1526" s="40">
        <v>10.08</v>
      </c>
      <c r="C1526" s="40">
        <v>10.44</v>
      </c>
      <c r="D1526" s="40">
        <v>9.74</v>
      </c>
      <c r="E1526" s="40">
        <v>10.06</v>
      </c>
      <c r="K1526" s="40"/>
      <c r="P1526" s="40"/>
      <c r="Q1526" s="40"/>
      <c r="R1526" s="40"/>
    </row>
    <row r="1527" spans="1:18" x14ac:dyDescent="0.2">
      <c r="A1527" s="40" t="s">
        <v>1672</v>
      </c>
      <c r="B1527" s="40">
        <v>10.23</v>
      </c>
      <c r="C1527" s="40">
        <v>10.48</v>
      </c>
      <c r="D1527" s="40">
        <v>9.58</v>
      </c>
      <c r="E1527" s="40">
        <v>9.7100000000000009</v>
      </c>
      <c r="K1527" s="40"/>
      <c r="P1527" s="40"/>
      <c r="Q1527" s="40"/>
      <c r="R1527" s="40"/>
    </row>
    <row r="1528" spans="1:18" x14ac:dyDescent="0.2">
      <c r="A1528" s="40" t="s">
        <v>1673</v>
      </c>
      <c r="B1528" s="40">
        <v>9.8800000000000008</v>
      </c>
      <c r="C1528" s="40">
        <v>9.94</v>
      </c>
      <c r="D1528" s="40">
        <v>9.11</v>
      </c>
      <c r="E1528" s="40">
        <v>9.36</v>
      </c>
      <c r="K1528" s="40"/>
      <c r="P1528" s="40"/>
      <c r="Q1528" s="40"/>
      <c r="R1528" s="40"/>
    </row>
    <row r="1529" spans="1:18" x14ac:dyDescent="0.2">
      <c r="A1529" s="40" t="s">
        <v>1674</v>
      </c>
      <c r="B1529" s="40">
        <v>10.99</v>
      </c>
      <c r="C1529" s="40">
        <v>13.15</v>
      </c>
      <c r="D1529" s="40">
        <v>10.99</v>
      </c>
      <c r="E1529" s="40">
        <v>11.66</v>
      </c>
      <c r="K1529" s="40"/>
      <c r="P1529" s="40"/>
      <c r="Q1529" s="40"/>
      <c r="R1529" s="40"/>
    </row>
    <row r="1530" spans="1:18" x14ac:dyDescent="0.2">
      <c r="A1530" s="40" t="s">
        <v>1675</v>
      </c>
      <c r="B1530" s="40">
        <v>12.27</v>
      </c>
      <c r="C1530" s="40">
        <v>13.22</v>
      </c>
      <c r="D1530" s="40">
        <v>11.7</v>
      </c>
      <c r="E1530" s="40">
        <v>11.77</v>
      </c>
      <c r="K1530" s="40"/>
      <c r="P1530" s="40"/>
      <c r="Q1530" s="40"/>
      <c r="R1530" s="40"/>
    </row>
    <row r="1531" spans="1:18" x14ac:dyDescent="0.2">
      <c r="A1531" s="41">
        <v>42737</v>
      </c>
      <c r="B1531" s="40">
        <v>11.13</v>
      </c>
      <c r="C1531" s="40">
        <v>12.09</v>
      </c>
      <c r="D1531" s="40">
        <v>10.83</v>
      </c>
      <c r="E1531" s="40">
        <v>12.04</v>
      </c>
      <c r="K1531" s="40"/>
      <c r="P1531" s="40"/>
      <c r="Q1531" s="40"/>
      <c r="R1531" s="40"/>
    </row>
    <row r="1532" spans="1:18" x14ac:dyDescent="0.2">
      <c r="A1532" s="41">
        <v>42768</v>
      </c>
      <c r="B1532" s="40">
        <v>12.4</v>
      </c>
      <c r="C1532" s="40">
        <v>12.84</v>
      </c>
      <c r="D1532" s="40">
        <v>10.85</v>
      </c>
      <c r="E1532" s="40">
        <v>11.16</v>
      </c>
      <c r="K1532" s="40"/>
      <c r="P1532" s="40"/>
      <c r="Q1532" s="40"/>
      <c r="R1532" s="40"/>
    </row>
    <row r="1533" spans="1:18" x14ac:dyDescent="0.2">
      <c r="A1533" s="41">
        <v>42796</v>
      </c>
      <c r="B1533" s="40">
        <v>9.8800000000000008</v>
      </c>
      <c r="C1533" s="40">
        <v>10.16</v>
      </c>
      <c r="D1533" s="40">
        <v>9.09</v>
      </c>
      <c r="E1533" s="40">
        <v>9.19</v>
      </c>
      <c r="K1533" s="40"/>
      <c r="P1533" s="40"/>
      <c r="Q1533" s="40"/>
      <c r="R1533" s="40"/>
    </row>
    <row r="1534" spans="1:18" x14ac:dyDescent="0.2">
      <c r="A1534" s="41">
        <v>42888</v>
      </c>
      <c r="B1534" s="40">
        <v>10.89</v>
      </c>
      <c r="C1534" s="40">
        <v>10.89</v>
      </c>
      <c r="D1534" s="40">
        <v>9.82</v>
      </c>
      <c r="E1534" s="40">
        <v>10.17</v>
      </c>
      <c r="K1534" s="40"/>
      <c r="P1534" s="40"/>
      <c r="Q1534" s="40"/>
      <c r="R1534" s="40"/>
    </row>
    <row r="1535" spans="1:18" x14ac:dyDescent="0.2">
      <c r="A1535" s="41">
        <v>42918</v>
      </c>
      <c r="B1535" s="40">
        <v>9.98</v>
      </c>
      <c r="C1535" s="40">
        <v>10.02</v>
      </c>
      <c r="D1535" s="40">
        <v>9.25</v>
      </c>
      <c r="E1535" s="40">
        <v>9.4700000000000006</v>
      </c>
      <c r="K1535" s="40"/>
      <c r="P1535" s="40"/>
      <c r="Q1535" s="40"/>
      <c r="R1535" s="40"/>
    </row>
    <row r="1536" spans="1:18" x14ac:dyDescent="0.2">
      <c r="A1536" s="41">
        <v>42949</v>
      </c>
      <c r="B1536" s="40">
        <v>9.86</v>
      </c>
      <c r="C1536" s="40">
        <v>10.09</v>
      </c>
      <c r="D1536" s="40">
        <v>9.33</v>
      </c>
      <c r="E1536" s="40">
        <v>9.6</v>
      </c>
      <c r="K1536" s="40"/>
      <c r="P1536" s="40"/>
      <c r="Q1536" s="40"/>
      <c r="R1536" s="40"/>
    </row>
    <row r="1537" spans="1:18" x14ac:dyDescent="0.2">
      <c r="A1537" s="41">
        <v>42980</v>
      </c>
      <c r="B1537" s="40">
        <v>9.35</v>
      </c>
      <c r="C1537" s="40">
        <v>9.35</v>
      </c>
      <c r="D1537" s="40">
        <v>8.84</v>
      </c>
      <c r="E1537" s="40">
        <v>8.85</v>
      </c>
      <c r="K1537" s="40"/>
      <c r="P1537" s="40"/>
      <c r="Q1537" s="40"/>
      <c r="R1537" s="40"/>
    </row>
    <row r="1538" spans="1:18" x14ac:dyDescent="0.2">
      <c r="A1538" s="41">
        <v>43010</v>
      </c>
      <c r="B1538" s="40">
        <v>8.83</v>
      </c>
      <c r="C1538" s="40">
        <v>9.25</v>
      </c>
      <c r="D1538" s="40">
        <v>8.67</v>
      </c>
      <c r="E1538" s="40">
        <v>9.02</v>
      </c>
      <c r="K1538" s="40"/>
      <c r="P1538" s="40"/>
      <c r="Q1538" s="40"/>
      <c r="R1538" s="40"/>
    </row>
    <row r="1539" spans="1:18" x14ac:dyDescent="0.2">
      <c r="A1539" s="40" t="s">
        <v>1676</v>
      </c>
      <c r="B1539" s="40">
        <v>9.6300000000000008</v>
      </c>
      <c r="C1539" s="40">
        <v>9.8000000000000007</v>
      </c>
      <c r="D1539" s="40">
        <v>9.27</v>
      </c>
      <c r="E1539" s="40">
        <v>9.32</v>
      </c>
      <c r="K1539" s="40"/>
      <c r="P1539" s="40"/>
      <c r="Q1539" s="40"/>
      <c r="R1539" s="40"/>
    </row>
    <row r="1540" spans="1:18" x14ac:dyDescent="0.2">
      <c r="A1540" s="40" t="s">
        <v>1677</v>
      </c>
      <c r="B1540" s="40">
        <v>9.44</v>
      </c>
      <c r="C1540" s="40">
        <v>9.5399999999999991</v>
      </c>
      <c r="D1540" s="40">
        <v>8.85</v>
      </c>
      <c r="E1540" s="40">
        <v>8.94</v>
      </c>
      <c r="K1540" s="40"/>
      <c r="P1540" s="40"/>
      <c r="Q1540" s="40"/>
      <c r="R1540" s="40"/>
    </row>
    <row r="1541" spans="1:18" x14ac:dyDescent="0.2">
      <c r="A1541" s="40" t="s">
        <v>1678</v>
      </c>
      <c r="B1541" s="40">
        <v>9.59</v>
      </c>
      <c r="C1541" s="40">
        <v>10.39</v>
      </c>
      <c r="D1541" s="40">
        <v>8.66</v>
      </c>
      <c r="E1541" s="40">
        <v>10.26</v>
      </c>
      <c r="K1541" s="40"/>
      <c r="P1541" s="40"/>
      <c r="Q1541" s="40"/>
      <c r="R1541" s="40"/>
    </row>
    <row r="1542" spans="1:18" x14ac:dyDescent="0.2">
      <c r="A1542" s="40" t="s">
        <v>1679</v>
      </c>
      <c r="B1542" s="40">
        <v>10.48</v>
      </c>
      <c r="C1542" s="40">
        <v>11.7</v>
      </c>
      <c r="D1542" s="40">
        <v>9.9</v>
      </c>
      <c r="E1542" s="40">
        <v>10.02</v>
      </c>
      <c r="K1542" s="40"/>
      <c r="P1542" s="40"/>
      <c r="Q1542" s="40"/>
      <c r="R1542" s="40"/>
    </row>
    <row r="1543" spans="1:18" x14ac:dyDescent="0.2">
      <c r="A1543" s="40" t="s">
        <v>1680</v>
      </c>
      <c r="B1543" s="40">
        <v>10.48</v>
      </c>
      <c r="C1543" s="40">
        <v>10.61</v>
      </c>
      <c r="D1543" s="40">
        <v>8.67</v>
      </c>
      <c r="E1543" s="40">
        <v>9.0299999999999994</v>
      </c>
      <c r="K1543" s="40"/>
      <c r="P1543" s="40"/>
      <c r="Q1543" s="40"/>
      <c r="R1543" s="40"/>
    </row>
    <row r="1544" spans="1:18" x14ac:dyDescent="0.2">
      <c r="A1544" s="40" t="s">
        <v>1681</v>
      </c>
      <c r="B1544" s="40">
        <v>10.81</v>
      </c>
      <c r="C1544" s="40">
        <v>11.05</v>
      </c>
      <c r="D1544" s="40">
        <v>10.14</v>
      </c>
      <c r="E1544" s="40">
        <v>10.220000000000001</v>
      </c>
      <c r="K1544" s="40"/>
      <c r="P1544" s="40"/>
      <c r="Q1544" s="40"/>
      <c r="R1544" s="40"/>
    </row>
    <row r="1545" spans="1:18" x14ac:dyDescent="0.2">
      <c r="A1545" s="40" t="s">
        <v>1682</v>
      </c>
      <c r="B1545" s="40">
        <v>10.64</v>
      </c>
      <c r="C1545" s="40">
        <v>10.79</v>
      </c>
      <c r="D1545" s="40">
        <v>10.039999999999999</v>
      </c>
      <c r="E1545" s="40">
        <v>10.39</v>
      </c>
      <c r="K1545" s="40"/>
      <c r="P1545" s="40"/>
      <c r="Q1545" s="40"/>
      <c r="R1545" s="40"/>
    </row>
    <row r="1546" spans="1:18" x14ac:dyDescent="0.2">
      <c r="A1546" s="40" t="s">
        <v>1683</v>
      </c>
      <c r="B1546" s="40">
        <v>10.47</v>
      </c>
      <c r="C1546" s="40">
        <v>11.41</v>
      </c>
      <c r="D1546" s="40">
        <v>10.119999999999999</v>
      </c>
      <c r="E1546" s="40">
        <v>10.15</v>
      </c>
      <c r="K1546" s="40"/>
      <c r="P1546" s="40"/>
      <c r="Q1546" s="40"/>
      <c r="R1546" s="40"/>
    </row>
    <row r="1547" spans="1:18" x14ac:dyDescent="0.2">
      <c r="A1547" s="40" t="s">
        <v>1684</v>
      </c>
      <c r="B1547" s="40">
        <v>11.28</v>
      </c>
      <c r="C1547" s="40">
        <v>11.3</v>
      </c>
      <c r="D1547" s="40">
        <v>9.34</v>
      </c>
      <c r="E1547" s="40">
        <v>9.41</v>
      </c>
      <c r="K1547" s="40"/>
      <c r="P1547" s="40"/>
      <c r="Q1547" s="40"/>
      <c r="R1547" s="40"/>
    </row>
    <row r="1548" spans="1:18" x14ac:dyDescent="0.2">
      <c r="A1548" s="40" t="s">
        <v>1685</v>
      </c>
      <c r="B1548" s="40">
        <v>10.53</v>
      </c>
      <c r="C1548" s="40">
        <v>10.96</v>
      </c>
      <c r="D1548" s="40">
        <v>10.08</v>
      </c>
      <c r="E1548" s="40">
        <v>10.83</v>
      </c>
      <c r="K1548" s="40"/>
      <c r="P1548" s="40"/>
      <c r="Q1548" s="40"/>
      <c r="R1548" s="40"/>
    </row>
    <row r="1549" spans="1:18" x14ac:dyDescent="0.2">
      <c r="A1549" s="40" t="s">
        <v>1686</v>
      </c>
      <c r="B1549" s="40">
        <v>11.08</v>
      </c>
      <c r="C1549" s="40">
        <v>12.01</v>
      </c>
      <c r="D1549" s="40">
        <v>10.73</v>
      </c>
      <c r="E1549" s="40">
        <v>11.89</v>
      </c>
      <c r="K1549" s="40"/>
      <c r="P1549" s="40"/>
      <c r="Q1549" s="40"/>
      <c r="R1549" s="40"/>
    </row>
    <row r="1550" spans="1:18" x14ac:dyDescent="0.2">
      <c r="A1550" s="41">
        <v>42738</v>
      </c>
      <c r="B1550" s="40">
        <v>10.52</v>
      </c>
      <c r="C1550" s="40">
        <v>11.43</v>
      </c>
      <c r="D1550" s="40">
        <v>10.32</v>
      </c>
      <c r="E1550" s="40">
        <v>10.57</v>
      </c>
      <c r="K1550" s="40"/>
      <c r="P1550" s="40"/>
      <c r="Q1550" s="40"/>
      <c r="R1550" s="40"/>
    </row>
    <row r="1551" spans="1:18" x14ac:dyDescent="0.2">
      <c r="A1551" s="41">
        <v>42769</v>
      </c>
      <c r="B1551" s="40">
        <v>10.98</v>
      </c>
      <c r="C1551" s="40">
        <v>10.99</v>
      </c>
      <c r="D1551" s="40">
        <v>9.1199999999999992</v>
      </c>
      <c r="E1551" s="40">
        <v>9.6</v>
      </c>
      <c r="K1551" s="40"/>
      <c r="P1551" s="40"/>
      <c r="Q1551" s="40"/>
      <c r="R1551" s="40"/>
    </row>
    <row r="1552" spans="1:18" x14ac:dyDescent="0.2">
      <c r="A1552" s="41">
        <v>42797</v>
      </c>
      <c r="B1552" s="40">
        <v>9.8000000000000007</v>
      </c>
      <c r="C1552" s="40">
        <v>9.82</v>
      </c>
      <c r="D1552" s="40">
        <v>8.5500000000000007</v>
      </c>
      <c r="E1552" s="40">
        <v>8.56</v>
      </c>
      <c r="K1552" s="40"/>
      <c r="P1552" s="40"/>
      <c r="Q1552" s="40"/>
      <c r="R1552" s="40"/>
    </row>
    <row r="1553" spans="1:18" x14ac:dyDescent="0.2">
      <c r="A1553" s="41">
        <v>42889</v>
      </c>
      <c r="B1553" s="40">
        <v>10.220000000000001</v>
      </c>
      <c r="C1553" s="40">
        <v>10.38</v>
      </c>
      <c r="D1553" s="40">
        <v>9.58</v>
      </c>
      <c r="E1553" s="40">
        <v>9.67</v>
      </c>
      <c r="K1553" s="40"/>
      <c r="P1553" s="40"/>
      <c r="Q1553" s="40"/>
      <c r="R1553" s="40"/>
    </row>
    <row r="1554" spans="1:18" x14ac:dyDescent="0.2">
      <c r="A1554" s="41">
        <v>42919</v>
      </c>
      <c r="B1554" s="40">
        <v>9.74</v>
      </c>
      <c r="C1554" s="40">
        <v>10.25</v>
      </c>
      <c r="D1554" s="40">
        <v>9.2899999999999991</v>
      </c>
      <c r="E1554" s="40">
        <v>10.23</v>
      </c>
      <c r="K1554" s="40"/>
      <c r="P1554" s="40"/>
      <c r="Q1554" s="40"/>
      <c r="R1554" s="40"/>
    </row>
    <row r="1555" spans="1:18" x14ac:dyDescent="0.2">
      <c r="A1555" s="41">
        <v>42950</v>
      </c>
      <c r="B1555" s="40">
        <v>10.16</v>
      </c>
      <c r="C1555" s="40">
        <v>10.91</v>
      </c>
      <c r="D1555" s="40">
        <v>10.11</v>
      </c>
      <c r="E1555" s="40">
        <v>10.91</v>
      </c>
      <c r="K1555" s="40"/>
      <c r="P1555" s="40"/>
      <c r="Q1555" s="40"/>
      <c r="R1555" s="40"/>
    </row>
    <row r="1556" spans="1:18" x14ac:dyDescent="0.2">
      <c r="A1556" s="41">
        <v>42981</v>
      </c>
      <c r="B1556" s="40">
        <v>11.24</v>
      </c>
      <c r="C1556" s="40">
        <v>11.8</v>
      </c>
      <c r="D1556" s="40">
        <v>10.76</v>
      </c>
      <c r="E1556" s="40">
        <v>11.78</v>
      </c>
      <c r="K1556" s="40"/>
      <c r="P1556" s="40"/>
      <c r="Q1556" s="40"/>
      <c r="R1556" s="40"/>
    </row>
    <row r="1557" spans="1:18" x14ac:dyDescent="0.2">
      <c r="A1557" s="41">
        <v>43011</v>
      </c>
      <c r="B1557" s="40">
        <v>11.13</v>
      </c>
      <c r="C1557" s="40">
        <v>11.41</v>
      </c>
      <c r="D1557" s="40">
        <v>10.46</v>
      </c>
      <c r="E1557" s="40">
        <v>10.67</v>
      </c>
      <c r="K1557" s="40"/>
      <c r="P1557" s="40"/>
      <c r="Q1557" s="40"/>
      <c r="R1557" s="40"/>
    </row>
    <row r="1558" spans="1:18" x14ac:dyDescent="0.2">
      <c r="A1558" s="40" t="s">
        <v>1687</v>
      </c>
      <c r="B1558" s="40">
        <v>11.68</v>
      </c>
      <c r="C1558" s="40">
        <v>11.68</v>
      </c>
      <c r="D1558" s="40">
        <v>10.62</v>
      </c>
      <c r="E1558" s="40">
        <v>10.78</v>
      </c>
      <c r="K1558" s="40"/>
      <c r="P1558" s="40"/>
      <c r="Q1558" s="40"/>
      <c r="R1558" s="40"/>
    </row>
    <row r="1559" spans="1:18" x14ac:dyDescent="0.2">
      <c r="A1559" s="40" t="s">
        <v>1688</v>
      </c>
      <c r="B1559" s="40">
        <v>11.46</v>
      </c>
      <c r="C1559" s="40">
        <v>12.49</v>
      </c>
      <c r="D1559" s="40">
        <v>11.27</v>
      </c>
      <c r="E1559" s="40">
        <v>11.78</v>
      </c>
      <c r="K1559" s="40"/>
      <c r="P1559" s="40"/>
      <c r="Q1559" s="40"/>
      <c r="R1559" s="40"/>
    </row>
    <row r="1560" spans="1:18" x14ac:dyDescent="0.2">
      <c r="A1560" s="40" t="s">
        <v>1689</v>
      </c>
      <c r="B1560" s="40">
        <v>11.83</v>
      </c>
      <c r="C1560" s="40">
        <v>11.87</v>
      </c>
      <c r="D1560" s="40">
        <v>9.9600000000000009</v>
      </c>
      <c r="E1560" s="40">
        <v>10.76</v>
      </c>
      <c r="K1560" s="40"/>
      <c r="P1560" s="40"/>
      <c r="Q1560" s="40"/>
      <c r="R1560" s="40"/>
    </row>
    <row r="1561" spans="1:18" x14ac:dyDescent="0.2">
      <c r="A1561" s="40" t="s">
        <v>1690</v>
      </c>
      <c r="B1561" s="40">
        <v>10.3</v>
      </c>
      <c r="C1561" s="40">
        <v>10.31</v>
      </c>
      <c r="D1561" s="40">
        <v>9.34</v>
      </c>
      <c r="E1561" s="40">
        <v>9.74</v>
      </c>
      <c r="K1561" s="40"/>
      <c r="P1561" s="40"/>
      <c r="Q1561" s="40"/>
      <c r="R1561" s="40"/>
    </row>
    <row r="1562" spans="1:18" x14ac:dyDescent="0.2">
      <c r="A1562" s="40" t="s">
        <v>1691</v>
      </c>
      <c r="B1562" s="40">
        <v>9.6199999999999992</v>
      </c>
      <c r="C1562" s="40">
        <v>9.89</v>
      </c>
      <c r="D1562" s="40">
        <v>9.01</v>
      </c>
      <c r="E1562" s="40">
        <v>9.8699999999999992</v>
      </c>
      <c r="K1562" s="40"/>
      <c r="P1562" s="40"/>
      <c r="Q1562" s="40"/>
      <c r="R1562" s="40"/>
    </row>
    <row r="1563" spans="1:18" x14ac:dyDescent="0.2">
      <c r="A1563" s="40" t="s">
        <v>1692</v>
      </c>
      <c r="B1563" s="40">
        <v>10.73</v>
      </c>
      <c r="C1563" s="40">
        <v>10.8</v>
      </c>
      <c r="D1563" s="40">
        <v>9.81</v>
      </c>
      <c r="E1563" s="40">
        <v>10.23</v>
      </c>
      <c r="K1563" s="40"/>
      <c r="P1563" s="40"/>
      <c r="Q1563" s="40"/>
      <c r="R1563" s="40"/>
    </row>
    <row r="1564" spans="1:18" x14ac:dyDescent="0.2">
      <c r="A1564" s="40" t="s">
        <v>1693</v>
      </c>
      <c r="B1564" s="40">
        <v>9.6999999999999993</v>
      </c>
      <c r="C1564" s="40">
        <v>14.45</v>
      </c>
      <c r="D1564" s="40">
        <v>9.6199999999999992</v>
      </c>
      <c r="E1564" s="40">
        <v>14.23</v>
      </c>
      <c r="K1564" s="40"/>
      <c r="P1564" s="40"/>
      <c r="Q1564" s="40"/>
      <c r="R1564" s="40"/>
    </row>
    <row r="1565" spans="1:18" x14ac:dyDescent="0.2">
      <c r="A1565" s="40" t="s">
        <v>1694</v>
      </c>
      <c r="B1565" s="40">
        <v>14.19</v>
      </c>
      <c r="C1565" s="40">
        <v>14.8</v>
      </c>
      <c r="D1565" s="40">
        <v>12.96</v>
      </c>
      <c r="E1565" s="40">
        <v>14.51</v>
      </c>
      <c r="K1565" s="40"/>
      <c r="P1565" s="40"/>
      <c r="Q1565" s="40"/>
      <c r="R1565" s="40"/>
    </row>
    <row r="1566" spans="1:18" x14ac:dyDescent="0.2">
      <c r="A1566" s="40" t="s">
        <v>1695</v>
      </c>
      <c r="B1566" s="40">
        <v>14.61</v>
      </c>
      <c r="C1566" s="40">
        <v>15.52</v>
      </c>
      <c r="D1566" s="40">
        <v>13.2</v>
      </c>
      <c r="E1566" s="40">
        <v>15.14</v>
      </c>
      <c r="K1566" s="40"/>
      <c r="P1566" s="40"/>
      <c r="Q1566" s="40"/>
      <c r="R1566" s="40"/>
    </row>
    <row r="1567" spans="1:18" x14ac:dyDescent="0.2">
      <c r="A1567" s="40" t="s">
        <v>1696</v>
      </c>
      <c r="B1567" s="40">
        <v>14.24</v>
      </c>
      <c r="C1567" s="40">
        <v>16.7</v>
      </c>
      <c r="D1567" s="40">
        <v>12.97</v>
      </c>
      <c r="E1567" s="40">
        <v>13.43</v>
      </c>
      <c r="K1567" s="40"/>
      <c r="P1567" s="40"/>
      <c r="Q1567" s="40"/>
      <c r="R1567" s="40"/>
    </row>
    <row r="1568" spans="1:18" x14ac:dyDescent="0.2">
      <c r="A1568" s="40" t="s">
        <v>1697</v>
      </c>
      <c r="B1568" s="40">
        <v>16.36</v>
      </c>
      <c r="C1568" s="40">
        <v>16.36</v>
      </c>
      <c r="D1568" s="40">
        <v>12.04</v>
      </c>
      <c r="E1568" s="40">
        <v>12.12</v>
      </c>
      <c r="K1568" s="40"/>
      <c r="P1568" s="40"/>
      <c r="Q1568" s="40"/>
      <c r="R1568" s="40"/>
    </row>
    <row r="1569" spans="1:18" x14ac:dyDescent="0.2">
      <c r="A1569" s="40" t="s">
        <v>1698</v>
      </c>
      <c r="B1569" s="40">
        <v>12.21</v>
      </c>
      <c r="C1569" s="40">
        <v>12.21</v>
      </c>
      <c r="D1569" s="40">
        <v>10.18</v>
      </c>
      <c r="E1569" s="40">
        <v>10.51</v>
      </c>
      <c r="K1569" s="40"/>
      <c r="P1569" s="40"/>
      <c r="Q1569" s="40"/>
      <c r="R1569" s="40"/>
    </row>
    <row r="1570" spans="1:18" x14ac:dyDescent="0.2">
      <c r="A1570" s="40" t="s">
        <v>1699</v>
      </c>
      <c r="B1570" s="40">
        <v>10.58</v>
      </c>
      <c r="C1570" s="40">
        <v>10.59</v>
      </c>
      <c r="D1570" s="40">
        <v>9.24</v>
      </c>
      <c r="E1570" s="40">
        <v>10.08</v>
      </c>
      <c r="K1570" s="40"/>
      <c r="P1570" s="40"/>
      <c r="Q1570" s="40"/>
      <c r="R1570" s="40"/>
    </row>
    <row r="1571" spans="1:18" x14ac:dyDescent="0.2">
      <c r="A1571" s="40" t="s">
        <v>1700</v>
      </c>
      <c r="B1571" s="40">
        <v>10</v>
      </c>
      <c r="C1571" s="40">
        <v>10.02</v>
      </c>
      <c r="D1571" s="40">
        <v>9.17</v>
      </c>
      <c r="E1571" s="40">
        <v>9.58</v>
      </c>
      <c r="K1571" s="40"/>
      <c r="P1571" s="40"/>
      <c r="Q1571" s="40"/>
      <c r="R1571" s="40"/>
    </row>
    <row r="1572" spans="1:18" x14ac:dyDescent="0.2">
      <c r="A1572" s="40" t="s">
        <v>1701</v>
      </c>
      <c r="B1572" s="40">
        <v>9.8699999999999992</v>
      </c>
      <c r="C1572" s="40">
        <v>10.14</v>
      </c>
      <c r="D1572" s="40">
        <v>9.27</v>
      </c>
      <c r="E1572" s="40">
        <v>9.66</v>
      </c>
      <c r="K1572" s="40"/>
      <c r="P1572" s="40"/>
      <c r="Q1572" s="40"/>
      <c r="R1572" s="40"/>
    </row>
    <row r="1573" spans="1:18" x14ac:dyDescent="0.2">
      <c r="A1573" s="41">
        <v>42798</v>
      </c>
      <c r="B1573" s="40">
        <v>10.76</v>
      </c>
      <c r="C1573" s="40">
        <v>12.21</v>
      </c>
      <c r="D1573" s="40">
        <v>10.039999999999999</v>
      </c>
      <c r="E1573" s="40">
        <v>10.16</v>
      </c>
      <c r="K1573" s="40"/>
      <c r="P1573" s="40"/>
      <c r="Q1573" s="40"/>
      <c r="R1573" s="40"/>
    </row>
    <row r="1574" spans="1:18" x14ac:dyDescent="0.2">
      <c r="A1574" s="41">
        <v>42829</v>
      </c>
      <c r="B1574" s="40">
        <v>10.85</v>
      </c>
      <c r="C1574" s="40">
        <v>10.85</v>
      </c>
      <c r="D1574" s="40">
        <v>9.4</v>
      </c>
      <c r="E1574" s="40">
        <v>9.51</v>
      </c>
      <c r="K1574" s="40"/>
      <c r="P1574" s="40"/>
      <c r="Q1574" s="40"/>
      <c r="R1574" s="40"/>
    </row>
    <row r="1575" spans="1:18" x14ac:dyDescent="0.2">
      <c r="A1575" s="41">
        <v>42859</v>
      </c>
      <c r="B1575" s="40">
        <v>9.01</v>
      </c>
      <c r="C1575" s="40">
        <v>11.89</v>
      </c>
      <c r="D1575" s="40">
        <v>8.69</v>
      </c>
      <c r="E1575" s="40">
        <v>11.89</v>
      </c>
      <c r="K1575" s="40"/>
      <c r="P1575" s="40"/>
      <c r="Q1575" s="40"/>
      <c r="R1575" s="40"/>
    </row>
    <row r="1576" spans="1:18" x14ac:dyDescent="0.2">
      <c r="A1576" s="41">
        <v>42890</v>
      </c>
      <c r="B1576" s="40">
        <v>11.02</v>
      </c>
      <c r="C1576" s="40">
        <v>11.1</v>
      </c>
      <c r="D1576" s="40">
        <v>9.6</v>
      </c>
      <c r="E1576" s="40">
        <v>10.27</v>
      </c>
      <c r="K1576" s="40"/>
      <c r="P1576" s="40"/>
      <c r="Q1576" s="40"/>
      <c r="R1576" s="40"/>
    </row>
    <row r="1577" spans="1:18" x14ac:dyDescent="0.2">
      <c r="A1577" s="41">
        <v>42920</v>
      </c>
      <c r="B1577" s="40">
        <v>10.88</v>
      </c>
      <c r="C1577" s="40">
        <v>11.69</v>
      </c>
      <c r="D1577" s="40">
        <v>9.94</v>
      </c>
      <c r="E1577" s="40">
        <v>10.06</v>
      </c>
      <c r="K1577" s="40"/>
      <c r="P1577" s="40"/>
      <c r="Q1577" s="40"/>
      <c r="R1577" s="40"/>
    </row>
    <row r="1578" spans="1:18" x14ac:dyDescent="0.2">
      <c r="A1578" s="41">
        <v>43012</v>
      </c>
      <c r="B1578" s="40">
        <v>10.62</v>
      </c>
      <c r="C1578" s="40">
        <v>10.69</v>
      </c>
      <c r="D1578" s="40">
        <v>9.73</v>
      </c>
      <c r="E1578" s="40">
        <v>10.36</v>
      </c>
      <c r="K1578" s="40"/>
      <c r="P1578" s="40"/>
      <c r="Q1578" s="40"/>
      <c r="R1578" s="40"/>
    </row>
    <row r="1579" spans="1:18" x14ac:dyDescent="0.2">
      <c r="A1579" s="41">
        <v>43043</v>
      </c>
      <c r="B1579" s="40">
        <v>10.77</v>
      </c>
      <c r="C1579" s="40">
        <v>12.17</v>
      </c>
      <c r="D1579" s="40">
        <v>10.53</v>
      </c>
      <c r="E1579" s="40">
        <v>10.54</v>
      </c>
      <c r="K1579" s="40"/>
      <c r="P1579" s="40"/>
      <c r="Q1579" s="40"/>
      <c r="R1579" s="40"/>
    </row>
    <row r="1580" spans="1:18" x14ac:dyDescent="0.2">
      <c r="A1580" s="41">
        <v>43073</v>
      </c>
      <c r="B1580" s="40">
        <v>10.71</v>
      </c>
      <c r="C1580" s="40">
        <v>11.62</v>
      </c>
      <c r="D1580" s="40">
        <v>10.33</v>
      </c>
      <c r="E1580" s="40">
        <v>10.91</v>
      </c>
      <c r="K1580" s="40"/>
      <c r="P1580" s="40"/>
      <c r="Q1580" s="40"/>
      <c r="R1580" s="40"/>
    </row>
    <row r="1581" spans="1:18" x14ac:dyDescent="0.2">
      <c r="A1581" s="40" t="s">
        <v>1702</v>
      </c>
      <c r="B1581" s="40">
        <v>11.76</v>
      </c>
      <c r="C1581" s="40">
        <v>12.88</v>
      </c>
      <c r="D1581" s="40">
        <v>10.7</v>
      </c>
      <c r="E1581" s="40">
        <v>12.75</v>
      </c>
      <c r="K1581" s="40"/>
      <c r="P1581" s="40"/>
      <c r="Q1581" s="40"/>
      <c r="R1581" s="40"/>
    </row>
    <row r="1582" spans="1:18" x14ac:dyDescent="0.2">
      <c r="A1582" s="40" t="s">
        <v>1703</v>
      </c>
      <c r="B1582" s="40">
        <v>14.91</v>
      </c>
      <c r="C1582" s="40">
        <v>14.95</v>
      </c>
      <c r="D1582" s="40">
        <v>12.96</v>
      </c>
      <c r="E1582" s="40">
        <v>13.44</v>
      </c>
      <c r="K1582" s="40"/>
      <c r="P1582" s="40"/>
      <c r="Q1582" s="40"/>
      <c r="R1582" s="40"/>
    </row>
    <row r="1583" spans="1:18" x14ac:dyDescent="0.2">
      <c r="A1583" s="40" t="s">
        <v>1704</v>
      </c>
      <c r="B1583" s="40">
        <v>14.83</v>
      </c>
      <c r="C1583" s="40">
        <v>15.84</v>
      </c>
      <c r="D1583" s="40">
        <v>14.04</v>
      </c>
      <c r="E1583" s="40">
        <v>14.2</v>
      </c>
      <c r="K1583" s="40"/>
      <c r="P1583" s="40"/>
      <c r="Q1583" s="40"/>
      <c r="R1583" s="40"/>
    </row>
    <row r="1584" spans="1:18" x14ac:dyDescent="0.2">
      <c r="A1584" s="40" t="s">
        <v>1705</v>
      </c>
      <c r="B1584" s="40">
        <v>13.73</v>
      </c>
      <c r="C1584" s="40">
        <v>16.59</v>
      </c>
      <c r="D1584" s="40">
        <v>13.52</v>
      </c>
      <c r="E1584" s="40">
        <v>16.2</v>
      </c>
      <c r="K1584" s="40"/>
      <c r="P1584" s="40"/>
      <c r="Q1584" s="40"/>
      <c r="R1584" s="40"/>
    </row>
    <row r="1585" spans="1:18" x14ac:dyDescent="0.2">
      <c r="A1585" s="40" t="s">
        <v>1706</v>
      </c>
      <c r="B1585" s="40">
        <v>15.69</v>
      </c>
      <c r="C1585" s="40">
        <v>16.79</v>
      </c>
      <c r="D1585" s="40">
        <v>14.66</v>
      </c>
      <c r="E1585" s="40">
        <v>15.83</v>
      </c>
      <c r="K1585" s="40"/>
      <c r="P1585" s="40"/>
      <c r="Q1585" s="40"/>
      <c r="R1585" s="40"/>
    </row>
    <row r="1586" spans="1:18" x14ac:dyDescent="0.2">
      <c r="A1586" s="40" t="s">
        <v>1707</v>
      </c>
      <c r="B1586" s="40">
        <v>16.03</v>
      </c>
      <c r="C1586" s="40">
        <v>18.55</v>
      </c>
      <c r="D1586" s="40">
        <v>15.89</v>
      </c>
      <c r="E1586" s="40">
        <v>17.09</v>
      </c>
      <c r="K1586" s="40"/>
      <c r="P1586" s="40"/>
      <c r="Q1586" s="40"/>
      <c r="R1586" s="40"/>
    </row>
    <row r="1587" spans="1:18" x14ac:dyDescent="0.2">
      <c r="A1587" s="40" t="s">
        <v>1708</v>
      </c>
      <c r="B1587" s="40">
        <v>11.28</v>
      </c>
      <c r="C1587" s="40">
        <v>11.73</v>
      </c>
      <c r="D1587" s="40">
        <v>9.91</v>
      </c>
      <c r="E1587" s="40">
        <v>9.9600000000000009</v>
      </c>
      <c r="K1587" s="40"/>
      <c r="P1587" s="40"/>
      <c r="Q1587" s="40"/>
      <c r="R1587" s="40"/>
    </row>
    <row r="1588" spans="1:18" x14ac:dyDescent="0.2">
      <c r="A1588" s="40" t="s">
        <v>1709</v>
      </c>
      <c r="B1588" s="40">
        <v>9.83</v>
      </c>
      <c r="C1588" s="40">
        <v>10.59</v>
      </c>
      <c r="D1588" s="40">
        <v>9.6199999999999992</v>
      </c>
      <c r="E1588" s="40">
        <v>9.8000000000000007</v>
      </c>
      <c r="K1588" s="40"/>
      <c r="P1588" s="40"/>
      <c r="Q1588" s="40"/>
      <c r="R1588" s="40"/>
    </row>
    <row r="1589" spans="1:18" x14ac:dyDescent="0.2">
      <c r="A1589" s="40" t="s">
        <v>1710</v>
      </c>
      <c r="B1589" s="40">
        <v>9.91</v>
      </c>
      <c r="C1589" s="40">
        <v>10.24</v>
      </c>
      <c r="D1589" s="40">
        <v>9.33</v>
      </c>
      <c r="E1589" s="40">
        <v>9.7899999999999991</v>
      </c>
      <c r="K1589" s="40"/>
      <c r="P1589" s="40"/>
      <c r="Q1589" s="40"/>
      <c r="R1589" s="40"/>
    </row>
    <row r="1590" spans="1:18" x14ac:dyDescent="0.2">
      <c r="A1590" s="40" t="s">
        <v>1711</v>
      </c>
      <c r="B1590" s="40">
        <v>9.81</v>
      </c>
      <c r="C1590" s="40">
        <v>10.58</v>
      </c>
      <c r="D1590" s="40">
        <v>9.08</v>
      </c>
      <c r="E1590" s="40">
        <v>9.24</v>
      </c>
      <c r="K1590" s="40"/>
      <c r="P1590" s="40"/>
      <c r="Q1590" s="40"/>
      <c r="R1590" s="40"/>
    </row>
    <row r="1591" spans="1:18" x14ac:dyDescent="0.2">
      <c r="A1591" s="40" t="s">
        <v>1712</v>
      </c>
      <c r="B1591" s="40">
        <v>9.34</v>
      </c>
      <c r="C1591" s="40">
        <v>9.92</v>
      </c>
      <c r="D1591" s="40">
        <v>9.1999999999999993</v>
      </c>
      <c r="E1591" s="40">
        <v>9.42</v>
      </c>
      <c r="K1591" s="40"/>
      <c r="P1591" s="40"/>
      <c r="Q1591" s="40"/>
      <c r="R1591" s="40"/>
    </row>
    <row r="1592" spans="1:18" x14ac:dyDescent="0.2">
      <c r="A1592" s="41">
        <v>42740</v>
      </c>
      <c r="B1592" s="40">
        <v>10.85</v>
      </c>
      <c r="C1592" s="40">
        <v>10.86</v>
      </c>
      <c r="D1592" s="40">
        <v>9.3800000000000008</v>
      </c>
      <c r="E1592" s="40">
        <v>9.49</v>
      </c>
      <c r="K1592" s="40"/>
      <c r="P1592" s="40"/>
      <c r="Q1592" s="40"/>
      <c r="R1592" s="40"/>
    </row>
    <row r="1593" spans="1:18" x14ac:dyDescent="0.2">
      <c r="A1593" s="41">
        <v>42771</v>
      </c>
      <c r="B1593" s="40">
        <v>9.85</v>
      </c>
      <c r="C1593" s="40">
        <v>10.57</v>
      </c>
      <c r="D1593" s="40">
        <v>9.7799999999999994</v>
      </c>
      <c r="E1593" s="40">
        <v>10.49</v>
      </c>
      <c r="K1593" s="40"/>
      <c r="P1593" s="40"/>
      <c r="Q1593" s="40"/>
      <c r="R1593" s="40"/>
    </row>
    <row r="1594" spans="1:18" x14ac:dyDescent="0.2">
      <c r="A1594" s="41">
        <v>42799</v>
      </c>
      <c r="B1594" s="40">
        <v>11.09</v>
      </c>
      <c r="C1594" s="40">
        <v>11.56</v>
      </c>
      <c r="D1594" s="40">
        <v>10.4</v>
      </c>
      <c r="E1594" s="40">
        <v>10.78</v>
      </c>
      <c r="K1594" s="40"/>
      <c r="P1594" s="40"/>
      <c r="Q1594" s="40"/>
      <c r="R1594" s="40"/>
    </row>
    <row r="1595" spans="1:18" x14ac:dyDescent="0.2">
      <c r="A1595" s="41">
        <v>42830</v>
      </c>
      <c r="B1595" s="40">
        <v>10.87</v>
      </c>
      <c r="C1595" s="40">
        <v>12.09</v>
      </c>
      <c r="D1595" s="40">
        <v>10.67</v>
      </c>
      <c r="E1595" s="40">
        <v>11.04</v>
      </c>
      <c r="K1595" s="40"/>
      <c r="P1595" s="40"/>
      <c r="Q1595" s="40"/>
      <c r="R1595" s="40"/>
    </row>
    <row r="1596" spans="1:18" x14ac:dyDescent="0.2">
      <c r="A1596" s="41">
        <v>42860</v>
      </c>
      <c r="B1596" s="40">
        <v>10.48</v>
      </c>
      <c r="C1596" s="40">
        <v>11.97</v>
      </c>
      <c r="D1596" s="40">
        <v>10.29</v>
      </c>
      <c r="E1596" s="40">
        <v>11.44</v>
      </c>
      <c r="K1596" s="40"/>
      <c r="P1596" s="40"/>
      <c r="Q1596" s="40"/>
      <c r="R1596" s="40"/>
    </row>
    <row r="1597" spans="1:18" x14ac:dyDescent="0.2">
      <c r="A1597" s="41">
        <v>42952</v>
      </c>
      <c r="B1597" s="40">
        <v>9.85</v>
      </c>
      <c r="C1597" s="40">
        <v>9.85</v>
      </c>
      <c r="D1597" s="40">
        <v>8.91</v>
      </c>
      <c r="E1597" s="40">
        <v>9.09</v>
      </c>
      <c r="K1597" s="40"/>
      <c r="P1597" s="40"/>
      <c r="Q1597" s="40"/>
      <c r="R1597" s="40"/>
    </row>
    <row r="1598" spans="1:18" x14ac:dyDescent="0.2">
      <c r="A1598" s="41">
        <v>42983</v>
      </c>
      <c r="B1598" s="40">
        <v>9.26</v>
      </c>
      <c r="C1598" s="40">
        <v>9.64</v>
      </c>
      <c r="D1598" s="40">
        <v>8.91</v>
      </c>
      <c r="E1598" s="40">
        <v>9.31</v>
      </c>
      <c r="K1598" s="40"/>
      <c r="P1598" s="40"/>
      <c r="Q1598" s="40"/>
      <c r="R1598" s="40"/>
    </row>
    <row r="1599" spans="1:18" x14ac:dyDescent="0.2">
      <c r="A1599" s="41">
        <v>43013</v>
      </c>
      <c r="B1599" s="40">
        <v>9.4499999999999993</v>
      </c>
      <c r="C1599" s="40">
        <v>9.4499999999999993</v>
      </c>
      <c r="D1599" s="40">
        <v>8.85</v>
      </c>
      <c r="E1599" s="40">
        <v>9.43</v>
      </c>
      <c r="K1599" s="40"/>
      <c r="P1599" s="40"/>
      <c r="Q1599" s="40"/>
      <c r="R1599" s="40"/>
    </row>
    <row r="1600" spans="1:18" x14ac:dyDescent="0.2">
      <c r="A1600" s="41">
        <v>43044</v>
      </c>
      <c r="B1600" s="40">
        <v>9.82</v>
      </c>
      <c r="C1600" s="40">
        <v>11.18</v>
      </c>
      <c r="D1600" s="40">
        <v>9.6300000000000008</v>
      </c>
      <c r="E1600" s="40">
        <v>10.35</v>
      </c>
      <c r="K1600" s="40"/>
      <c r="P1600" s="40"/>
      <c r="Q1600" s="40"/>
      <c r="R1600" s="40"/>
    </row>
    <row r="1601" spans="1:18" x14ac:dyDescent="0.2">
      <c r="A1601" s="41">
        <v>43074</v>
      </c>
      <c r="B1601" s="40">
        <v>10.119999999999999</v>
      </c>
      <c r="C1601" s="40">
        <v>10.31</v>
      </c>
      <c r="D1601" s="40">
        <v>9.16</v>
      </c>
      <c r="E1601" s="40">
        <v>9.4</v>
      </c>
      <c r="K1601" s="40"/>
      <c r="P1601" s="40"/>
      <c r="Q1601" s="40"/>
      <c r="R1601" s="40"/>
    </row>
    <row r="1602" spans="1:18" x14ac:dyDescent="0.2">
      <c r="A1602" s="40" t="s">
        <v>1713</v>
      </c>
      <c r="B1602" s="40">
        <v>9.9600000000000009</v>
      </c>
      <c r="C1602" s="40">
        <v>9.9600000000000009</v>
      </c>
      <c r="D1602" s="40">
        <v>8.9</v>
      </c>
      <c r="E1602" s="40">
        <v>9.16</v>
      </c>
      <c r="K1602" s="40"/>
      <c r="P1602" s="40"/>
      <c r="Q1602" s="40"/>
      <c r="R1602" s="40"/>
    </row>
    <row r="1603" spans="1:18" x14ac:dyDescent="0.2">
      <c r="A1603" s="40" t="s">
        <v>1714</v>
      </c>
      <c r="B1603" s="40">
        <v>8.89</v>
      </c>
      <c r="C1603" s="40">
        <v>9.14</v>
      </c>
      <c r="D1603" s="40">
        <v>8.56</v>
      </c>
      <c r="E1603" s="40">
        <v>8.9600000000000009</v>
      </c>
      <c r="K1603" s="40"/>
      <c r="P1603" s="40"/>
      <c r="Q1603" s="40"/>
      <c r="R1603" s="40"/>
    </row>
    <row r="1604" spans="1:18" x14ac:dyDescent="0.2">
      <c r="A1604" s="40" t="s">
        <v>1715</v>
      </c>
      <c r="B1604" s="40">
        <v>11.96</v>
      </c>
      <c r="C1604" s="40">
        <v>20.22</v>
      </c>
      <c r="D1604" s="40">
        <v>11.51</v>
      </c>
      <c r="E1604" s="40">
        <v>20.170000000000002</v>
      </c>
      <c r="K1604" s="40"/>
      <c r="P1604" s="40"/>
      <c r="Q1604" s="40"/>
      <c r="R1604" s="40"/>
    </row>
    <row r="1605" spans="1:18" x14ac:dyDescent="0.2">
      <c r="A1605" s="40" t="s">
        <v>1716</v>
      </c>
      <c r="B1605" s="40">
        <v>19.43</v>
      </c>
      <c r="C1605" s="40">
        <v>19.579999999999998</v>
      </c>
      <c r="D1605" s="40">
        <v>15.69</v>
      </c>
      <c r="E1605" s="40">
        <v>16.670000000000002</v>
      </c>
      <c r="K1605" s="40"/>
      <c r="P1605" s="40"/>
      <c r="Q1605" s="40"/>
      <c r="R1605" s="40"/>
    </row>
    <row r="1606" spans="1:18" x14ac:dyDescent="0.2">
      <c r="A1606" s="40" t="s">
        <v>1717</v>
      </c>
      <c r="B1606" s="40">
        <v>13.17</v>
      </c>
      <c r="C1606" s="40">
        <v>13.18</v>
      </c>
      <c r="D1606" s="40">
        <v>10.29</v>
      </c>
      <c r="E1606" s="40">
        <v>10.98</v>
      </c>
      <c r="K1606" s="40"/>
      <c r="P1606" s="40"/>
      <c r="Q1606" s="40"/>
      <c r="R1606" s="40"/>
    </row>
    <row r="1607" spans="1:18" x14ac:dyDescent="0.2">
      <c r="A1607" s="40" t="s">
        <v>1718</v>
      </c>
      <c r="B1607" s="40">
        <v>10.85</v>
      </c>
      <c r="C1607" s="40">
        <v>10.85</v>
      </c>
      <c r="D1607" s="40">
        <v>9.25</v>
      </c>
      <c r="E1607" s="40">
        <v>9.39</v>
      </c>
      <c r="K1607" s="40"/>
      <c r="P1607" s="40"/>
      <c r="Q1607" s="40"/>
      <c r="R1607" s="40"/>
    </row>
    <row r="1608" spans="1:18" x14ac:dyDescent="0.2">
      <c r="A1608" s="40" t="s">
        <v>1719</v>
      </c>
      <c r="B1608" s="40">
        <v>9.08</v>
      </c>
      <c r="C1608" s="40">
        <v>9.86</v>
      </c>
      <c r="D1608" s="40">
        <v>9.08</v>
      </c>
      <c r="E1608" s="40">
        <v>9.32</v>
      </c>
      <c r="K1608" s="40"/>
      <c r="P1608" s="40"/>
      <c r="Q1608" s="40"/>
      <c r="R1608" s="40"/>
    </row>
    <row r="1609" spans="1:18" x14ac:dyDescent="0.2">
      <c r="A1609" s="40" t="s">
        <v>1720</v>
      </c>
      <c r="B1609" s="40">
        <v>9.2100000000000009</v>
      </c>
      <c r="C1609" s="40">
        <v>9.5500000000000007</v>
      </c>
      <c r="D1609" s="40">
        <v>8.52</v>
      </c>
      <c r="E1609" s="40">
        <v>8.56</v>
      </c>
      <c r="K1609" s="40"/>
      <c r="P1609" s="40"/>
      <c r="Q1609" s="40"/>
      <c r="R1609" s="40"/>
    </row>
    <row r="1610" spans="1:18" x14ac:dyDescent="0.2">
      <c r="A1610" s="40" t="s">
        <v>1721</v>
      </c>
      <c r="B1610" s="40">
        <v>8.57</v>
      </c>
      <c r="C1610" s="40">
        <v>8.99</v>
      </c>
      <c r="D1610" s="40">
        <v>7.81</v>
      </c>
      <c r="E1610" s="40">
        <v>8.1199999999999992</v>
      </c>
      <c r="K1610" s="40"/>
      <c r="P1610" s="40"/>
      <c r="Q1610" s="40"/>
      <c r="R1610" s="40"/>
    </row>
    <row r="1611" spans="1:18" x14ac:dyDescent="0.2">
      <c r="A1611" s="40" t="s">
        <v>1722</v>
      </c>
      <c r="B1611" s="40">
        <v>8.69</v>
      </c>
      <c r="C1611" s="40">
        <v>8.85</v>
      </c>
      <c r="D1611" s="40">
        <v>7.51</v>
      </c>
      <c r="E1611" s="40">
        <v>7.6</v>
      </c>
      <c r="K1611" s="40"/>
      <c r="P1611" s="40"/>
      <c r="Q1611" s="40"/>
      <c r="R1611" s="40"/>
    </row>
    <row r="1612" spans="1:18" x14ac:dyDescent="0.2">
      <c r="A1612" s="40" t="s">
        <v>1723</v>
      </c>
      <c r="B1612" s="40">
        <v>9.4700000000000006</v>
      </c>
      <c r="C1612" s="40">
        <v>9.5399999999999991</v>
      </c>
      <c r="D1612" s="40">
        <v>8.56</v>
      </c>
      <c r="E1612" s="40">
        <v>9.0399999999999991</v>
      </c>
      <c r="K1612" s="40"/>
      <c r="P1612" s="40"/>
      <c r="Q1612" s="40"/>
      <c r="R1612" s="40"/>
    </row>
    <row r="1613" spans="1:18" x14ac:dyDescent="0.2">
      <c r="A1613" s="40" t="s">
        <v>1724</v>
      </c>
      <c r="B1613" s="40">
        <v>8.9</v>
      </c>
      <c r="C1613" s="40">
        <v>9.91</v>
      </c>
      <c r="D1613" s="40">
        <v>8.4499999999999993</v>
      </c>
      <c r="E1613" s="40">
        <v>8.7100000000000009</v>
      </c>
      <c r="K1613" s="40"/>
      <c r="P1613" s="40"/>
      <c r="Q1613" s="40"/>
      <c r="R1613" s="40"/>
    </row>
    <row r="1614" spans="1:18" x14ac:dyDescent="0.2">
      <c r="A1614" s="41">
        <v>42741</v>
      </c>
      <c r="B1614" s="40">
        <v>8.64</v>
      </c>
      <c r="C1614" s="40">
        <v>9.14</v>
      </c>
      <c r="D1614" s="40">
        <v>8.2200000000000006</v>
      </c>
      <c r="E1614" s="40">
        <v>8.5</v>
      </c>
      <c r="K1614" s="40"/>
      <c r="P1614" s="40"/>
      <c r="Q1614" s="40"/>
      <c r="R1614" s="40"/>
    </row>
    <row r="1615" spans="1:18" x14ac:dyDescent="0.2">
      <c r="A1615" s="41">
        <v>42772</v>
      </c>
      <c r="B1615" s="40">
        <v>8.65</v>
      </c>
      <c r="C1615" s="40">
        <v>9.01</v>
      </c>
      <c r="D1615" s="40">
        <v>8.18</v>
      </c>
      <c r="E1615" s="40">
        <v>8.4700000000000006</v>
      </c>
      <c r="K1615" s="40"/>
      <c r="P1615" s="40"/>
      <c r="Q1615" s="40"/>
      <c r="R1615" s="40"/>
    </row>
    <row r="1616" spans="1:18" x14ac:dyDescent="0.2">
      <c r="A1616" s="41">
        <v>42861</v>
      </c>
      <c r="B1616" s="40">
        <v>9.9</v>
      </c>
      <c r="C1616" s="40">
        <v>9.9600000000000009</v>
      </c>
      <c r="D1616" s="40">
        <v>9.1300000000000008</v>
      </c>
      <c r="E1616" s="40">
        <v>9.69</v>
      </c>
      <c r="K1616" s="40"/>
      <c r="P1616" s="40"/>
      <c r="Q1616" s="40"/>
      <c r="R1616" s="40"/>
    </row>
    <row r="1617" spans="1:18" x14ac:dyDescent="0.2">
      <c r="A1617" s="41">
        <v>42892</v>
      </c>
      <c r="B1617" s="40">
        <v>10.35</v>
      </c>
      <c r="C1617" s="40">
        <v>10.59</v>
      </c>
      <c r="D1617" s="40">
        <v>9.92</v>
      </c>
      <c r="E1617" s="40">
        <v>10.39</v>
      </c>
      <c r="K1617" s="40"/>
      <c r="P1617" s="40"/>
      <c r="Q1617" s="40"/>
      <c r="R1617" s="40"/>
    </row>
    <row r="1618" spans="1:18" x14ac:dyDescent="0.2">
      <c r="A1618" s="41">
        <v>42922</v>
      </c>
      <c r="B1618" s="40">
        <v>10.44</v>
      </c>
      <c r="C1618" s="40">
        <v>10.99</v>
      </c>
      <c r="D1618" s="40">
        <v>10.130000000000001</v>
      </c>
      <c r="E1618" s="40">
        <v>10.130000000000001</v>
      </c>
      <c r="K1618" s="40"/>
      <c r="P1618" s="40"/>
      <c r="Q1618" s="40"/>
      <c r="R1618" s="40"/>
    </row>
    <row r="1619" spans="1:18" x14ac:dyDescent="0.2">
      <c r="A1619" s="41">
        <v>42953</v>
      </c>
      <c r="B1619" s="40">
        <v>10.029999999999999</v>
      </c>
      <c r="C1619" s="40">
        <v>10.35</v>
      </c>
      <c r="D1619" s="40">
        <v>9.33</v>
      </c>
      <c r="E1619" s="40">
        <v>9.6199999999999992</v>
      </c>
      <c r="K1619" s="40"/>
      <c r="P1619" s="40"/>
      <c r="Q1619" s="40"/>
      <c r="R1619" s="40"/>
    </row>
    <row r="1620" spans="1:18" x14ac:dyDescent="0.2">
      <c r="A1620" s="41">
        <v>42984</v>
      </c>
      <c r="B1620" s="40">
        <v>8.98</v>
      </c>
      <c r="C1620" s="40">
        <v>12.47</v>
      </c>
      <c r="D1620" s="40">
        <v>8.35</v>
      </c>
      <c r="E1620" s="40">
        <v>10.37</v>
      </c>
      <c r="K1620" s="40"/>
      <c r="P1620" s="40"/>
      <c r="Q1620" s="40"/>
      <c r="R1620" s="40"/>
    </row>
    <row r="1621" spans="1:18" x14ac:dyDescent="0.2">
      <c r="A1621" s="41">
        <v>43075</v>
      </c>
      <c r="B1621" s="40">
        <v>11.8</v>
      </c>
      <c r="C1621" s="40">
        <v>13.22</v>
      </c>
      <c r="D1621" s="40">
        <v>11.3</v>
      </c>
      <c r="E1621" s="40">
        <v>11.35</v>
      </c>
      <c r="K1621" s="40"/>
      <c r="P1621" s="40"/>
      <c r="Q1621" s="40"/>
      <c r="R1621" s="40"/>
    </row>
    <row r="1622" spans="1:18" x14ac:dyDescent="0.2">
      <c r="A1622" s="40" t="s">
        <v>1725</v>
      </c>
      <c r="B1622" s="40">
        <v>10.4</v>
      </c>
      <c r="C1622" s="40">
        <v>10.44</v>
      </c>
      <c r="D1622" s="40">
        <v>9.2799999999999994</v>
      </c>
      <c r="E1622" s="40">
        <v>9.35</v>
      </c>
      <c r="K1622" s="40"/>
      <c r="P1622" s="40"/>
      <c r="Q1622" s="40"/>
      <c r="R1622" s="40"/>
    </row>
    <row r="1623" spans="1:18" x14ac:dyDescent="0.2">
      <c r="A1623" s="40" t="s">
        <v>1726</v>
      </c>
      <c r="B1623" s="40">
        <v>9.4600000000000009</v>
      </c>
      <c r="C1623" s="40">
        <v>10.31</v>
      </c>
      <c r="D1623" s="40">
        <v>8.74</v>
      </c>
      <c r="E1623" s="40">
        <v>9.91</v>
      </c>
      <c r="K1623" s="40"/>
      <c r="P1623" s="40"/>
      <c r="Q1623" s="40"/>
      <c r="R1623" s="40"/>
    </row>
    <row r="1624" spans="1:18" x14ac:dyDescent="0.2">
      <c r="A1624" s="40" t="s">
        <v>1727</v>
      </c>
      <c r="B1624" s="40">
        <v>11.58</v>
      </c>
      <c r="C1624" s="40">
        <v>11.86</v>
      </c>
      <c r="D1624" s="40">
        <v>9.61</v>
      </c>
      <c r="E1624" s="40">
        <v>10.14</v>
      </c>
      <c r="K1624" s="40"/>
      <c r="P1624" s="40"/>
      <c r="Q1624" s="40"/>
      <c r="R1624" s="40"/>
    </row>
    <row r="1625" spans="1:18" x14ac:dyDescent="0.2">
      <c r="A1625" s="40" t="s">
        <v>1728</v>
      </c>
      <c r="B1625" s="40">
        <v>9.65</v>
      </c>
      <c r="C1625" s="40">
        <v>10.33</v>
      </c>
      <c r="D1625" s="40">
        <v>8.17</v>
      </c>
      <c r="E1625" s="40">
        <v>8.33</v>
      </c>
      <c r="K1625" s="40"/>
      <c r="P1625" s="40"/>
      <c r="Q1625" s="40"/>
      <c r="R1625" s="40"/>
    </row>
    <row r="1626" spans="1:18" x14ac:dyDescent="0.2">
      <c r="A1626" s="40" t="s">
        <v>1729</v>
      </c>
      <c r="B1626" s="40">
        <v>8.8699999999999992</v>
      </c>
      <c r="C1626" s="40">
        <v>8.94</v>
      </c>
      <c r="D1626" s="40">
        <v>8.1300000000000008</v>
      </c>
      <c r="E1626" s="40">
        <v>8.52</v>
      </c>
      <c r="K1626" s="40"/>
      <c r="P1626" s="40"/>
      <c r="Q1626" s="40"/>
      <c r="R1626" s="40"/>
    </row>
    <row r="1627" spans="1:18" x14ac:dyDescent="0.2">
      <c r="A1627" s="40" t="s">
        <v>1730</v>
      </c>
      <c r="B1627" s="40">
        <v>8.77</v>
      </c>
      <c r="C1627" s="40">
        <v>10.08</v>
      </c>
      <c r="D1627" s="40">
        <v>8.61</v>
      </c>
      <c r="E1627" s="40">
        <v>9.42</v>
      </c>
      <c r="K1627" s="40"/>
      <c r="P1627" s="40"/>
      <c r="Q1627" s="40"/>
      <c r="R1627" s="40"/>
    </row>
    <row r="1628" spans="1:18" x14ac:dyDescent="0.2">
      <c r="A1628" s="40" t="s">
        <v>1731</v>
      </c>
      <c r="B1628" s="40">
        <v>9.39</v>
      </c>
      <c r="C1628" s="40">
        <v>10.199999999999999</v>
      </c>
      <c r="D1628" s="40">
        <v>9.07</v>
      </c>
      <c r="E1628" s="40">
        <v>9.56</v>
      </c>
      <c r="K1628" s="40"/>
      <c r="P1628" s="40"/>
      <c r="Q1628" s="40"/>
      <c r="R1628" s="40"/>
    </row>
    <row r="1629" spans="1:18" x14ac:dyDescent="0.2">
      <c r="A1629" s="40" t="s">
        <v>1732</v>
      </c>
      <c r="B1629" s="40">
        <v>9.66</v>
      </c>
      <c r="C1629" s="40">
        <v>10.24</v>
      </c>
      <c r="D1629" s="40">
        <v>8.7899999999999991</v>
      </c>
      <c r="E1629" s="40">
        <v>9.23</v>
      </c>
      <c r="K1629" s="40"/>
      <c r="P1629" s="40"/>
      <c r="Q1629" s="40"/>
      <c r="R1629" s="40"/>
    </row>
    <row r="1630" spans="1:18" x14ac:dyDescent="0.2">
      <c r="A1630" s="40" t="s">
        <v>1733</v>
      </c>
      <c r="B1630" s="40">
        <v>9.11</v>
      </c>
      <c r="C1630" s="40">
        <v>9.59</v>
      </c>
      <c r="D1630" s="40">
        <v>8.06</v>
      </c>
      <c r="E1630" s="40">
        <v>8.3800000000000008</v>
      </c>
      <c r="K1630" s="40"/>
      <c r="P1630" s="40"/>
      <c r="Q1630" s="40"/>
      <c r="R1630" s="40"/>
    </row>
    <row r="1631" spans="1:18" x14ac:dyDescent="0.2">
      <c r="A1631" s="40" t="s">
        <v>1734</v>
      </c>
      <c r="B1631" s="40">
        <v>8.6199999999999992</v>
      </c>
      <c r="C1631" s="40">
        <v>9.32</v>
      </c>
      <c r="D1631" s="40">
        <v>8.1999999999999993</v>
      </c>
      <c r="E1631" s="40">
        <v>8.6999999999999993</v>
      </c>
      <c r="K1631" s="40"/>
      <c r="P1631" s="40"/>
      <c r="Q1631" s="40"/>
      <c r="R1631" s="40"/>
    </row>
    <row r="1632" spans="1:18" x14ac:dyDescent="0.2">
      <c r="A1632" s="40" t="s">
        <v>1735</v>
      </c>
      <c r="B1632" s="40">
        <v>9.0500000000000007</v>
      </c>
      <c r="C1632" s="40">
        <v>10.93</v>
      </c>
      <c r="D1632" s="40">
        <v>8.52</v>
      </c>
      <c r="E1632" s="40">
        <v>10.5</v>
      </c>
      <c r="K1632" s="40"/>
      <c r="P1632" s="40"/>
      <c r="Q1632" s="40"/>
      <c r="R1632" s="40"/>
    </row>
    <row r="1633" spans="1:18" x14ac:dyDescent="0.2">
      <c r="A1633" s="40" t="s">
        <v>1736</v>
      </c>
      <c r="B1633" s="40">
        <v>9.35</v>
      </c>
      <c r="C1633" s="40">
        <v>9.92</v>
      </c>
      <c r="D1633" s="40">
        <v>8.32</v>
      </c>
      <c r="E1633" s="40">
        <v>8.49</v>
      </c>
      <c r="K1633" s="40"/>
      <c r="P1633" s="40"/>
      <c r="Q1633" s="40"/>
      <c r="R1633" s="40"/>
    </row>
    <row r="1634" spans="1:18" x14ac:dyDescent="0.2">
      <c r="A1634" s="40" t="s">
        <v>1737</v>
      </c>
      <c r="B1634" s="40">
        <v>8.8800000000000008</v>
      </c>
      <c r="C1634" s="40">
        <v>17.68</v>
      </c>
      <c r="D1634" s="40">
        <v>8.76</v>
      </c>
      <c r="E1634" s="40">
        <v>11.37</v>
      </c>
      <c r="K1634" s="40"/>
      <c r="P1634" s="40"/>
      <c r="Q1634" s="40"/>
      <c r="R1634" s="40"/>
    </row>
    <row r="1635" spans="1:18" x14ac:dyDescent="0.2">
      <c r="A1635" s="40" t="s">
        <v>1738</v>
      </c>
      <c r="B1635" s="40">
        <v>10.31</v>
      </c>
      <c r="C1635" s="40">
        <v>11</v>
      </c>
      <c r="D1635" s="40">
        <v>9.41</v>
      </c>
      <c r="E1635" s="40">
        <v>9.93</v>
      </c>
      <c r="K1635" s="40"/>
      <c r="P1635" s="40"/>
      <c r="Q1635" s="40"/>
      <c r="R1635" s="40"/>
    </row>
    <row r="1636" spans="1:18" x14ac:dyDescent="0.2">
      <c r="A1636" s="41">
        <v>42801</v>
      </c>
      <c r="B1636" s="40">
        <v>9.75</v>
      </c>
      <c r="C1636" s="40">
        <v>10.46</v>
      </c>
      <c r="D1636" s="40">
        <v>9.14</v>
      </c>
      <c r="E1636" s="40">
        <v>10.210000000000001</v>
      </c>
      <c r="K1636" s="40"/>
      <c r="P1636" s="40"/>
      <c r="Q1636" s="40"/>
      <c r="R1636" s="40"/>
    </row>
    <row r="1637" spans="1:18" x14ac:dyDescent="0.2">
      <c r="A1637" s="41">
        <v>42862</v>
      </c>
      <c r="B1637" s="40">
        <v>10.18</v>
      </c>
      <c r="C1637" s="40">
        <v>11.35</v>
      </c>
      <c r="D1637" s="40">
        <v>9.18</v>
      </c>
      <c r="E1637" s="40">
        <v>9.65</v>
      </c>
      <c r="K1637" s="40"/>
      <c r="P1637" s="40"/>
      <c r="Q1637" s="40"/>
      <c r="R1637" s="40"/>
    </row>
    <row r="1638" spans="1:18" x14ac:dyDescent="0.2">
      <c r="A1638" s="41">
        <v>42893</v>
      </c>
      <c r="B1638" s="40">
        <v>11.07</v>
      </c>
      <c r="C1638" s="40">
        <v>12.3</v>
      </c>
      <c r="D1638" s="40">
        <v>10.32</v>
      </c>
      <c r="E1638" s="40">
        <v>11.53</v>
      </c>
      <c r="K1638" s="40"/>
      <c r="P1638" s="40"/>
      <c r="Q1638" s="40"/>
      <c r="R1638" s="40"/>
    </row>
    <row r="1639" spans="1:18" x14ac:dyDescent="0.2">
      <c r="A1639" s="41">
        <v>42923</v>
      </c>
      <c r="B1639" s="40">
        <v>10.97</v>
      </c>
      <c r="C1639" s="40">
        <v>11.03</v>
      </c>
      <c r="D1639" s="40">
        <v>9.07</v>
      </c>
      <c r="E1639" s="40">
        <v>9.26</v>
      </c>
      <c r="K1639" s="40"/>
      <c r="P1639" s="40"/>
      <c r="Q1639" s="40"/>
      <c r="R1639" s="40"/>
    </row>
    <row r="1640" spans="1:18" x14ac:dyDescent="0.2">
      <c r="A1640" s="41">
        <v>43015</v>
      </c>
      <c r="B1640" s="40">
        <v>10.85</v>
      </c>
      <c r="C1640" s="40">
        <v>10.85</v>
      </c>
      <c r="D1640" s="40">
        <v>9.44</v>
      </c>
      <c r="E1640" s="40">
        <v>9.9</v>
      </c>
      <c r="K1640" s="40"/>
      <c r="P1640" s="40"/>
      <c r="Q1640" s="40"/>
      <c r="R1640" s="40"/>
    </row>
    <row r="1641" spans="1:18" x14ac:dyDescent="0.2">
      <c r="A1641" s="41">
        <v>43046</v>
      </c>
      <c r="B1641" s="40">
        <v>10.1</v>
      </c>
      <c r="C1641" s="40">
        <v>11.27</v>
      </c>
      <c r="D1641" s="40">
        <v>9.33</v>
      </c>
      <c r="E1641" s="40">
        <v>9.3699999999999992</v>
      </c>
      <c r="K1641" s="40"/>
      <c r="P1641" s="40"/>
      <c r="Q1641" s="40"/>
      <c r="R1641" s="40"/>
    </row>
    <row r="1642" spans="1:18" x14ac:dyDescent="0.2">
      <c r="A1642" s="41">
        <v>43076</v>
      </c>
      <c r="B1642" s="40">
        <v>8.69</v>
      </c>
      <c r="C1642" s="40">
        <v>8.83</v>
      </c>
      <c r="D1642" s="40">
        <v>8.02</v>
      </c>
      <c r="E1642" s="40">
        <v>8.06</v>
      </c>
      <c r="K1642" s="40"/>
      <c r="P1642" s="40"/>
      <c r="Q1642" s="40"/>
      <c r="R1642" s="40"/>
    </row>
    <row r="1643" spans="1:18" x14ac:dyDescent="0.2">
      <c r="A1643" s="40" t="s">
        <v>1739</v>
      </c>
      <c r="B1643" s="40">
        <v>8.58</v>
      </c>
      <c r="C1643" s="40">
        <v>8.59</v>
      </c>
      <c r="D1643" s="40">
        <v>8.01</v>
      </c>
      <c r="E1643" s="40">
        <v>8.01</v>
      </c>
      <c r="K1643" s="40"/>
      <c r="P1643" s="40"/>
      <c r="Q1643" s="40"/>
      <c r="R1643" s="40"/>
    </row>
    <row r="1644" spans="1:18" x14ac:dyDescent="0.2">
      <c r="A1644" s="40" t="s">
        <v>1740</v>
      </c>
      <c r="B1644" s="40">
        <v>8.09</v>
      </c>
      <c r="C1644" s="40">
        <v>8.18</v>
      </c>
      <c r="D1644" s="40">
        <v>7.55</v>
      </c>
      <c r="E1644" s="40">
        <v>7.55</v>
      </c>
      <c r="K1644" s="40"/>
      <c r="P1644" s="40"/>
      <c r="Q1644" s="40"/>
      <c r="R1644" s="40"/>
    </row>
    <row r="1645" spans="1:18" x14ac:dyDescent="0.2">
      <c r="A1645" s="40" t="s">
        <v>1741</v>
      </c>
      <c r="B1645" s="40">
        <v>8.5299999999999994</v>
      </c>
      <c r="C1645" s="40">
        <v>8.67</v>
      </c>
      <c r="D1645" s="40">
        <v>8.2799999999999994</v>
      </c>
      <c r="E1645" s="40">
        <v>8.39</v>
      </c>
      <c r="K1645" s="40"/>
      <c r="P1645" s="40"/>
      <c r="Q1645" s="40"/>
      <c r="R1645" s="40"/>
    </row>
    <row r="1646" spans="1:18" x14ac:dyDescent="0.2">
      <c r="A1646" s="40" t="s">
        <v>1742</v>
      </c>
      <c r="B1646" s="40">
        <v>9.18</v>
      </c>
      <c r="C1646" s="40">
        <v>9.24</v>
      </c>
      <c r="D1646" s="40">
        <v>8.2100000000000009</v>
      </c>
      <c r="E1646" s="40">
        <v>8.44</v>
      </c>
      <c r="K1646" s="40"/>
      <c r="P1646" s="40"/>
      <c r="Q1646" s="40"/>
      <c r="R1646" s="40"/>
    </row>
    <row r="1647" spans="1:18" x14ac:dyDescent="0.2">
      <c r="A1647" s="40" t="s">
        <v>1743</v>
      </c>
      <c r="B1647" s="40">
        <v>8.4</v>
      </c>
      <c r="C1647" s="40">
        <v>8.4</v>
      </c>
      <c r="D1647" s="40">
        <v>7.74</v>
      </c>
      <c r="E1647" s="40">
        <v>7.85</v>
      </c>
      <c r="K1647" s="40"/>
      <c r="P1647" s="40"/>
      <c r="Q1647" s="40"/>
      <c r="R1647" s="40"/>
    </row>
    <row r="1648" spans="1:18" x14ac:dyDescent="0.2">
      <c r="A1648" s="40" t="s">
        <v>1744</v>
      </c>
      <c r="B1648" s="40">
        <v>8.02</v>
      </c>
      <c r="C1648" s="40">
        <v>9.02</v>
      </c>
      <c r="D1648" s="40">
        <v>7.59</v>
      </c>
      <c r="E1648" s="40">
        <v>7.69</v>
      </c>
      <c r="K1648" s="40"/>
      <c r="P1648" s="40"/>
      <c r="Q1648" s="40"/>
      <c r="R1648" s="40"/>
    </row>
    <row r="1649" spans="1:18" x14ac:dyDescent="0.2">
      <c r="A1649" s="40" t="s">
        <v>1745</v>
      </c>
      <c r="B1649" s="40">
        <v>7.85</v>
      </c>
      <c r="C1649" s="40">
        <v>8.1199999999999992</v>
      </c>
      <c r="D1649" s="40">
        <v>6.99</v>
      </c>
      <c r="E1649" s="40">
        <v>7.1</v>
      </c>
      <c r="K1649" s="40"/>
      <c r="P1649" s="40"/>
      <c r="Q1649" s="40"/>
      <c r="R1649" s="40"/>
    </row>
    <row r="1650" spans="1:18" x14ac:dyDescent="0.2">
      <c r="A1650" s="40" t="s">
        <v>1746</v>
      </c>
      <c r="B1650" s="40">
        <v>8.25</v>
      </c>
      <c r="C1650" s="40">
        <v>8.31</v>
      </c>
      <c r="D1650" s="40">
        <v>7.45</v>
      </c>
      <c r="E1650" s="40">
        <v>7.64</v>
      </c>
      <c r="K1650" s="40"/>
      <c r="P1650" s="40"/>
      <c r="Q1650" s="40"/>
      <c r="R1650" s="40"/>
    </row>
    <row r="1651" spans="1:18" x14ac:dyDescent="0.2">
      <c r="A1651" s="40" t="s">
        <v>1747</v>
      </c>
      <c r="B1651" s="40">
        <v>7.57</v>
      </c>
      <c r="C1651" s="40">
        <v>8.02</v>
      </c>
      <c r="D1651" s="40">
        <v>7.45</v>
      </c>
      <c r="E1651" s="40">
        <v>7.87</v>
      </c>
      <c r="K1651" s="40"/>
      <c r="P1651" s="40"/>
      <c r="Q1651" s="40"/>
      <c r="R1651" s="40"/>
    </row>
    <row r="1652" spans="1:18" x14ac:dyDescent="0.2">
      <c r="A1652" s="40" t="s">
        <v>1748</v>
      </c>
      <c r="B1652" s="40">
        <v>7.96</v>
      </c>
      <c r="C1652" s="40">
        <v>8.19</v>
      </c>
      <c r="D1652" s="40">
        <v>7.79</v>
      </c>
      <c r="E1652" s="40">
        <v>8.07</v>
      </c>
      <c r="K1652" s="40"/>
      <c r="P1652" s="40"/>
      <c r="Q1652" s="40"/>
      <c r="R1652" s="40"/>
    </row>
    <row r="1653" spans="1:18" x14ac:dyDescent="0.2">
      <c r="A1653" s="40" t="s">
        <v>1749</v>
      </c>
      <c r="B1653" s="40">
        <v>7.84</v>
      </c>
      <c r="C1653" s="40">
        <v>11.65</v>
      </c>
      <c r="D1653" s="40">
        <v>7.59</v>
      </c>
      <c r="E1653" s="40">
        <v>9.0299999999999994</v>
      </c>
      <c r="K1653" s="40"/>
      <c r="P1653" s="40"/>
      <c r="Q1653" s="40"/>
      <c r="R1653" s="40"/>
    </row>
    <row r="1654" spans="1:18" x14ac:dyDescent="0.2">
      <c r="A1654" s="40" t="s">
        <v>1750</v>
      </c>
      <c r="B1654" s="40">
        <v>9.99</v>
      </c>
      <c r="C1654" s="40">
        <v>10.38</v>
      </c>
      <c r="D1654" s="40">
        <v>8.34</v>
      </c>
      <c r="E1654" s="40">
        <v>8.5500000000000007</v>
      </c>
      <c r="K1654" s="40"/>
      <c r="P1654" s="40"/>
      <c r="Q1654" s="40"/>
      <c r="R1654" s="40"/>
    </row>
    <row r="1655" spans="1:18" x14ac:dyDescent="0.2">
      <c r="A1655" s="40" t="s">
        <v>1751</v>
      </c>
      <c r="B1655" s="40">
        <v>9.5399999999999991</v>
      </c>
      <c r="C1655" s="40">
        <v>9.98</v>
      </c>
      <c r="D1655" s="40">
        <v>8.99</v>
      </c>
      <c r="E1655" s="40">
        <v>9.43</v>
      </c>
      <c r="K1655" s="40"/>
      <c r="P1655" s="40"/>
      <c r="Q1655" s="40"/>
      <c r="R1655" s="40"/>
    </row>
    <row r="1656" spans="1:18" x14ac:dyDescent="0.2">
      <c r="A1656" s="41">
        <v>42743</v>
      </c>
      <c r="B1656" s="40">
        <v>9.41</v>
      </c>
      <c r="C1656" s="40">
        <v>9.7100000000000009</v>
      </c>
      <c r="D1656" s="40">
        <v>8.75</v>
      </c>
      <c r="E1656" s="40">
        <v>8.93</v>
      </c>
      <c r="K1656" s="40"/>
      <c r="P1656" s="40"/>
      <c r="Q1656" s="40"/>
      <c r="R1656" s="40"/>
    </row>
    <row r="1657" spans="1:18" x14ac:dyDescent="0.2">
      <c r="A1657" s="41">
        <v>42774</v>
      </c>
      <c r="B1657" s="40">
        <v>8.68</v>
      </c>
      <c r="C1657" s="40">
        <v>9.56</v>
      </c>
      <c r="D1657" s="40">
        <v>8.4</v>
      </c>
      <c r="E1657" s="40">
        <v>8.68</v>
      </c>
      <c r="K1657" s="40"/>
      <c r="P1657" s="40"/>
      <c r="Q1657" s="40"/>
      <c r="R1657" s="40"/>
    </row>
    <row r="1658" spans="1:18" x14ac:dyDescent="0.2">
      <c r="A1658" s="41">
        <v>42802</v>
      </c>
      <c r="B1658" s="40">
        <v>8.91</v>
      </c>
      <c r="C1658" s="40">
        <v>9.33</v>
      </c>
      <c r="D1658" s="40">
        <v>8.3800000000000008</v>
      </c>
      <c r="E1658" s="40">
        <v>9.31</v>
      </c>
      <c r="K1658" s="40"/>
      <c r="P1658" s="40"/>
      <c r="Q1658" s="40"/>
      <c r="R1658" s="40"/>
    </row>
    <row r="1659" spans="1:18" x14ac:dyDescent="0.2">
      <c r="A1659" s="41">
        <v>42833</v>
      </c>
      <c r="B1659" s="40">
        <v>8.49</v>
      </c>
      <c r="C1659" s="40">
        <v>8.82</v>
      </c>
      <c r="D1659" s="40">
        <v>8.06</v>
      </c>
      <c r="E1659" s="40">
        <v>8.58</v>
      </c>
      <c r="K1659" s="40"/>
      <c r="P1659" s="40"/>
      <c r="Q1659" s="40"/>
      <c r="R1659" s="40"/>
    </row>
    <row r="1660" spans="1:18" x14ac:dyDescent="0.2">
      <c r="A1660" s="41">
        <v>42924</v>
      </c>
      <c r="B1660" s="40">
        <v>9.2899999999999991</v>
      </c>
      <c r="C1660" s="40">
        <v>9.32</v>
      </c>
      <c r="D1660" s="40">
        <v>8.2799999999999994</v>
      </c>
      <c r="E1660" s="40">
        <v>8.43</v>
      </c>
      <c r="K1660" s="40"/>
      <c r="P1660" s="40"/>
      <c r="Q1660" s="40"/>
      <c r="R1660" s="40"/>
    </row>
    <row r="1661" spans="1:18" x14ac:dyDescent="0.2">
      <c r="A1661" s="41">
        <v>42955</v>
      </c>
      <c r="B1661" s="40">
        <v>8.76</v>
      </c>
      <c r="C1661" s="40">
        <v>11.47</v>
      </c>
      <c r="D1661" s="40">
        <v>8</v>
      </c>
      <c r="E1661" s="40">
        <v>10.5</v>
      </c>
      <c r="K1661" s="40"/>
      <c r="P1661" s="40"/>
      <c r="Q1661" s="40"/>
      <c r="R1661" s="40"/>
    </row>
    <row r="1662" spans="1:18" x14ac:dyDescent="0.2">
      <c r="A1662" s="41">
        <v>42986</v>
      </c>
      <c r="B1662" s="40">
        <v>12.8</v>
      </c>
      <c r="C1662" s="40">
        <v>13.41</v>
      </c>
      <c r="D1662" s="40">
        <v>10.6</v>
      </c>
      <c r="E1662" s="40">
        <v>10.72</v>
      </c>
      <c r="K1662" s="40"/>
      <c r="P1662" s="40"/>
      <c r="Q1662" s="40"/>
      <c r="R1662" s="40"/>
    </row>
    <row r="1663" spans="1:18" x14ac:dyDescent="0.2">
      <c r="A1663" s="41">
        <v>43016</v>
      </c>
      <c r="B1663" s="40">
        <v>13.98</v>
      </c>
      <c r="C1663" s="40">
        <v>18.27</v>
      </c>
      <c r="D1663" s="40">
        <v>13.54</v>
      </c>
      <c r="E1663" s="40">
        <v>17.829999999999998</v>
      </c>
      <c r="K1663" s="40"/>
      <c r="P1663" s="40"/>
      <c r="Q1663" s="40"/>
      <c r="R1663" s="40"/>
    </row>
    <row r="1664" spans="1:18" x14ac:dyDescent="0.2">
      <c r="A1664" s="41">
        <v>43047</v>
      </c>
      <c r="B1664" s="40">
        <v>16.100000000000001</v>
      </c>
      <c r="C1664" s="40">
        <v>17.2</v>
      </c>
      <c r="D1664" s="40">
        <v>14.34</v>
      </c>
      <c r="E1664" s="40">
        <v>15.53</v>
      </c>
      <c r="K1664" s="40"/>
      <c r="P1664" s="40"/>
      <c r="Q1664" s="40"/>
      <c r="R1664" s="40"/>
    </row>
    <row r="1665" spans="1:18" x14ac:dyDescent="0.2">
      <c r="A1665" s="40" t="s">
        <v>1752</v>
      </c>
      <c r="B1665" s="40">
        <v>12.39</v>
      </c>
      <c r="C1665" s="40">
        <v>12.39</v>
      </c>
      <c r="D1665" s="40">
        <v>11.26</v>
      </c>
      <c r="E1665" s="40">
        <v>11.63</v>
      </c>
      <c r="K1665" s="40"/>
      <c r="P1665" s="40"/>
      <c r="Q1665" s="40"/>
      <c r="R1665" s="40"/>
    </row>
    <row r="1666" spans="1:18" x14ac:dyDescent="0.2">
      <c r="A1666" s="40" t="s">
        <v>1753</v>
      </c>
      <c r="B1666" s="40">
        <v>10.94</v>
      </c>
      <c r="C1666" s="40">
        <v>11.55</v>
      </c>
      <c r="D1666" s="40">
        <v>10.01</v>
      </c>
      <c r="E1666" s="40">
        <v>10.41</v>
      </c>
      <c r="K1666" s="40"/>
      <c r="P1666" s="40"/>
      <c r="Q1666" s="40"/>
      <c r="R1666" s="40"/>
    </row>
    <row r="1667" spans="1:18" x14ac:dyDescent="0.2">
      <c r="A1667" s="40" t="s">
        <v>1754</v>
      </c>
      <c r="B1667" s="40">
        <v>10.26</v>
      </c>
      <c r="C1667" s="40">
        <v>10.52</v>
      </c>
      <c r="D1667" s="40">
        <v>9.02</v>
      </c>
      <c r="E1667" s="40">
        <v>9.73</v>
      </c>
      <c r="K1667" s="40"/>
      <c r="P1667" s="40"/>
      <c r="Q1667" s="40"/>
      <c r="R1667" s="40"/>
    </row>
    <row r="1668" spans="1:18" x14ac:dyDescent="0.2">
      <c r="A1668" s="40" t="s">
        <v>1755</v>
      </c>
      <c r="B1668" s="40">
        <v>11.01</v>
      </c>
      <c r="C1668" s="40">
        <v>15.98</v>
      </c>
      <c r="D1668" s="40">
        <v>10.34</v>
      </c>
      <c r="E1668" s="40">
        <v>15.77</v>
      </c>
      <c r="K1668" s="40"/>
      <c r="P1668" s="40"/>
      <c r="Q1668" s="40"/>
      <c r="R1668" s="40"/>
    </row>
    <row r="1669" spans="1:18" x14ac:dyDescent="0.2">
      <c r="A1669" s="40" t="s">
        <v>1756</v>
      </c>
      <c r="B1669" s="40">
        <v>15.21</v>
      </c>
      <c r="C1669" s="40">
        <v>16.100000000000001</v>
      </c>
      <c r="D1669" s="40">
        <v>12.39</v>
      </c>
      <c r="E1669" s="40">
        <v>13.17</v>
      </c>
      <c r="K1669" s="40"/>
      <c r="P1669" s="40"/>
      <c r="Q1669" s="40"/>
      <c r="R1669" s="40"/>
    </row>
    <row r="1670" spans="1:18" x14ac:dyDescent="0.2">
      <c r="A1670" s="40" t="s">
        <v>1757</v>
      </c>
      <c r="B1670" s="40">
        <v>14.37</v>
      </c>
      <c r="C1670" s="40">
        <v>14.5</v>
      </c>
      <c r="D1670" s="40">
        <v>12.48</v>
      </c>
      <c r="E1670" s="40">
        <v>12.48</v>
      </c>
      <c r="K1670" s="40"/>
      <c r="P1670" s="40"/>
      <c r="Q1670" s="40"/>
      <c r="R1670" s="40"/>
    </row>
    <row r="1671" spans="1:18" x14ac:dyDescent="0.2">
      <c r="A1671" s="40" t="s">
        <v>1758</v>
      </c>
      <c r="B1671" s="40">
        <v>11.9</v>
      </c>
      <c r="C1671" s="40">
        <v>11.93</v>
      </c>
      <c r="D1671" s="40">
        <v>9.92</v>
      </c>
      <c r="E1671" s="40">
        <v>9.92</v>
      </c>
      <c r="K1671" s="40"/>
      <c r="P1671" s="40"/>
      <c r="Q1671" s="40"/>
      <c r="R1671" s="40"/>
    </row>
    <row r="1672" spans="1:18" x14ac:dyDescent="0.2">
      <c r="A1672" s="40" t="s">
        <v>1759</v>
      </c>
      <c r="B1672" s="40">
        <v>11.41</v>
      </c>
      <c r="C1672" s="40">
        <v>11.41</v>
      </c>
      <c r="D1672" s="40">
        <v>10.1</v>
      </c>
      <c r="E1672" s="40">
        <v>11.14</v>
      </c>
      <c r="K1672" s="40"/>
      <c r="P1672" s="40"/>
      <c r="Q1672" s="40"/>
      <c r="R1672" s="40"/>
    </row>
    <row r="1673" spans="1:18" x14ac:dyDescent="0.2">
      <c r="A1673" s="40" t="s">
        <v>1760</v>
      </c>
      <c r="B1673" s="40">
        <v>10.5</v>
      </c>
      <c r="C1673" s="40">
        <v>11.79</v>
      </c>
      <c r="D1673" s="40">
        <v>10.32</v>
      </c>
      <c r="E1673" s="40">
        <v>10.33</v>
      </c>
      <c r="K1673" s="40"/>
      <c r="P1673" s="40"/>
      <c r="Q1673" s="40"/>
      <c r="R1673" s="40"/>
    </row>
    <row r="1674" spans="1:18" x14ac:dyDescent="0.2">
      <c r="A1674" s="40" t="s">
        <v>1761</v>
      </c>
      <c r="B1674" s="40">
        <v>10.18</v>
      </c>
      <c r="C1674" s="40">
        <v>10.23</v>
      </c>
      <c r="D1674" s="40">
        <v>8.8800000000000008</v>
      </c>
      <c r="E1674" s="40">
        <v>8.9700000000000006</v>
      </c>
      <c r="K1674" s="40"/>
      <c r="P1674" s="40"/>
      <c r="Q1674" s="40"/>
      <c r="R1674" s="40"/>
    </row>
    <row r="1675" spans="1:18" x14ac:dyDescent="0.2">
      <c r="A1675" s="40" t="s">
        <v>1762</v>
      </c>
      <c r="B1675" s="40">
        <v>9.4600000000000009</v>
      </c>
      <c r="C1675" s="40">
        <v>10.27</v>
      </c>
      <c r="D1675" s="40">
        <v>9.34</v>
      </c>
      <c r="E1675" s="40">
        <v>9.4499999999999993</v>
      </c>
      <c r="K1675" s="40"/>
      <c r="P1675" s="40"/>
      <c r="Q1675" s="40"/>
      <c r="R1675" s="40"/>
    </row>
    <row r="1676" spans="1:18" x14ac:dyDescent="0.2">
      <c r="A1676" s="40" t="s">
        <v>1763</v>
      </c>
      <c r="B1676" s="40">
        <v>12.65</v>
      </c>
      <c r="C1676" s="40">
        <v>12.65</v>
      </c>
      <c r="D1676" s="40">
        <v>9.57</v>
      </c>
      <c r="E1676" s="40">
        <v>9.81</v>
      </c>
      <c r="K1676" s="40"/>
      <c r="P1676" s="40"/>
      <c r="Q1676" s="40"/>
      <c r="R1676" s="40"/>
    </row>
    <row r="1677" spans="1:18" x14ac:dyDescent="0.2">
      <c r="A1677" s="40" t="s">
        <v>1764</v>
      </c>
      <c r="B1677" s="40">
        <v>10</v>
      </c>
      <c r="C1677" s="40">
        <v>10.26</v>
      </c>
      <c r="D1677" s="40">
        <v>8.94</v>
      </c>
      <c r="E1677" s="40">
        <v>9.15</v>
      </c>
      <c r="K1677" s="40"/>
      <c r="P1677" s="40"/>
      <c r="Q1677" s="40"/>
      <c r="R1677" s="40"/>
    </row>
    <row r="1678" spans="1:18" x14ac:dyDescent="0.2">
      <c r="A1678" s="40" t="s">
        <v>1765</v>
      </c>
      <c r="B1678" s="40">
        <v>8.89</v>
      </c>
      <c r="C1678" s="40">
        <v>9.07</v>
      </c>
      <c r="D1678" s="40">
        <v>8.5299999999999994</v>
      </c>
      <c r="E1678" s="40">
        <v>8.66</v>
      </c>
      <c r="K1678" s="40"/>
      <c r="P1678" s="40"/>
      <c r="Q1678" s="40"/>
      <c r="R1678" s="40"/>
    </row>
    <row r="1679" spans="1:18" x14ac:dyDescent="0.2">
      <c r="A1679" s="41">
        <v>42744</v>
      </c>
      <c r="B1679" s="40">
        <v>8.3699999999999992</v>
      </c>
      <c r="C1679" s="40">
        <v>8.66</v>
      </c>
      <c r="D1679" s="40">
        <v>7.87</v>
      </c>
      <c r="E1679" s="40">
        <v>7.94</v>
      </c>
      <c r="K1679" s="40"/>
      <c r="P1679" s="40"/>
      <c r="Q1679" s="40"/>
      <c r="R1679" s="40"/>
    </row>
    <row r="1680" spans="1:18" x14ac:dyDescent="0.2">
      <c r="A1680" s="41">
        <v>42864</v>
      </c>
      <c r="B1680" s="40">
        <v>10.39</v>
      </c>
      <c r="C1680" s="40">
        <v>13.68</v>
      </c>
      <c r="D1680" s="40">
        <v>10.26</v>
      </c>
      <c r="E1680" s="40">
        <v>11.34</v>
      </c>
      <c r="K1680" s="40"/>
      <c r="P1680" s="40"/>
      <c r="Q1680" s="40"/>
      <c r="R1680" s="40"/>
    </row>
    <row r="1681" spans="1:18" x14ac:dyDescent="0.2">
      <c r="A1681" s="41">
        <v>42895</v>
      </c>
      <c r="B1681" s="40">
        <v>10.69</v>
      </c>
      <c r="C1681" s="40">
        <v>11.58</v>
      </c>
      <c r="D1681" s="40">
        <v>9.75</v>
      </c>
      <c r="E1681" s="40">
        <v>10.220000000000001</v>
      </c>
      <c r="K1681" s="40"/>
      <c r="P1681" s="40"/>
      <c r="Q1681" s="40"/>
      <c r="R1681" s="40"/>
    </row>
    <row r="1682" spans="1:18" x14ac:dyDescent="0.2">
      <c r="A1682" s="41">
        <v>42925</v>
      </c>
      <c r="B1682" s="40">
        <v>10.32</v>
      </c>
      <c r="C1682" s="40">
        <v>10.96</v>
      </c>
      <c r="D1682" s="40">
        <v>9.75</v>
      </c>
      <c r="E1682" s="40">
        <v>9.75</v>
      </c>
      <c r="K1682" s="40"/>
      <c r="P1682" s="40"/>
      <c r="Q1682" s="40"/>
      <c r="R1682" s="40"/>
    </row>
    <row r="1683" spans="1:18" x14ac:dyDescent="0.2">
      <c r="A1683" s="41">
        <v>42956</v>
      </c>
      <c r="B1683" s="40">
        <v>10.94</v>
      </c>
      <c r="C1683" s="40">
        <v>11.96</v>
      </c>
      <c r="D1683" s="40">
        <v>9.8000000000000007</v>
      </c>
      <c r="E1683" s="40">
        <v>11.29</v>
      </c>
      <c r="K1683" s="40"/>
      <c r="P1683" s="40"/>
      <c r="Q1683" s="40"/>
      <c r="R1683" s="40"/>
    </row>
    <row r="1684" spans="1:18" x14ac:dyDescent="0.2">
      <c r="A1684" s="41">
        <v>43048</v>
      </c>
      <c r="B1684" s="40">
        <v>9.76</v>
      </c>
      <c r="C1684" s="40">
        <v>9.76</v>
      </c>
      <c r="D1684" s="40">
        <v>9</v>
      </c>
      <c r="E1684" s="40">
        <v>9.01</v>
      </c>
      <c r="K1684" s="40"/>
      <c r="P1684" s="40"/>
      <c r="Q1684" s="40"/>
      <c r="R1684" s="40"/>
    </row>
    <row r="1685" spans="1:18" x14ac:dyDescent="0.2">
      <c r="A1685" s="41">
        <v>43078</v>
      </c>
      <c r="B1685" s="40">
        <v>9.14</v>
      </c>
      <c r="C1685" s="40">
        <v>9.5</v>
      </c>
      <c r="D1685" s="40">
        <v>8.8800000000000008</v>
      </c>
      <c r="E1685" s="40">
        <v>9.25</v>
      </c>
      <c r="K1685" s="40"/>
      <c r="P1685" s="40"/>
      <c r="Q1685" s="40"/>
      <c r="R1685" s="40"/>
    </row>
    <row r="1686" spans="1:18" x14ac:dyDescent="0.2">
      <c r="A1686" s="40" t="s">
        <v>1766</v>
      </c>
      <c r="B1686" s="40">
        <v>9.4</v>
      </c>
      <c r="C1686" s="40">
        <v>9.41</v>
      </c>
      <c r="D1686" s="40">
        <v>9.02</v>
      </c>
      <c r="E1686" s="40">
        <v>9.3800000000000008</v>
      </c>
      <c r="K1686" s="40"/>
      <c r="P1686" s="40"/>
      <c r="Q1686" s="40"/>
      <c r="R1686" s="40"/>
    </row>
    <row r="1687" spans="1:18" x14ac:dyDescent="0.2">
      <c r="A1687" s="40" t="s">
        <v>1767</v>
      </c>
      <c r="B1687" s="40">
        <v>9.57</v>
      </c>
      <c r="C1687" s="40">
        <v>9.81</v>
      </c>
      <c r="D1687" s="40">
        <v>8.9</v>
      </c>
      <c r="E1687" s="40">
        <v>9.2899999999999991</v>
      </c>
      <c r="K1687" s="40"/>
      <c r="P1687" s="40"/>
      <c r="Q1687" s="40"/>
      <c r="R1687" s="40"/>
    </row>
    <row r="1688" spans="1:18" x14ac:dyDescent="0.2">
      <c r="A1688" s="40" t="s">
        <v>1768</v>
      </c>
      <c r="B1688" s="40">
        <v>9.24</v>
      </c>
      <c r="C1688" s="40">
        <v>9.24</v>
      </c>
      <c r="D1688" s="40">
        <v>7.88</v>
      </c>
      <c r="E1688" s="40">
        <v>8.3000000000000007</v>
      </c>
      <c r="K1688" s="40"/>
      <c r="P1688" s="40"/>
      <c r="Q1688" s="40"/>
      <c r="R1688" s="40"/>
    </row>
    <row r="1689" spans="1:18" x14ac:dyDescent="0.2">
      <c r="A1689" s="40" t="s">
        <v>1769</v>
      </c>
      <c r="B1689" s="40">
        <v>9.41</v>
      </c>
      <c r="C1689" s="40">
        <v>9.4499999999999993</v>
      </c>
      <c r="D1689" s="40">
        <v>8.7100000000000009</v>
      </c>
      <c r="E1689" s="40">
        <v>8.7200000000000006</v>
      </c>
      <c r="K1689" s="40"/>
      <c r="P1689" s="40"/>
      <c r="Q1689" s="40"/>
      <c r="R1689" s="40"/>
    </row>
    <row r="1690" spans="1:18" x14ac:dyDescent="0.2">
      <c r="A1690" s="40" t="s">
        <v>1770</v>
      </c>
      <c r="B1690" s="40">
        <v>8.7100000000000009</v>
      </c>
      <c r="C1690" s="40">
        <v>9.1300000000000008</v>
      </c>
      <c r="D1690" s="40">
        <v>8.6199999999999992</v>
      </c>
      <c r="E1690" s="40">
        <v>9.09</v>
      </c>
      <c r="K1690" s="40"/>
      <c r="P1690" s="40"/>
      <c r="Q1690" s="40"/>
      <c r="R1690" s="40"/>
    </row>
    <row r="1691" spans="1:18" x14ac:dyDescent="0.2">
      <c r="A1691" s="40" t="s">
        <v>1771</v>
      </c>
      <c r="B1691" s="40">
        <v>8.92</v>
      </c>
      <c r="C1691" s="40">
        <v>10.24</v>
      </c>
      <c r="D1691" s="40">
        <v>8.85</v>
      </c>
      <c r="E1691" s="40">
        <v>8.9499999999999993</v>
      </c>
      <c r="K1691" s="40"/>
      <c r="P1691" s="40"/>
      <c r="Q1691" s="40"/>
      <c r="R1691" s="40"/>
    </row>
    <row r="1692" spans="1:18" x14ac:dyDescent="0.2">
      <c r="A1692" s="40" t="s">
        <v>1772</v>
      </c>
      <c r="B1692" s="40">
        <v>9.0500000000000007</v>
      </c>
      <c r="C1692" s="40">
        <v>9.43</v>
      </c>
      <c r="D1692" s="40">
        <v>8.26</v>
      </c>
      <c r="E1692" s="40">
        <v>8.44</v>
      </c>
      <c r="K1692" s="40"/>
      <c r="P1692" s="40"/>
      <c r="Q1692" s="40"/>
      <c r="R1692" s="40"/>
    </row>
    <row r="1693" spans="1:18" x14ac:dyDescent="0.2">
      <c r="A1693" s="40" t="s">
        <v>1773</v>
      </c>
      <c r="B1693" s="40">
        <v>8.92</v>
      </c>
      <c r="C1693" s="40">
        <v>8.92</v>
      </c>
      <c r="D1693" s="40">
        <v>7.87</v>
      </c>
      <c r="E1693" s="40">
        <v>7.98</v>
      </c>
      <c r="K1693" s="40"/>
      <c r="P1693" s="40"/>
      <c r="Q1693" s="40"/>
      <c r="R1693" s="40"/>
    </row>
    <row r="1694" spans="1:18" x14ac:dyDescent="0.2">
      <c r="A1694" s="40" t="s">
        <v>1774</v>
      </c>
      <c r="B1694" s="40">
        <v>9.23</v>
      </c>
      <c r="C1694" s="40">
        <v>10.43</v>
      </c>
      <c r="D1694" s="40">
        <v>8.61</v>
      </c>
      <c r="E1694" s="40">
        <v>9.2100000000000009</v>
      </c>
      <c r="K1694" s="40"/>
      <c r="P1694" s="40"/>
      <c r="Q1694" s="40"/>
      <c r="R1694" s="40"/>
    </row>
    <row r="1695" spans="1:18" x14ac:dyDescent="0.2">
      <c r="A1695" s="40" t="s">
        <v>1775</v>
      </c>
      <c r="B1695" s="40">
        <v>9.1199999999999992</v>
      </c>
      <c r="C1695" s="40">
        <v>9.99</v>
      </c>
      <c r="D1695" s="40">
        <v>8.7899999999999991</v>
      </c>
      <c r="E1695" s="40">
        <v>9.34</v>
      </c>
      <c r="K1695" s="40"/>
      <c r="P1695" s="40"/>
      <c r="Q1695" s="40"/>
      <c r="R1695" s="40"/>
    </row>
    <row r="1696" spans="1:18" x14ac:dyDescent="0.2">
      <c r="A1696" s="40" t="s">
        <v>1776</v>
      </c>
      <c r="B1696" s="40">
        <v>8.8800000000000008</v>
      </c>
      <c r="C1696" s="40">
        <v>9.5500000000000007</v>
      </c>
      <c r="D1696" s="40">
        <v>8.73</v>
      </c>
      <c r="E1696" s="40">
        <v>9.0299999999999994</v>
      </c>
      <c r="K1696" s="40"/>
      <c r="P1696" s="40"/>
      <c r="Q1696" s="40"/>
      <c r="R1696" s="40"/>
    </row>
    <row r="1697" spans="1:18" x14ac:dyDescent="0.2">
      <c r="A1697" s="40" t="s">
        <v>1777</v>
      </c>
      <c r="B1697" s="40">
        <v>9.27</v>
      </c>
      <c r="C1697" s="40">
        <v>9.3800000000000008</v>
      </c>
      <c r="D1697" s="40">
        <v>8.39</v>
      </c>
      <c r="E1697" s="40">
        <v>8.39</v>
      </c>
      <c r="K1697" s="40"/>
      <c r="P1697" s="40"/>
      <c r="Q1697" s="40"/>
      <c r="R1697" s="40"/>
    </row>
    <row r="1698" spans="1:18" x14ac:dyDescent="0.2">
      <c r="A1698" s="40" t="s">
        <v>1778</v>
      </c>
      <c r="B1698" s="40">
        <v>8.41</v>
      </c>
      <c r="C1698" s="40">
        <v>8.65</v>
      </c>
      <c r="D1698" s="40">
        <v>7.74</v>
      </c>
      <c r="E1698" s="40">
        <v>7.95</v>
      </c>
      <c r="K1698" s="40"/>
      <c r="P1698" s="40"/>
      <c r="Q1698" s="40"/>
      <c r="R1698" s="40"/>
    </row>
    <row r="1699" spans="1:18" x14ac:dyDescent="0.2">
      <c r="A1699" s="41">
        <v>42776</v>
      </c>
      <c r="B1699" s="40">
        <v>9.01</v>
      </c>
      <c r="C1699" s="40">
        <v>9.1300000000000008</v>
      </c>
      <c r="D1699" s="40">
        <v>8.1199999999999992</v>
      </c>
      <c r="E1699" s="40">
        <v>8.18</v>
      </c>
      <c r="K1699" s="40"/>
      <c r="P1699" s="40"/>
      <c r="Q1699" s="40"/>
      <c r="R1699" s="40"/>
    </row>
    <row r="1700" spans="1:18" x14ac:dyDescent="0.2">
      <c r="A1700" s="41">
        <v>42804</v>
      </c>
      <c r="B1700" s="40">
        <v>8.24</v>
      </c>
      <c r="C1700" s="40">
        <v>8.4499999999999993</v>
      </c>
      <c r="D1700" s="40">
        <v>7.84</v>
      </c>
      <c r="E1700" s="40">
        <v>8.0399999999999991</v>
      </c>
      <c r="K1700" s="40"/>
      <c r="P1700" s="40"/>
      <c r="Q1700" s="40"/>
      <c r="R1700" s="40"/>
    </row>
    <row r="1701" spans="1:18" x14ac:dyDescent="0.2">
      <c r="A1701" s="41">
        <v>42835</v>
      </c>
      <c r="B1701" s="40">
        <v>8.41</v>
      </c>
      <c r="C1701" s="40">
        <v>8.59</v>
      </c>
      <c r="D1701" s="40">
        <v>7.99</v>
      </c>
      <c r="E1701" s="40">
        <v>8.02</v>
      </c>
      <c r="K1701" s="40"/>
      <c r="P1701" s="40"/>
      <c r="Q1701" s="40"/>
      <c r="R1701" s="40"/>
    </row>
    <row r="1702" spans="1:18" x14ac:dyDescent="0.2">
      <c r="A1702" s="41">
        <v>42865</v>
      </c>
      <c r="B1702" s="40">
        <v>8.14</v>
      </c>
      <c r="C1702" s="40">
        <v>8.19</v>
      </c>
      <c r="D1702" s="40">
        <v>7.61</v>
      </c>
      <c r="E1702" s="40">
        <v>7.81</v>
      </c>
      <c r="K1702" s="40"/>
      <c r="P1702" s="40"/>
      <c r="Q1702" s="40"/>
      <c r="R1702" s="40"/>
    </row>
    <row r="1703" spans="1:18" x14ac:dyDescent="0.2">
      <c r="A1703" s="41">
        <v>42896</v>
      </c>
      <c r="B1703" s="40">
        <v>7.97</v>
      </c>
      <c r="C1703" s="40">
        <v>8.7200000000000006</v>
      </c>
      <c r="D1703" s="40">
        <v>7.59</v>
      </c>
      <c r="E1703" s="40">
        <v>7.88</v>
      </c>
      <c r="K1703" s="40"/>
      <c r="P1703" s="40"/>
      <c r="Q1703" s="40"/>
      <c r="R1703" s="40"/>
    </row>
    <row r="1704" spans="1:18" x14ac:dyDescent="0.2">
      <c r="A1704" s="41">
        <v>42988</v>
      </c>
      <c r="B1704" s="40">
        <v>8.99</v>
      </c>
      <c r="C1704" s="40">
        <v>9.3800000000000008</v>
      </c>
      <c r="D1704" s="40">
        <v>8.49</v>
      </c>
      <c r="E1704" s="40">
        <v>9.34</v>
      </c>
      <c r="K1704" s="40"/>
      <c r="P1704" s="40"/>
      <c r="Q1704" s="40"/>
      <c r="R1704" s="40"/>
    </row>
    <row r="1705" spans="1:18" x14ac:dyDescent="0.2">
      <c r="A1705" s="41">
        <v>43018</v>
      </c>
      <c r="B1705" s="40">
        <v>9.17</v>
      </c>
      <c r="C1705" s="40">
        <v>9.5399999999999991</v>
      </c>
      <c r="D1705" s="40">
        <v>8.7200000000000006</v>
      </c>
      <c r="E1705" s="40">
        <v>8.7200000000000006</v>
      </c>
      <c r="K1705" s="40"/>
      <c r="P1705" s="40"/>
      <c r="Q1705" s="40"/>
      <c r="R1705" s="40"/>
    </row>
    <row r="1706" spans="1:18" x14ac:dyDescent="0.2">
      <c r="A1706" s="41">
        <v>43049</v>
      </c>
      <c r="B1706" s="40">
        <v>8.66</v>
      </c>
      <c r="C1706" s="40">
        <v>8.75</v>
      </c>
      <c r="D1706" s="40">
        <v>8.09</v>
      </c>
      <c r="E1706" s="40">
        <v>8.32</v>
      </c>
      <c r="K1706" s="40"/>
      <c r="P1706" s="40"/>
      <c r="Q1706" s="40"/>
      <c r="R1706" s="40"/>
    </row>
    <row r="1707" spans="1:18" x14ac:dyDescent="0.2">
      <c r="A1707" s="41">
        <v>43079</v>
      </c>
      <c r="B1707" s="40">
        <v>8.73</v>
      </c>
      <c r="C1707" s="40">
        <v>8.92</v>
      </c>
      <c r="D1707" s="40">
        <v>8.18</v>
      </c>
      <c r="E1707" s="40">
        <v>8.34</v>
      </c>
      <c r="K1707" s="40"/>
      <c r="P1707" s="40"/>
      <c r="Q1707" s="40"/>
      <c r="R1707" s="40"/>
    </row>
    <row r="1708" spans="1:18" x14ac:dyDescent="0.2">
      <c r="A1708" s="40" t="s">
        <v>1779</v>
      </c>
      <c r="B1708" s="40">
        <v>8.24</v>
      </c>
      <c r="C1708" s="40">
        <v>8.2799999999999994</v>
      </c>
      <c r="D1708" s="40">
        <v>7.76</v>
      </c>
      <c r="E1708" s="40">
        <v>8.0299999999999994</v>
      </c>
      <c r="K1708" s="40"/>
      <c r="P1708" s="40"/>
      <c r="Q1708" s="40"/>
      <c r="R1708" s="40"/>
    </row>
    <row r="1709" spans="1:18" x14ac:dyDescent="0.2">
      <c r="A1709" s="40" t="s">
        <v>1780</v>
      </c>
      <c r="B1709" s="40">
        <v>8.61</v>
      </c>
      <c r="C1709" s="40">
        <v>8.7200000000000006</v>
      </c>
      <c r="D1709" s="40">
        <v>8.3699999999999992</v>
      </c>
      <c r="E1709" s="40">
        <v>8.4600000000000009</v>
      </c>
      <c r="K1709" s="40"/>
      <c r="P1709" s="40"/>
      <c r="Q1709" s="40"/>
      <c r="R1709" s="40"/>
    </row>
    <row r="1710" spans="1:18" x14ac:dyDescent="0.2">
      <c r="A1710" s="40" t="s">
        <v>1781</v>
      </c>
      <c r="B1710" s="40">
        <v>8.52</v>
      </c>
      <c r="C1710" s="40">
        <v>8.8000000000000007</v>
      </c>
      <c r="D1710" s="40">
        <v>8.36</v>
      </c>
      <c r="E1710" s="40">
        <v>8.69</v>
      </c>
      <c r="K1710" s="40"/>
      <c r="P1710" s="40"/>
      <c r="Q1710" s="40"/>
      <c r="R1710" s="40"/>
    </row>
    <row r="1711" spans="1:18" x14ac:dyDescent="0.2">
      <c r="A1711" s="40" t="s">
        <v>1782</v>
      </c>
      <c r="B1711" s="40">
        <v>8.58</v>
      </c>
      <c r="C1711" s="40">
        <v>8.61</v>
      </c>
      <c r="D1711" s="40">
        <v>8</v>
      </c>
      <c r="E1711" s="40">
        <v>8.3699999999999992</v>
      </c>
      <c r="K1711" s="40"/>
      <c r="P1711" s="40"/>
      <c r="Q1711" s="40"/>
      <c r="R1711" s="40"/>
    </row>
    <row r="1712" spans="1:18" x14ac:dyDescent="0.2">
      <c r="A1712" s="40" t="s">
        <v>1783</v>
      </c>
      <c r="B1712" s="40">
        <v>10</v>
      </c>
      <c r="C1712" s="40">
        <v>10.41</v>
      </c>
      <c r="D1712" s="40">
        <v>8.58</v>
      </c>
      <c r="E1712" s="40">
        <v>8.8800000000000008</v>
      </c>
      <c r="K1712" s="40"/>
      <c r="P1712" s="40"/>
      <c r="Q1712" s="40"/>
      <c r="R1712" s="40"/>
    </row>
    <row r="1713" spans="1:18" x14ac:dyDescent="0.2">
      <c r="A1713" s="40" t="s">
        <v>1784</v>
      </c>
      <c r="B1713" s="40">
        <v>8.81</v>
      </c>
      <c r="C1713" s="40">
        <v>8.84</v>
      </c>
      <c r="D1713" s="40">
        <v>8.0299999999999994</v>
      </c>
      <c r="E1713" s="40">
        <v>8.41</v>
      </c>
      <c r="K1713" s="40"/>
      <c r="P1713" s="40"/>
      <c r="Q1713" s="40"/>
      <c r="R1713" s="40"/>
    </row>
    <row r="1714" spans="1:18" x14ac:dyDescent="0.2">
      <c r="A1714" s="40" t="s">
        <v>1785</v>
      </c>
      <c r="B1714" s="40">
        <v>9.32</v>
      </c>
      <c r="C1714" s="40">
        <v>10.77</v>
      </c>
      <c r="D1714" s="40">
        <v>8.84</v>
      </c>
      <c r="E1714" s="40">
        <v>10.77</v>
      </c>
      <c r="K1714" s="40"/>
      <c r="P1714" s="40"/>
      <c r="Q1714" s="40"/>
      <c r="R1714" s="40"/>
    </row>
    <row r="1715" spans="1:18" x14ac:dyDescent="0.2">
      <c r="A1715" s="40" t="s">
        <v>1786</v>
      </c>
      <c r="B1715" s="40">
        <v>10.01</v>
      </c>
      <c r="C1715" s="40">
        <v>10.62</v>
      </c>
      <c r="D1715" s="40">
        <v>9.77</v>
      </c>
      <c r="E1715" s="40">
        <v>10.48</v>
      </c>
      <c r="K1715" s="40"/>
      <c r="P1715" s="40"/>
      <c r="Q1715" s="40"/>
      <c r="R1715" s="40"/>
    </row>
    <row r="1716" spans="1:18" x14ac:dyDescent="0.2">
      <c r="A1716" s="40" t="s">
        <v>1787</v>
      </c>
      <c r="B1716" s="40">
        <v>10.72</v>
      </c>
      <c r="C1716" s="40">
        <v>13.64</v>
      </c>
      <c r="D1716" s="40">
        <v>10.43</v>
      </c>
      <c r="E1716" s="40">
        <v>11.09</v>
      </c>
      <c r="K1716" s="40"/>
      <c r="P1716" s="40"/>
      <c r="Q1716" s="40"/>
      <c r="R1716" s="40"/>
    </row>
    <row r="1717" spans="1:18" x14ac:dyDescent="0.2">
      <c r="A1717" s="40" t="s">
        <v>1788</v>
      </c>
      <c r="B1717" s="40">
        <v>10.56</v>
      </c>
      <c r="C1717" s="40">
        <v>11.35</v>
      </c>
      <c r="D1717" s="40">
        <v>10.23</v>
      </c>
      <c r="E1717" s="40">
        <v>10.69</v>
      </c>
      <c r="K1717" s="40"/>
      <c r="P1717" s="40"/>
      <c r="Q1717" s="40"/>
      <c r="R1717" s="40"/>
    </row>
    <row r="1718" spans="1:18" x14ac:dyDescent="0.2">
      <c r="A1718" s="40" t="s">
        <v>1789</v>
      </c>
      <c r="B1718" s="40">
        <v>10.08</v>
      </c>
      <c r="C1718" s="40">
        <v>10.25</v>
      </c>
      <c r="D1718" s="40">
        <v>8.58</v>
      </c>
      <c r="E1718" s="40">
        <v>8.61</v>
      </c>
      <c r="K1718" s="40"/>
      <c r="P1718" s="40"/>
      <c r="Q1718" s="40"/>
      <c r="R1718" s="40"/>
    </row>
    <row r="1719" spans="1:18" x14ac:dyDescent="0.2">
      <c r="A1719" s="40" t="s">
        <v>1790</v>
      </c>
      <c r="B1719" s="40">
        <v>9.91</v>
      </c>
      <c r="C1719" s="40">
        <v>10.23</v>
      </c>
      <c r="D1719" s="40">
        <v>9.1</v>
      </c>
      <c r="E1719" s="40">
        <v>9.81</v>
      </c>
      <c r="K1719" s="40"/>
      <c r="P1719" s="40"/>
      <c r="Q1719" s="40"/>
      <c r="R1719" s="40"/>
    </row>
    <row r="1720" spans="1:18" x14ac:dyDescent="0.2">
      <c r="A1720" s="40" t="s">
        <v>1791</v>
      </c>
      <c r="B1720" s="40">
        <v>9.2799999999999994</v>
      </c>
      <c r="C1720" s="40">
        <v>9.57</v>
      </c>
      <c r="D1720" s="40">
        <v>9.08</v>
      </c>
      <c r="E1720" s="40">
        <v>9.32</v>
      </c>
      <c r="K1720" s="40"/>
      <c r="P1720" s="40"/>
      <c r="Q1720" s="40"/>
      <c r="R1720" s="40"/>
    </row>
    <row r="1721" spans="1:18" x14ac:dyDescent="0.2">
      <c r="A1721" s="41">
        <v>42746</v>
      </c>
      <c r="B1721" s="40">
        <v>8.92</v>
      </c>
      <c r="C1721" s="40">
        <v>9.66</v>
      </c>
      <c r="D1721" s="40">
        <v>6.69</v>
      </c>
      <c r="E1721" s="40">
        <v>9.2899999999999991</v>
      </c>
      <c r="K1721" s="40"/>
      <c r="P1721" s="40"/>
      <c r="Q1721" s="40"/>
      <c r="R1721" s="40"/>
    </row>
    <row r="1722" spans="1:18" x14ac:dyDescent="0.2">
      <c r="A1722" s="41">
        <v>42777</v>
      </c>
      <c r="B1722" s="40">
        <v>9.35</v>
      </c>
      <c r="C1722" s="40">
        <v>10.44</v>
      </c>
      <c r="D1722" s="40">
        <v>8.3000000000000007</v>
      </c>
      <c r="E1722" s="40">
        <v>8.5399999999999991</v>
      </c>
      <c r="K1722" s="40"/>
      <c r="P1722" s="40"/>
      <c r="Q1722" s="40"/>
      <c r="R1722" s="40"/>
    </row>
    <row r="1723" spans="1:18" x14ac:dyDescent="0.2">
      <c r="A1723" s="41">
        <v>42805</v>
      </c>
      <c r="B1723" s="40">
        <v>8.26</v>
      </c>
      <c r="C1723" s="40">
        <v>8.51</v>
      </c>
      <c r="D1723" s="40">
        <v>7.63</v>
      </c>
      <c r="E1723" s="40">
        <v>7.84</v>
      </c>
      <c r="K1723" s="40"/>
      <c r="P1723" s="40"/>
      <c r="Q1723" s="40"/>
      <c r="R1723" s="40"/>
    </row>
    <row r="1724" spans="1:18" x14ac:dyDescent="0.2">
      <c r="A1724" s="41">
        <v>42897</v>
      </c>
      <c r="B1724" s="40">
        <v>8.83</v>
      </c>
      <c r="C1724" s="40">
        <v>8.83</v>
      </c>
      <c r="D1724" s="40">
        <v>8.01</v>
      </c>
      <c r="E1724" s="40">
        <v>8.09</v>
      </c>
      <c r="K1724" s="40"/>
      <c r="P1724" s="40"/>
      <c r="Q1724" s="40"/>
      <c r="R1724" s="40"/>
    </row>
    <row r="1725" spans="1:18" x14ac:dyDescent="0.2">
      <c r="A1725" s="41">
        <v>42927</v>
      </c>
      <c r="B1725" s="40">
        <v>8.1300000000000008</v>
      </c>
      <c r="C1725" s="40">
        <v>9.3800000000000008</v>
      </c>
      <c r="D1725" s="40">
        <v>8.0500000000000007</v>
      </c>
      <c r="E1725" s="40">
        <v>8.83</v>
      </c>
      <c r="K1725" s="40"/>
      <c r="P1725" s="40"/>
      <c r="Q1725" s="40"/>
      <c r="R1725" s="40"/>
    </row>
    <row r="1726" spans="1:18" x14ac:dyDescent="0.2">
      <c r="A1726" s="41">
        <v>42958</v>
      </c>
      <c r="B1726" s="40">
        <v>9.01</v>
      </c>
      <c r="C1726" s="40">
        <v>9.27</v>
      </c>
      <c r="D1726" s="40">
        <v>7.91</v>
      </c>
      <c r="E1726" s="40">
        <v>8.2799999999999994</v>
      </c>
      <c r="K1726" s="40"/>
      <c r="P1726" s="40"/>
      <c r="Q1726" s="40"/>
      <c r="R1726" s="40"/>
    </row>
    <row r="1727" spans="1:18" x14ac:dyDescent="0.2">
      <c r="A1727" s="41">
        <v>42989</v>
      </c>
      <c r="B1727" s="40">
        <v>9.84</v>
      </c>
      <c r="C1727" s="40">
        <v>12.97</v>
      </c>
      <c r="D1727" s="40">
        <v>9</v>
      </c>
      <c r="E1727" s="40">
        <v>9.65</v>
      </c>
      <c r="K1727" s="40"/>
      <c r="P1727" s="40"/>
      <c r="Q1727" s="40"/>
      <c r="R1727" s="40"/>
    </row>
    <row r="1728" spans="1:18" x14ac:dyDescent="0.2">
      <c r="A1728" s="41">
        <v>43019</v>
      </c>
      <c r="B1728" s="40">
        <v>10.31</v>
      </c>
      <c r="C1728" s="40">
        <v>11.12</v>
      </c>
      <c r="D1728" s="40">
        <v>9.59</v>
      </c>
      <c r="E1728" s="40">
        <v>10.31</v>
      </c>
      <c r="K1728" s="40"/>
      <c r="P1728" s="40"/>
      <c r="Q1728" s="40"/>
      <c r="R1728" s="40"/>
    </row>
    <row r="1729" spans="1:18" x14ac:dyDescent="0.2">
      <c r="A1729" s="40" t="s">
        <v>1792</v>
      </c>
      <c r="B1729" s="40">
        <v>11.2</v>
      </c>
      <c r="C1729" s="40">
        <v>11.29</v>
      </c>
      <c r="D1729" s="40">
        <v>9.25</v>
      </c>
      <c r="E1729" s="40">
        <v>9.84</v>
      </c>
      <c r="K1729" s="40"/>
      <c r="P1729" s="40"/>
      <c r="Q1729" s="40"/>
      <c r="R1729" s="40"/>
    </row>
    <row r="1730" spans="1:18" x14ac:dyDescent="0.2">
      <c r="A1730" s="40" t="s">
        <v>1793</v>
      </c>
      <c r="B1730" s="40">
        <v>10.64</v>
      </c>
      <c r="C1730" s="40">
        <v>11.92</v>
      </c>
      <c r="D1730" s="40">
        <v>9.6999999999999993</v>
      </c>
      <c r="E1730" s="40">
        <v>9.73</v>
      </c>
      <c r="K1730" s="40"/>
      <c r="P1730" s="40"/>
      <c r="Q1730" s="40"/>
      <c r="R1730" s="40"/>
    </row>
    <row r="1731" spans="1:18" x14ac:dyDescent="0.2">
      <c r="A1731" s="40" t="s">
        <v>1794</v>
      </c>
      <c r="B1731" s="40">
        <v>12.44</v>
      </c>
      <c r="C1731" s="40">
        <v>13.66</v>
      </c>
      <c r="D1731" s="40">
        <v>10.41</v>
      </c>
      <c r="E1731" s="40">
        <v>11.73</v>
      </c>
      <c r="K1731" s="40"/>
      <c r="P1731" s="40"/>
      <c r="Q1731" s="40"/>
      <c r="R1731" s="40"/>
    </row>
    <row r="1732" spans="1:18" x14ac:dyDescent="0.2">
      <c r="A1732" s="40" t="s">
        <v>1795</v>
      </c>
      <c r="B1732" s="40">
        <v>10.18</v>
      </c>
      <c r="C1732" s="40">
        <v>10.18</v>
      </c>
      <c r="D1732" s="40">
        <v>8.2100000000000009</v>
      </c>
      <c r="E1732" s="40">
        <v>8.74</v>
      </c>
      <c r="K1732" s="40"/>
      <c r="P1732" s="40"/>
      <c r="Q1732" s="40"/>
      <c r="R1732" s="40"/>
    </row>
    <row r="1733" spans="1:18" x14ac:dyDescent="0.2">
      <c r="A1733" s="40" t="s">
        <v>1796</v>
      </c>
      <c r="B1733" s="40">
        <v>8.58</v>
      </c>
      <c r="C1733" s="40">
        <v>8.73</v>
      </c>
      <c r="D1733" s="40">
        <v>7.94</v>
      </c>
      <c r="E1733" s="40">
        <v>8.49</v>
      </c>
      <c r="K1733" s="40"/>
      <c r="P1733" s="40"/>
      <c r="Q1733" s="40"/>
      <c r="R1733" s="40"/>
    </row>
    <row r="1734" spans="1:18" x14ac:dyDescent="0.2">
      <c r="A1734" s="40" t="s">
        <v>1797</v>
      </c>
      <c r="B1734" s="40">
        <v>9.3800000000000008</v>
      </c>
      <c r="C1734" s="40">
        <v>9.43</v>
      </c>
      <c r="D1734" s="40">
        <v>8.31</v>
      </c>
      <c r="E1734" s="40">
        <v>8.6</v>
      </c>
      <c r="K1734" s="40"/>
      <c r="P1734" s="40"/>
      <c r="Q1734" s="40"/>
      <c r="R1734" s="40"/>
    </row>
    <row r="1735" spans="1:18" x14ac:dyDescent="0.2">
      <c r="A1735" s="40" t="s">
        <v>1798</v>
      </c>
      <c r="B1735" s="40">
        <v>8.3699999999999992</v>
      </c>
      <c r="C1735" s="40">
        <v>8.3699999999999992</v>
      </c>
      <c r="D1735" s="40">
        <v>7.61</v>
      </c>
      <c r="E1735" s="40">
        <v>7.97</v>
      </c>
      <c r="K1735" s="40"/>
      <c r="P1735" s="40"/>
      <c r="Q1735" s="40"/>
      <c r="R1735" s="40"/>
    </row>
    <row r="1736" spans="1:18" x14ac:dyDescent="0.2">
      <c r="A1736" s="40" t="s">
        <v>1799</v>
      </c>
      <c r="B1736" s="40">
        <v>7.91</v>
      </c>
      <c r="C1736" s="40">
        <v>7.99</v>
      </c>
      <c r="D1736" s="40">
        <v>7.62</v>
      </c>
      <c r="E1736" s="40">
        <v>7.87</v>
      </c>
      <c r="K1736" s="40"/>
      <c r="P1736" s="40"/>
      <c r="Q1736" s="40"/>
      <c r="R1736" s="40"/>
    </row>
    <row r="1737" spans="1:18" x14ac:dyDescent="0.2">
      <c r="A1737" s="40" t="s">
        <v>1800</v>
      </c>
      <c r="B1737" s="40">
        <v>8.3699999999999992</v>
      </c>
      <c r="C1737" s="40">
        <v>8.41</v>
      </c>
      <c r="D1737" s="40">
        <v>7.67</v>
      </c>
      <c r="E1737" s="40">
        <v>7.87</v>
      </c>
      <c r="K1737" s="40"/>
      <c r="P1737" s="40"/>
      <c r="Q1737" s="40"/>
      <c r="R1737" s="40"/>
    </row>
    <row r="1738" spans="1:18" x14ac:dyDescent="0.2">
      <c r="A1738" s="40" t="s">
        <v>1801</v>
      </c>
      <c r="B1738" s="40">
        <v>9.1999999999999993</v>
      </c>
      <c r="C1738" s="40">
        <v>9.25</v>
      </c>
      <c r="D1738" s="40">
        <v>8.69</v>
      </c>
      <c r="E1738" s="40">
        <v>9</v>
      </c>
      <c r="K1738" s="40"/>
      <c r="P1738" s="40"/>
      <c r="Q1738" s="40"/>
      <c r="R1738" s="40"/>
    </row>
    <row r="1739" spans="1:18" x14ac:dyDescent="0.2">
      <c r="A1739" s="40" t="s">
        <v>1802</v>
      </c>
      <c r="B1739" s="40">
        <v>8.9499999999999993</v>
      </c>
      <c r="C1739" s="40">
        <v>9.68</v>
      </c>
      <c r="D1739" s="40">
        <v>8.67</v>
      </c>
      <c r="E1739" s="40">
        <v>9.18</v>
      </c>
      <c r="K1739" s="40"/>
      <c r="P1739" s="40"/>
      <c r="Q1739" s="40"/>
      <c r="R1739" s="40"/>
    </row>
    <row r="1740" spans="1:18" x14ac:dyDescent="0.2">
      <c r="A1740" s="40" t="s">
        <v>1803</v>
      </c>
      <c r="B1740" s="40">
        <v>9.24</v>
      </c>
      <c r="C1740" s="40">
        <v>10.64</v>
      </c>
      <c r="D1740" s="40">
        <v>9.24</v>
      </c>
      <c r="E1740" s="40">
        <v>10.16</v>
      </c>
      <c r="K1740" s="40"/>
      <c r="P1740" s="40"/>
      <c r="Q1740" s="40"/>
      <c r="R1740" s="40"/>
    </row>
    <row r="1741" spans="1:18" x14ac:dyDescent="0.2">
      <c r="A1741" s="40" t="s">
        <v>1804</v>
      </c>
      <c r="B1741" s="40">
        <v>10.42</v>
      </c>
      <c r="C1741" s="40">
        <v>13.07</v>
      </c>
      <c r="D1741" s="40">
        <v>10.16</v>
      </c>
      <c r="E1741" s="40">
        <v>11.38</v>
      </c>
      <c r="K1741" s="40"/>
      <c r="P1741" s="40"/>
      <c r="Q1741" s="40"/>
      <c r="R1741" s="40"/>
    </row>
    <row r="1742" spans="1:18" x14ac:dyDescent="0.2">
      <c r="A1742" s="41">
        <v>42747</v>
      </c>
      <c r="B1742" s="40">
        <v>11.85</v>
      </c>
      <c r="C1742" s="40">
        <v>17.68</v>
      </c>
      <c r="D1742" s="40">
        <v>11.21</v>
      </c>
      <c r="E1742" s="40">
        <v>11.98</v>
      </c>
      <c r="K1742" s="40"/>
      <c r="P1742" s="40"/>
      <c r="Q1742" s="40"/>
      <c r="R1742" s="40"/>
    </row>
    <row r="1743" spans="1:18" x14ac:dyDescent="0.2">
      <c r="A1743" s="41">
        <v>42837</v>
      </c>
      <c r="B1743" s="40">
        <v>11.91</v>
      </c>
      <c r="C1743" s="40">
        <v>12.67</v>
      </c>
      <c r="D1743" s="40">
        <v>10.210000000000001</v>
      </c>
      <c r="E1743" s="40">
        <v>12.21</v>
      </c>
      <c r="K1743" s="40"/>
      <c r="P1743" s="40"/>
      <c r="Q1743" s="40"/>
      <c r="R1743" s="40"/>
    </row>
    <row r="1744" spans="1:18" x14ac:dyDescent="0.2">
      <c r="A1744" s="41">
        <v>42867</v>
      </c>
      <c r="B1744" s="40">
        <v>12.01</v>
      </c>
      <c r="C1744" s="40">
        <v>12.01</v>
      </c>
      <c r="D1744" s="40">
        <v>10.28</v>
      </c>
      <c r="E1744" s="40">
        <v>11.11</v>
      </c>
      <c r="K1744" s="40"/>
      <c r="P1744" s="40"/>
      <c r="Q1744" s="40"/>
      <c r="R1744" s="40"/>
    </row>
    <row r="1745" spans="1:18" x14ac:dyDescent="0.2">
      <c r="A1745" s="41">
        <v>42898</v>
      </c>
      <c r="B1745" s="40">
        <v>11.5</v>
      </c>
      <c r="C1745" s="40">
        <v>11.64</v>
      </c>
      <c r="D1745" s="40">
        <v>10.74</v>
      </c>
      <c r="E1745" s="40">
        <v>10.9</v>
      </c>
      <c r="K1745" s="40"/>
      <c r="P1745" s="40"/>
      <c r="Q1745" s="40"/>
      <c r="R1745" s="40"/>
    </row>
    <row r="1746" spans="1:18" x14ac:dyDescent="0.2">
      <c r="A1746" s="41">
        <v>42928</v>
      </c>
      <c r="B1746" s="40">
        <v>11.16</v>
      </c>
      <c r="C1746" s="40">
        <v>11.32</v>
      </c>
      <c r="D1746" s="40">
        <v>9.42</v>
      </c>
      <c r="E1746" s="40">
        <v>9.51</v>
      </c>
      <c r="K1746" s="40"/>
      <c r="P1746" s="40"/>
      <c r="Q1746" s="40"/>
      <c r="R1746" s="40"/>
    </row>
    <row r="1747" spans="1:18" x14ac:dyDescent="0.2">
      <c r="A1747" s="41">
        <v>42959</v>
      </c>
      <c r="B1747" s="40">
        <v>9.6</v>
      </c>
      <c r="C1747" s="40">
        <v>9.6</v>
      </c>
      <c r="D1747" s="40">
        <v>8.41</v>
      </c>
      <c r="E1747" s="40">
        <v>8.44</v>
      </c>
      <c r="K1747" s="40"/>
      <c r="P1747" s="40"/>
      <c r="Q1747" s="40"/>
      <c r="R1747" s="40"/>
    </row>
    <row r="1748" spans="1:18" x14ac:dyDescent="0.2">
      <c r="A1748" s="41">
        <v>43051</v>
      </c>
      <c r="B1748" s="40">
        <v>9.35</v>
      </c>
      <c r="C1748" s="40">
        <v>9.3699999999999992</v>
      </c>
      <c r="D1748" s="40">
        <v>8.67</v>
      </c>
      <c r="E1748" s="40">
        <v>8.7899999999999991</v>
      </c>
      <c r="K1748" s="40"/>
      <c r="P1748" s="40"/>
      <c r="Q1748" s="40"/>
      <c r="R1748" s="40"/>
    </row>
    <row r="1749" spans="1:18" x14ac:dyDescent="0.2">
      <c r="A1749" s="41">
        <v>43081</v>
      </c>
      <c r="B1749" s="40">
        <v>9.07</v>
      </c>
      <c r="C1749" s="40">
        <v>9.36</v>
      </c>
      <c r="D1749" s="40">
        <v>8.8699999999999992</v>
      </c>
      <c r="E1749" s="40">
        <v>9.24</v>
      </c>
      <c r="K1749" s="40"/>
      <c r="P1749" s="40"/>
      <c r="Q1749" s="40"/>
      <c r="R1749" s="40"/>
    </row>
    <row r="1750" spans="1:18" x14ac:dyDescent="0.2">
      <c r="A1750" s="40" t="s">
        <v>1805</v>
      </c>
      <c r="B1750" s="40">
        <v>9.43</v>
      </c>
      <c r="C1750" s="40">
        <v>9.43</v>
      </c>
      <c r="D1750" s="40">
        <v>7.65</v>
      </c>
      <c r="E1750" s="40">
        <v>9.35</v>
      </c>
      <c r="K1750" s="40"/>
      <c r="P1750" s="40"/>
      <c r="Q1750" s="40"/>
      <c r="R1750" s="40"/>
    </row>
    <row r="1751" spans="1:18" x14ac:dyDescent="0.2">
      <c r="A1751" s="40" t="s">
        <v>1806</v>
      </c>
      <c r="B1751" s="40">
        <v>9.25</v>
      </c>
      <c r="C1751" s="40">
        <v>9.89</v>
      </c>
      <c r="D1751" s="40">
        <v>8.51</v>
      </c>
      <c r="E1751" s="40">
        <v>9.8699999999999992</v>
      </c>
      <c r="K1751" s="40"/>
      <c r="P1751" s="40"/>
      <c r="Q1751" s="40"/>
      <c r="R1751" s="40"/>
    </row>
    <row r="1752" spans="1:18" x14ac:dyDescent="0.2">
      <c r="A1752" s="40" t="s">
        <v>1807</v>
      </c>
      <c r="B1752" s="40">
        <v>8.8699999999999992</v>
      </c>
      <c r="C1752" s="40">
        <v>8.89</v>
      </c>
      <c r="D1752" s="40">
        <v>8.14</v>
      </c>
      <c r="E1752" s="40">
        <v>8.25</v>
      </c>
      <c r="K1752" s="40"/>
      <c r="P1752" s="40"/>
      <c r="Q1752" s="40"/>
      <c r="R1752" s="40"/>
    </row>
    <row r="1753" spans="1:18" x14ac:dyDescent="0.2">
      <c r="A1753" s="40" t="s">
        <v>1808</v>
      </c>
      <c r="B1753" s="40">
        <v>8.81</v>
      </c>
      <c r="C1753" s="40">
        <v>9</v>
      </c>
      <c r="D1753" s="40">
        <v>7.52</v>
      </c>
      <c r="E1753" s="40">
        <v>8.0500000000000007</v>
      </c>
      <c r="K1753" s="40"/>
      <c r="P1753" s="40"/>
      <c r="Q1753" s="40"/>
      <c r="R1753" s="40"/>
    </row>
    <row r="1754" spans="1:18" x14ac:dyDescent="0.2">
      <c r="A1754" s="40" t="s">
        <v>1809</v>
      </c>
      <c r="B1754" s="40">
        <v>8.1</v>
      </c>
      <c r="C1754" s="40">
        <v>9.0299999999999994</v>
      </c>
      <c r="D1754" s="40">
        <v>8.07</v>
      </c>
      <c r="E1754" s="40">
        <v>9.0299999999999994</v>
      </c>
      <c r="K1754" s="40"/>
      <c r="P1754" s="40"/>
      <c r="Q1754" s="40"/>
      <c r="R1754" s="40"/>
    </row>
    <row r="1755" spans="1:18" x14ac:dyDescent="0.2">
      <c r="A1755" s="40" t="s">
        <v>1810</v>
      </c>
      <c r="B1755" s="40">
        <v>7.98</v>
      </c>
      <c r="C1755" s="40">
        <v>8.74</v>
      </c>
      <c r="D1755" s="40">
        <v>7.85</v>
      </c>
      <c r="E1755" s="40">
        <v>8.34</v>
      </c>
      <c r="K1755" s="40"/>
      <c r="P1755" s="40"/>
      <c r="Q1755" s="40"/>
      <c r="R1755" s="40"/>
    </row>
    <row r="1756" spans="1:18" x14ac:dyDescent="0.2">
      <c r="A1756" s="40" t="s">
        <v>1811</v>
      </c>
      <c r="B1756" s="40">
        <v>8.0500000000000007</v>
      </c>
      <c r="C1756" s="40">
        <v>8.2100000000000009</v>
      </c>
      <c r="D1756" s="40">
        <v>7.58</v>
      </c>
      <c r="E1756" s="40">
        <v>7.63</v>
      </c>
      <c r="K1756" s="40"/>
      <c r="P1756" s="40"/>
      <c r="Q1756" s="40"/>
      <c r="R1756" s="40"/>
    </row>
    <row r="1757" spans="1:18" x14ac:dyDescent="0.2">
      <c r="A1757" s="40" t="s">
        <v>1812</v>
      </c>
      <c r="B1757" s="40">
        <v>7.61</v>
      </c>
      <c r="C1757" s="40">
        <v>7.94</v>
      </c>
      <c r="D1757" s="40">
        <v>7.15</v>
      </c>
      <c r="E1757" s="40">
        <v>7.51</v>
      </c>
      <c r="K1757" s="40"/>
      <c r="P1757" s="40"/>
      <c r="Q1757" s="40"/>
      <c r="R1757" s="40"/>
    </row>
    <row r="1758" spans="1:18" x14ac:dyDescent="0.2">
      <c r="A1758" s="40" t="s">
        <v>1813</v>
      </c>
      <c r="B1758" s="40">
        <v>8.92</v>
      </c>
      <c r="C1758" s="40">
        <v>8.93</v>
      </c>
      <c r="D1758" s="40">
        <v>8.3000000000000007</v>
      </c>
      <c r="E1758" s="40">
        <v>8.48</v>
      </c>
      <c r="K1758" s="40"/>
      <c r="P1758" s="40"/>
      <c r="Q1758" s="40"/>
      <c r="R1758" s="40"/>
    </row>
    <row r="1759" spans="1:18" x14ac:dyDescent="0.2">
      <c r="A1759" s="40" t="s">
        <v>1814</v>
      </c>
      <c r="B1759" s="40">
        <v>8.4600000000000009</v>
      </c>
      <c r="C1759" s="40">
        <v>10.27</v>
      </c>
      <c r="D1759" s="40">
        <v>7.64</v>
      </c>
      <c r="E1759" s="40">
        <v>9.7100000000000009</v>
      </c>
      <c r="K1759" s="40"/>
      <c r="P1759" s="40"/>
      <c r="Q1759" s="40"/>
      <c r="R1759" s="40"/>
    </row>
    <row r="1760" spans="1:18" x14ac:dyDescent="0.2">
      <c r="A1760" s="40" t="s">
        <v>1815</v>
      </c>
      <c r="B1760" s="40">
        <v>9.32</v>
      </c>
      <c r="C1760" s="40">
        <v>9.43</v>
      </c>
      <c r="D1760" s="40">
        <v>8.91</v>
      </c>
      <c r="E1760" s="40">
        <v>9.27</v>
      </c>
      <c r="K1760" s="40"/>
      <c r="P1760" s="40"/>
      <c r="Q1760" s="40"/>
      <c r="R1760" s="40"/>
    </row>
    <row r="1761" spans="1:18" x14ac:dyDescent="0.2">
      <c r="A1761" s="40" t="s">
        <v>1816</v>
      </c>
      <c r="B1761" s="40">
        <v>9.1300000000000008</v>
      </c>
      <c r="C1761" s="40">
        <v>10.42</v>
      </c>
      <c r="D1761" s="40">
        <v>8.94</v>
      </c>
      <c r="E1761" s="40">
        <v>10.42</v>
      </c>
      <c r="K1761" s="40"/>
      <c r="P1761" s="40"/>
      <c r="Q1761" s="40"/>
      <c r="R1761" s="40"/>
    </row>
    <row r="1762" spans="1:18" x14ac:dyDescent="0.2">
      <c r="A1762" s="41">
        <v>43132</v>
      </c>
      <c r="B1762" s="40">
        <v>10.38</v>
      </c>
      <c r="C1762" s="40">
        <v>10.52</v>
      </c>
      <c r="D1762" s="40">
        <v>8.2100000000000009</v>
      </c>
      <c r="E1762" s="40">
        <v>8.5399999999999991</v>
      </c>
      <c r="K1762" s="40"/>
      <c r="P1762" s="40"/>
      <c r="Q1762" s="40"/>
      <c r="R1762" s="40"/>
    </row>
    <row r="1763" spans="1:18" x14ac:dyDescent="0.2">
      <c r="A1763" s="41">
        <v>43160</v>
      </c>
      <c r="B1763" s="40">
        <v>8.32</v>
      </c>
      <c r="C1763" s="40">
        <v>8.32</v>
      </c>
      <c r="D1763" s="40">
        <v>7.33</v>
      </c>
      <c r="E1763" s="40">
        <v>7.85</v>
      </c>
      <c r="K1763" s="40"/>
      <c r="P1763" s="40"/>
      <c r="Q1763" s="40"/>
      <c r="R1763" s="40"/>
    </row>
    <row r="1764" spans="1:18" x14ac:dyDescent="0.2">
      <c r="A1764" s="41">
        <v>43191</v>
      </c>
      <c r="B1764" s="40">
        <v>7.89</v>
      </c>
      <c r="C1764" s="40">
        <v>8.33</v>
      </c>
      <c r="D1764" s="40">
        <v>7.49</v>
      </c>
      <c r="E1764" s="40">
        <v>7.73</v>
      </c>
      <c r="K1764" s="40"/>
      <c r="P1764" s="40"/>
      <c r="Q1764" s="40"/>
      <c r="R1764" s="40"/>
    </row>
    <row r="1765" spans="1:18" x14ac:dyDescent="0.2">
      <c r="A1765" s="41">
        <v>43221</v>
      </c>
      <c r="B1765" s="40">
        <v>7.94</v>
      </c>
      <c r="C1765" s="40">
        <v>8.08</v>
      </c>
      <c r="D1765" s="40">
        <v>7.45</v>
      </c>
      <c r="E1765" s="40">
        <v>7.7</v>
      </c>
      <c r="K1765" s="40"/>
      <c r="P1765" s="40"/>
      <c r="Q1765" s="40"/>
      <c r="R1765" s="40"/>
    </row>
    <row r="1766" spans="1:18" x14ac:dyDescent="0.2">
      <c r="A1766" s="41">
        <v>43313</v>
      </c>
      <c r="B1766" s="40">
        <v>8.6199999999999992</v>
      </c>
      <c r="C1766" s="40">
        <v>8.7100000000000009</v>
      </c>
      <c r="D1766" s="40">
        <v>7.65</v>
      </c>
      <c r="E1766" s="40">
        <v>7.9</v>
      </c>
      <c r="K1766" s="40"/>
      <c r="P1766" s="40"/>
      <c r="Q1766" s="40"/>
      <c r="R1766" s="40"/>
    </row>
    <row r="1767" spans="1:18" x14ac:dyDescent="0.2">
      <c r="A1767" s="41">
        <v>43344</v>
      </c>
      <c r="B1767" s="40">
        <v>7.97</v>
      </c>
      <c r="C1767" s="40">
        <v>8.3699999999999992</v>
      </c>
      <c r="D1767" s="40">
        <v>7.67</v>
      </c>
      <c r="E1767" s="40">
        <v>8.35</v>
      </c>
      <c r="K1767" s="40"/>
      <c r="P1767" s="40"/>
      <c r="Q1767" s="40"/>
      <c r="R1767" s="40"/>
    </row>
    <row r="1768" spans="1:18" x14ac:dyDescent="0.2">
      <c r="A1768" s="41">
        <v>43374</v>
      </c>
      <c r="B1768" s="40">
        <v>8.77</v>
      </c>
      <c r="C1768" s="40">
        <v>9.15</v>
      </c>
      <c r="D1768" s="40">
        <v>7.81</v>
      </c>
      <c r="E1768" s="40">
        <v>7.85</v>
      </c>
      <c r="K1768" s="40"/>
      <c r="P1768" s="40"/>
      <c r="Q1768" s="40"/>
      <c r="R1768" s="40"/>
    </row>
    <row r="1769" spans="1:18" x14ac:dyDescent="0.2">
      <c r="A1769" s="41">
        <v>43405</v>
      </c>
      <c r="B1769" s="40">
        <v>8.1300000000000008</v>
      </c>
      <c r="C1769" s="40">
        <v>8.17</v>
      </c>
      <c r="D1769" s="40">
        <v>7.63</v>
      </c>
      <c r="E1769" s="40">
        <v>7.84</v>
      </c>
      <c r="K1769" s="40"/>
      <c r="P1769" s="40"/>
      <c r="Q1769" s="40"/>
      <c r="R1769" s="40"/>
    </row>
    <row r="1770" spans="1:18" x14ac:dyDescent="0.2">
      <c r="A1770" s="41">
        <v>43435</v>
      </c>
      <c r="B1770" s="40">
        <v>8.3800000000000008</v>
      </c>
      <c r="C1770" s="40">
        <v>8.86</v>
      </c>
      <c r="D1770" s="40">
        <v>8.02</v>
      </c>
      <c r="E1770" s="40">
        <v>8.68</v>
      </c>
      <c r="K1770" s="40"/>
      <c r="P1770" s="40"/>
      <c r="Q1770" s="40"/>
      <c r="R1770" s="40"/>
    </row>
    <row r="1771" spans="1:18" x14ac:dyDescent="0.2">
      <c r="A1771" s="40" t="s">
        <v>1817</v>
      </c>
      <c r="B1771" s="40">
        <v>10.1</v>
      </c>
      <c r="C1771" s="40">
        <v>12.58</v>
      </c>
      <c r="D1771" s="40">
        <v>10.06</v>
      </c>
      <c r="E1771" s="40">
        <v>11.25</v>
      </c>
      <c r="K1771" s="40"/>
      <c r="P1771" s="40"/>
      <c r="Q1771" s="40"/>
      <c r="R1771" s="40"/>
    </row>
    <row r="1772" spans="1:18" x14ac:dyDescent="0.2">
      <c r="A1772" s="40" t="s">
        <v>1818</v>
      </c>
      <c r="B1772" s="40">
        <v>11.47</v>
      </c>
      <c r="C1772" s="40">
        <v>12.2</v>
      </c>
      <c r="D1772" s="40">
        <v>10.39</v>
      </c>
      <c r="E1772" s="40">
        <v>11.69</v>
      </c>
      <c r="K1772" s="40"/>
      <c r="P1772" s="40"/>
      <c r="Q1772" s="40"/>
      <c r="R1772" s="40"/>
    </row>
    <row r="1773" spans="1:18" x14ac:dyDescent="0.2">
      <c r="A1773" s="40" t="s">
        <v>1819</v>
      </c>
      <c r="B1773" s="40">
        <v>11.7</v>
      </c>
      <c r="C1773" s="40">
        <v>12.38</v>
      </c>
      <c r="D1773" s="40">
        <v>11.3</v>
      </c>
      <c r="E1773" s="40">
        <v>12.37</v>
      </c>
      <c r="K1773" s="40"/>
      <c r="P1773" s="40"/>
      <c r="Q1773" s="40"/>
      <c r="R1773" s="40"/>
    </row>
    <row r="1774" spans="1:18" x14ac:dyDescent="0.2">
      <c r="A1774" s="40" t="s">
        <v>1820</v>
      </c>
      <c r="B1774" s="40">
        <v>11.8</v>
      </c>
      <c r="C1774" s="40">
        <v>11.91</v>
      </c>
      <c r="D1774" s="40">
        <v>10.11</v>
      </c>
      <c r="E1774" s="40">
        <v>10.41</v>
      </c>
      <c r="K1774" s="40"/>
      <c r="P1774" s="40"/>
      <c r="Q1774" s="40"/>
      <c r="R1774" s="40"/>
    </row>
    <row r="1775" spans="1:18" x14ac:dyDescent="0.2">
      <c r="A1775" s="40" t="s">
        <v>1821</v>
      </c>
      <c r="B1775" s="40">
        <v>11.53</v>
      </c>
      <c r="C1775" s="40">
        <v>11.53</v>
      </c>
      <c r="D1775" s="40">
        <v>10.41</v>
      </c>
      <c r="E1775" s="40">
        <v>10.86</v>
      </c>
      <c r="K1775" s="40"/>
      <c r="P1775" s="40"/>
      <c r="Q1775" s="40"/>
      <c r="R1775" s="40"/>
    </row>
    <row r="1776" spans="1:18" x14ac:dyDescent="0.2">
      <c r="A1776" s="40" t="s">
        <v>1822</v>
      </c>
      <c r="B1776" s="40">
        <v>11.01</v>
      </c>
      <c r="C1776" s="40">
        <v>11.25</v>
      </c>
      <c r="D1776" s="40">
        <v>10.53</v>
      </c>
      <c r="E1776" s="40">
        <v>11.02</v>
      </c>
      <c r="K1776" s="40"/>
      <c r="P1776" s="40"/>
      <c r="Q1776" s="40"/>
      <c r="R1776" s="40"/>
    </row>
    <row r="1777" spans="1:18" x14ac:dyDescent="0.2">
      <c r="A1777" s="40" t="s">
        <v>1823</v>
      </c>
      <c r="B1777" s="40">
        <v>11.2</v>
      </c>
      <c r="C1777" s="40">
        <v>12.57</v>
      </c>
      <c r="D1777" s="40">
        <v>9.8699999999999992</v>
      </c>
      <c r="E1777" s="40">
        <v>11.45</v>
      </c>
      <c r="K1777" s="40"/>
      <c r="P1777" s="40"/>
      <c r="Q1777" s="40"/>
      <c r="R1777" s="40"/>
    </row>
    <row r="1778" spans="1:18" x14ac:dyDescent="0.2">
      <c r="A1778" s="40" t="s">
        <v>1824</v>
      </c>
      <c r="B1778" s="40">
        <v>11.58</v>
      </c>
      <c r="C1778" s="40">
        <v>12.37</v>
      </c>
      <c r="D1778" s="40">
        <v>10.41</v>
      </c>
      <c r="E1778" s="40">
        <v>11.64</v>
      </c>
      <c r="K1778" s="40"/>
      <c r="P1778" s="40"/>
      <c r="Q1778" s="40"/>
      <c r="R1778" s="40"/>
    </row>
    <row r="1779" spans="1:18" x14ac:dyDescent="0.2">
      <c r="A1779" s="40" t="s">
        <v>1825</v>
      </c>
      <c r="B1779" s="40">
        <v>11.54</v>
      </c>
      <c r="C1779" s="40">
        <v>11.6</v>
      </c>
      <c r="D1779" s="40">
        <v>9.42</v>
      </c>
      <c r="E1779" s="40">
        <v>10.46</v>
      </c>
      <c r="K1779" s="40"/>
      <c r="P1779" s="40"/>
      <c r="Q1779" s="40"/>
      <c r="R1779" s="40"/>
    </row>
    <row r="1780" spans="1:18" x14ac:dyDescent="0.2">
      <c r="A1780" s="40" t="s">
        <v>1826</v>
      </c>
      <c r="B1780" s="40">
        <v>12.34</v>
      </c>
      <c r="C1780" s="40">
        <v>14.91</v>
      </c>
      <c r="D1780" s="40">
        <v>12.26</v>
      </c>
      <c r="E1780" s="40">
        <v>14.91</v>
      </c>
      <c r="K1780" s="40"/>
      <c r="P1780" s="40"/>
      <c r="Q1780" s="40"/>
      <c r="R1780" s="40"/>
    </row>
    <row r="1781" spans="1:18" x14ac:dyDescent="0.2">
      <c r="A1781" s="40" t="s">
        <v>1827</v>
      </c>
      <c r="B1781" s="40">
        <v>16.260000000000002</v>
      </c>
      <c r="C1781" s="40">
        <v>17.21</v>
      </c>
      <c r="D1781" s="40">
        <v>15.26</v>
      </c>
      <c r="E1781" s="40">
        <v>16.2</v>
      </c>
      <c r="K1781" s="40"/>
      <c r="P1781" s="40"/>
      <c r="Q1781" s="40"/>
      <c r="R1781" s="40"/>
    </row>
    <row r="1782" spans="1:18" x14ac:dyDescent="0.2">
      <c r="A1782" s="40" t="s">
        <v>1828</v>
      </c>
      <c r="B1782" s="40">
        <v>15.3</v>
      </c>
      <c r="C1782" s="40">
        <v>15.3</v>
      </c>
      <c r="D1782" s="40">
        <v>12.35</v>
      </c>
      <c r="E1782" s="40">
        <v>13.86</v>
      </c>
      <c r="K1782" s="40"/>
      <c r="P1782" s="40"/>
      <c r="Q1782" s="40"/>
      <c r="R1782" s="40"/>
    </row>
    <row r="1783" spans="1:18" x14ac:dyDescent="0.2">
      <c r="A1783" s="41">
        <v>43102</v>
      </c>
      <c r="B1783" s="40">
        <v>14.43</v>
      </c>
      <c r="C1783" s="40">
        <v>14.43</v>
      </c>
      <c r="D1783" s="40">
        <v>12.13</v>
      </c>
      <c r="E1783" s="40">
        <v>13.86</v>
      </c>
      <c r="K1783" s="40"/>
      <c r="P1783" s="40"/>
      <c r="Q1783" s="40"/>
      <c r="R1783" s="40"/>
    </row>
    <row r="1784" spans="1:18" x14ac:dyDescent="0.2">
      <c r="A1784" s="41">
        <v>43133</v>
      </c>
      <c r="B1784" s="40">
        <v>14.66</v>
      </c>
      <c r="C1784" s="40">
        <v>20.78</v>
      </c>
      <c r="D1784" s="40">
        <v>13.53</v>
      </c>
      <c r="E1784" s="40">
        <v>18.86</v>
      </c>
      <c r="K1784" s="40"/>
      <c r="P1784" s="40"/>
      <c r="Q1784" s="40"/>
      <c r="R1784" s="40"/>
    </row>
    <row r="1785" spans="1:18" x14ac:dyDescent="0.2">
      <c r="A1785" s="41">
        <v>43222</v>
      </c>
      <c r="B1785" s="40">
        <v>22.07</v>
      </c>
      <c r="C1785" s="40">
        <v>61.38</v>
      </c>
      <c r="D1785" s="40">
        <v>18.149999999999999</v>
      </c>
      <c r="E1785" s="40">
        <v>59.34</v>
      </c>
      <c r="K1785" s="40"/>
      <c r="P1785" s="40"/>
      <c r="Q1785" s="40"/>
      <c r="R1785" s="40"/>
    </row>
    <row r="1786" spans="1:18" x14ac:dyDescent="0.2">
      <c r="A1786" s="41">
        <v>43253</v>
      </c>
      <c r="B1786" s="40">
        <v>63.23</v>
      </c>
      <c r="C1786" s="40">
        <v>68.95</v>
      </c>
      <c r="D1786" s="40">
        <v>28.74</v>
      </c>
      <c r="E1786" s="40">
        <v>39.46</v>
      </c>
      <c r="K1786" s="40"/>
      <c r="P1786" s="40"/>
      <c r="Q1786" s="40"/>
      <c r="R1786" s="40"/>
    </row>
    <row r="1787" spans="1:18" x14ac:dyDescent="0.2">
      <c r="A1787" s="41">
        <v>43283</v>
      </c>
      <c r="B1787" s="40">
        <v>36.1</v>
      </c>
      <c r="C1787" s="40">
        <v>36.1</v>
      </c>
      <c r="D1787" s="40">
        <v>22.5</v>
      </c>
      <c r="E1787" s="40">
        <v>32.86</v>
      </c>
      <c r="K1787" s="40"/>
      <c r="P1787" s="40"/>
      <c r="Q1787" s="40"/>
      <c r="R1787" s="40"/>
    </row>
    <row r="1788" spans="1:18" x14ac:dyDescent="0.2">
      <c r="A1788" s="41">
        <v>43314</v>
      </c>
      <c r="B1788" s="40">
        <v>28.59</v>
      </c>
      <c r="C1788" s="40">
        <v>45.53</v>
      </c>
      <c r="D1788" s="40">
        <v>26.94</v>
      </c>
      <c r="E1788" s="40">
        <v>41.44</v>
      </c>
      <c r="K1788" s="40"/>
      <c r="P1788" s="40"/>
      <c r="Q1788" s="40"/>
      <c r="R1788" s="40"/>
    </row>
    <row r="1789" spans="1:18" x14ac:dyDescent="0.2">
      <c r="A1789" s="41">
        <v>43345</v>
      </c>
      <c r="B1789" s="40">
        <v>36.64</v>
      </c>
      <c r="C1789" s="40">
        <v>52.49</v>
      </c>
      <c r="D1789" s="40">
        <v>29.88</v>
      </c>
      <c r="E1789" s="40">
        <v>31.64</v>
      </c>
      <c r="K1789" s="40"/>
      <c r="P1789" s="40"/>
      <c r="Q1789" s="40"/>
      <c r="R1789" s="40"/>
    </row>
    <row r="1790" spans="1:18" x14ac:dyDescent="0.2">
      <c r="A1790" s="41">
        <v>43436</v>
      </c>
      <c r="B1790" s="40">
        <v>31.5</v>
      </c>
      <c r="C1790" s="40">
        <v>33.89</v>
      </c>
      <c r="D1790" s="40">
        <v>25.08</v>
      </c>
      <c r="E1790" s="40">
        <v>26.83</v>
      </c>
      <c r="K1790" s="40"/>
      <c r="P1790" s="40"/>
      <c r="Q1790" s="40"/>
      <c r="R1790" s="40"/>
    </row>
    <row r="1791" spans="1:18" x14ac:dyDescent="0.2">
      <c r="A1791" s="40" t="s">
        <v>1829</v>
      </c>
      <c r="B1791" s="40">
        <v>29.39</v>
      </c>
      <c r="C1791" s="40">
        <v>29.39</v>
      </c>
      <c r="D1791" s="40">
        <v>24.65</v>
      </c>
      <c r="E1791" s="40">
        <v>25.29</v>
      </c>
      <c r="K1791" s="40"/>
      <c r="P1791" s="40"/>
      <c r="Q1791" s="40"/>
      <c r="R1791" s="40"/>
    </row>
    <row r="1792" spans="1:18" x14ac:dyDescent="0.2">
      <c r="A1792" s="40" t="s">
        <v>1830</v>
      </c>
      <c r="B1792" s="40">
        <v>23.03</v>
      </c>
      <c r="C1792" s="40">
        <v>23.47</v>
      </c>
      <c r="D1792" s="40">
        <v>18.64</v>
      </c>
      <c r="E1792" s="40">
        <v>18.73</v>
      </c>
      <c r="K1792" s="40"/>
      <c r="P1792" s="40"/>
      <c r="Q1792" s="40"/>
      <c r="R1792" s="40"/>
    </row>
    <row r="1793" spans="1:18" x14ac:dyDescent="0.2">
      <c r="A1793" s="40" t="s">
        <v>1831</v>
      </c>
      <c r="B1793" s="40">
        <v>18.21</v>
      </c>
      <c r="C1793" s="40">
        <v>20.81</v>
      </c>
      <c r="D1793" s="40">
        <v>17.21</v>
      </c>
      <c r="E1793" s="40">
        <v>18.579999999999998</v>
      </c>
      <c r="K1793" s="40"/>
      <c r="P1793" s="40"/>
      <c r="Q1793" s="40"/>
      <c r="R1793" s="40"/>
    </row>
    <row r="1794" spans="1:18" x14ac:dyDescent="0.2">
      <c r="A1794" s="40" t="s">
        <v>1832</v>
      </c>
      <c r="B1794" s="40">
        <v>19.09</v>
      </c>
      <c r="C1794" s="40">
        <v>21.98</v>
      </c>
      <c r="D1794" s="40">
        <v>16.16</v>
      </c>
      <c r="E1794" s="40">
        <v>18.68</v>
      </c>
      <c r="K1794" s="40"/>
      <c r="P1794" s="40"/>
      <c r="Q1794" s="40"/>
      <c r="R1794" s="40"/>
    </row>
    <row r="1795" spans="1:18" x14ac:dyDescent="0.2">
      <c r="A1795" s="40" t="s">
        <v>1833</v>
      </c>
      <c r="B1795" s="40">
        <v>23.32</v>
      </c>
      <c r="C1795" s="40">
        <v>23.32</v>
      </c>
      <c r="D1795" s="40">
        <v>19.760000000000002</v>
      </c>
      <c r="E1795" s="40">
        <v>20.64</v>
      </c>
      <c r="K1795" s="40"/>
      <c r="P1795" s="40"/>
      <c r="Q1795" s="40"/>
      <c r="R1795" s="40"/>
    </row>
    <row r="1796" spans="1:18" x14ac:dyDescent="0.2">
      <c r="A1796" s="40" t="s">
        <v>1834</v>
      </c>
      <c r="B1796" s="40">
        <v>20.38</v>
      </c>
      <c r="C1796" s="40">
        <v>20.420000000000002</v>
      </c>
      <c r="D1796" s="40">
        <v>15.55</v>
      </c>
      <c r="E1796" s="40">
        <v>20.010000000000002</v>
      </c>
      <c r="K1796" s="40"/>
      <c r="P1796" s="40"/>
      <c r="Q1796" s="40"/>
      <c r="R1796" s="40"/>
    </row>
    <row r="1797" spans="1:18" x14ac:dyDescent="0.2">
      <c r="A1797" s="40" t="s">
        <v>1835</v>
      </c>
      <c r="B1797" s="40">
        <v>19.940000000000001</v>
      </c>
      <c r="C1797" s="40">
        <v>20.79</v>
      </c>
      <c r="D1797" s="40">
        <v>17.309999999999999</v>
      </c>
      <c r="E1797" s="40">
        <v>18.13</v>
      </c>
      <c r="K1797" s="40"/>
      <c r="P1797" s="40"/>
      <c r="Q1797" s="40"/>
      <c r="R1797" s="40"/>
    </row>
    <row r="1798" spans="1:18" x14ac:dyDescent="0.2">
      <c r="A1798" s="40" t="s">
        <v>1836</v>
      </c>
      <c r="B1798" s="40">
        <v>18.13</v>
      </c>
      <c r="C1798" s="40">
        <v>18.66</v>
      </c>
      <c r="D1798" s="40">
        <v>14.06</v>
      </c>
      <c r="E1798" s="40">
        <v>14.98</v>
      </c>
      <c r="K1798" s="40"/>
      <c r="P1798" s="40"/>
      <c r="Q1798" s="40"/>
      <c r="R1798" s="40"/>
    </row>
    <row r="1799" spans="1:18" x14ac:dyDescent="0.2">
      <c r="A1799" s="40" t="s">
        <v>1837</v>
      </c>
      <c r="B1799" s="40">
        <v>16.829999999999998</v>
      </c>
      <c r="C1799" s="40">
        <v>17.010000000000002</v>
      </c>
      <c r="D1799" s="40">
        <v>15.15</v>
      </c>
      <c r="E1799" s="40">
        <v>15.16</v>
      </c>
      <c r="K1799" s="40"/>
      <c r="P1799" s="40"/>
      <c r="Q1799" s="40"/>
      <c r="R1799" s="40"/>
    </row>
    <row r="1800" spans="1:18" x14ac:dyDescent="0.2">
      <c r="A1800" s="40" t="s">
        <v>1838</v>
      </c>
      <c r="B1800" s="40">
        <v>15.97</v>
      </c>
      <c r="C1800" s="40">
        <v>18.79</v>
      </c>
      <c r="D1800" s="40">
        <v>15</v>
      </c>
      <c r="E1800" s="40">
        <v>18.12</v>
      </c>
      <c r="K1800" s="40"/>
      <c r="P1800" s="40"/>
      <c r="Q1800" s="40"/>
      <c r="R1800" s="40"/>
    </row>
    <row r="1801" spans="1:18" x14ac:dyDescent="0.2">
      <c r="A1801" s="40" t="s">
        <v>1839</v>
      </c>
      <c r="B1801" s="40">
        <v>16.940000000000001</v>
      </c>
      <c r="C1801" s="40">
        <v>19.86</v>
      </c>
      <c r="D1801" s="40">
        <v>16.350000000000001</v>
      </c>
      <c r="E1801" s="40">
        <v>19.190000000000001</v>
      </c>
      <c r="K1801" s="40"/>
      <c r="P1801" s="40"/>
      <c r="Q1801" s="40"/>
      <c r="R1801" s="40"/>
    </row>
    <row r="1802" spans="1:18" x14ac:dyDescent="0.2">
      <c r="A1802" s="41">
        <v>43103</v>
      </c>
      <c r="B1802" s="40">
        <v>20.03</v>
      </c>
      <c r="C1802" s="40">
        <v>28.48</v>
      </c>
      <c r="D1802" s="40">
        <v>19.43</v>
      </c>
      <c r="E1802" s="40">
        <v>23.89</v>
      </c>
      <c r="K1802" s="40"/>
      <c r="P1802" s="40"/>
      <c r="Q1802" s="40"/>
      <c r="R1802" s="40"/>
    </row>
    <row r="1803" spans="1:18" x14ac:dyDescent="0.2">
      <c r="A1803" s="41">
        <v>43134</v>
      </c>
      <c r="B1803" s="40">
        <v>28.13</v>
      </c>
      <c r="C1803" s="40">
        <v>29.35</v>
      </c>
      <c r="D1803" s="40">
        <v>18.760000000000002</v>
      </c>
      <c r="E1803" s="40">
        <v>18.87</v>
      </c>
      <c r="K1803" s="40"/>
      <c r="P1803" s="40"/>
      <c r="Q1803" s="40"/>
      <c r="R1803" s="40"/>
    </row>
    <row r="1804" spans="1:18" x14ac:dyDescent="0.2">
      <c r="A1804" s="41">
        <v>43223</v>
      </c>
      <c r="B1804" s="40">
        <v>21.48</v>
      </c>
      <c r="C1804" s="40">
        <v>21.58</v>
      </c>
      <c r="D1804" s="40">
        <v>17.47</v>
      </c>
      <c r="E1804" s="40">
        <v>18.260000000000002</v>
      </c>
      <c r="K1804" s="40"/>
      <c r="P1804" s="40"/>
      <c r="Q1804" s="40"/>
      <c r="R1804" s="40"/>
    </row>
    <row r="1805" spans="1:18" x14ac:dyDescent="0.2">
      <c r="A1805" s="41">
        <v>43254</v>
      </c>
      <c r="B1805" s="40">
        <v>17.399999999999999</v>
      </c>
      <c r="C1805" s="40">
        <v>19.11</v>
      </c>
      <c r="D1805" s="40">
        <v>16.86</v>
      </c>
      <c r="E1805" s="40">
        <v>17.23</v>
      </c>
      <c r="K1805" s="40"/>
      <c r="P1805" s="40"/>
      <c r="Q1805" s="40"/>
      <c r="R1805" s="40"/>
    </row>
    <row r="1806" spans="1:18" x14ac:dyDescent="0.2">
      <c r="A1806" s="41">
        <v>43284</v>
      </c>
      <c r="B1806" s="40">
        <v>19.440000000000001</v>
      </c>
      <c r="C1806" s="40">
        <v>19.91</v>
      </c>
      <c r="D1806" s="40">
        <v>16.13</v>
      </c>
      <c r="E1806" s="40">
        <v>16.71</v>
      </c>
      <c r="K1806" s="40"/>
      <c r="P1806" s="40"/>
      <c r="Q1806" s="40"/>
      <c r="R1806" s="40"/>
    </row>
    <row r="1807" spans="1:18" x14ac:dyDescent="0.2">
      <c r="A1807" s="41">
        <v>43315</v>
      </c>
      <c r="B1807" s="40">
        <v>16.18</v>
      </c>
      <c r="C1807" s="40">
        <v>17.559999999999999</v>
      </c>
      <c r="D1807" s="40">
        <v>15.52</v>
      </c>
      <c r="E1807" s="40">
        <v>15.86</v>
      </c>
      <c r="K1807" s="40"/>
      <c r="P1807" s="40"/>
      <c r="Q1807" s="40"/>
      <c r="R1807" s="40"/>
    </row>
    <row r="1808" spans="1:18" x14ac:dyDescent="0.2">
      <c r="A1808" s="41">
        <v>43346</v>
      </c>
      <c r="B1808" s="40">
        <v>15</v>
      </c>
      <c r="C1808" s="40">
        <v>15.32</v>
      </c>
      <c r="D1808" s="40">
        <v>13.19</v>
      </c>
      <c r="E1808" s="40">
        <v>13.53</v>
      </c>
      <c r="K1808" s="40"/>
      <c r="P1808" s="40"/>
      <c r="Q1808" s="40"/>
      <c r="R1808" s="40"/>
    </row>
    <row r="1809" spans="1:18" x14ac:dyDescent="0.2">
      <c r="A1809" s="41">
        <v>43437</v>
      </c>
      <c r="B1809" s="40">
        <v>16</v>
      </c>
      <c r="C1809" s="40">
        <v>16.11</v>
      </c>
      <c r="D1809" s="40">
        <v>14.63</v>
      </c>
      <c r="E1809" s="40">
        <v>15.24</v>
      </c>
      <c r="K1809" s="40"/>
      <c r="P1809" s="40"/>
      <c r="Q1809" s="40"/>
      <c r="R1809" s="40"/>
    </row>
    <row r="1810" spans="1:18" x14ac:dyDescent="0.2">
      <c r="A1810" s="40" t="s">
        <v>1840</v>
      </c>
      <c r="B1810" s="40">
        <v>15.12</v>
      </c>
      <c r="C1810" s="40">
        <v>16.18</v>
      </c>
      <c r="D1810" s="40">
        <v>14.82</v>
      </c>
      <c r="E1810" s="40">
        <v>15.36</v>
      </c>
      <c r="K1810" s="40"/>
      <c r="P1810" s="40"/>
      <c r="Q1810" s="40"/>
      <c r="R1810" s="40"/>
    </row>
    <row r="1811" spans="1:18" x14ac:dyDescent="0.2">
      <c r="A1811" s="40" t="s">
        <v>1841</v>
      </c>
      <c r="B1811" s="40">
        <v>15.46</v>
      </c>
      <c r="C1811" s="40">
        <v>17.82</v>
      </c>
      <c r="D1811" s="40">
        <v>15.09</v>
      </c>
      <c r="E1811" s="40">
        <v>17.28</v>
      </c>
      <c r="K1811" s="40"/>
      <c r="P1811" s="40"/>
      <c r="Q1811" s="40"/>
      <c r="R1811" s="40"/>
    </row>
    <row r="1812" spans="1:18" x14ac:dyDescent="0.2">
      <c r="A1812" s="40" t="s">
        <v>1842</v>
      </c>
      <c r="B1812" s="40">
        <v>16.559999999999999</v>
      </c>
      <c r="C1812" s="40">
        <v>17.62</v>
      </c>
      <c r="D1812" s="40">
        <v>15.33</v>
      </c>
      <c r="E1812" s="40">
        <v>15.96</v>
      </c>
      <c r="K1812" s="40"/>
      <c r="P1812" s="40"/>
      <c r="Q1812" s="40"/>
      <c r="R1812" s="40"/>
    </row>
    <row r="1813" spans="1:18" x14ac:dyDescent="0.2">
      <c r="A1813" s="40" t="s">
        <v>1843</v>
      </c>
      <c r="B1813" s="40">
        <v>14.93</v>
      </c>
      <c r="C1813" s="40">
        <v>15.07</v>
      </c>
      <c r="D1813" s="40">
        <v>14.04</v>
      </c>
      <c r="E1813" s="40">
        <v>14.93</v>
      </c>
      <c r="K1813" s="40"/>
      <c r="P1813" s="40"/>
      <c r="Q1813" s="40"/>
      <c r="R1813" s="40"/>
    </row>
    <row r="1814" spans="1:18" x14ac:dyDescent="0.2">
      <c r="A1814" s="40" t="s">
        <v>1844</v>
      </c>
      <c r="B1814" s="40">
        <v>17.02</v>
      </c>
      <c r="C1814" s="40">
        <v>29.09</v>
      </c>
      <c r="D1814" s="40">
        <v>16.93</v>
      </c>
      <c r="E1814" s="40">
        <v>21.95</v>
      </c>
      <c r="K1814" s="40"/>
      <c r="P1814" s="40"/>
      <c r="Q1814" s="40"/>
      <c r="R1814" s="40"/>
    </row>
    <row r="1815" spans="1:18" x14ac:dyDescent="0.2">
      <c r="A1815" s="40" t="s">
        <v>1845</v>
      </c>
      <c r="B1815" s="40">
        <v>21.66</v>
      </c>
      <c r="C1815" s="40">
        <v>22.09</v>
      </c>
      <c r="D1815" s="40">
        <v>19.36</v>
      </c>
      <c r="E1815" s="40">
        <v>19.7</v>
      </c>
      <c r="K1815" s="40"/>
      <c r="P1815" s="40"/>
      <c r="Q1815" s="40"/>
      <c r="R1815" s="40"/>
    </row>
    <row r="1816" spans="1:18" x14ac:dyDescent="0.2">
      <c r="A1816" s="40" t="s">
        <v>1846</v>
      </c>
      <c r="B1816" s="40">
        <v>19.88</v>
      </c>
      <c r="C1816" s="40">
        <v>20.88</v>
      </c>
      <c r="D1816" s="40">
        <v>15.05</v>
      </c>
      <c r="E1816" s="40">
        <v>18.52</v>
      </c>
      <c r="K1816" s="40"/>
      <c r="P1816" s="40"/>
      <c r="Q1816" s="40"/>
      <c r="R1816" s="40"/>
    </row>
    <row r="1817" spans="1:18" x14ac:dyDescent="0.2">
      <c r="A1817" s="40" t="s">
        <v>1847</v>
      </c>
      <c r="B1817" s="40">
        <v>22.57</v>
      </c>
      <c r="C1817" s="40">
        <v>27.11</v>
      </c>
      <c r="D1817" s="40">
        <v>20.39</v>
      </c>
      <c r="E1817" s="40">
        <v>26.31</v>
      </c>
      <c r="K1817" s="40"/>
      <c r="P1817" s="40"/>
      <c r="Q1817" s="40"/>
      <c r="R1817" s="40"/>
    </row>
    <row r="1818" spans="1:18" x14ac:dyDescent="0.2">
      <c r="A1818" s="40" t="s">
        <v>1848</v>
      </c>
      <c r="B1818" s="40">
        <v>25.15</v>
      </c>
      <c r="C1818" s="40">
        <v>30.67</v>
      </c>
      <c r="D1818" s="40">
        <v>22.82</v>
      </c>
      <c r="E1818" s="40">
        <v>28.22</v>
      </c>
      <c r="K1818" s="40"/>
      <c r="P1818" s="40"/>
      <c r="Q1818" s="40"/>
      <c r="R1818" s="40"/>
    </row>
    <row r="1819" spans="1:18" x14ac:dyDescent="0.2">
      <c r="A1819" s="40" t="s">
        <v>1849</v>
      </c>
      <c r="B1819" s="40">
        <v>25.4</v>
      </c>
      <c r="C1819" s="40">
        <v>28</v>
      </c>
      <c r="D1819" s="40">
        <v>22.06</v>
      </c>
      <c r="E1819" s="40">
        <v>22.28</v>
      </c>
      <c r="K1819" s="40"/>
      <c r="P1819" s="40"/>
      <c r="Q1819" s="40"/>
      <c r="R1819" s="40"/>
    </row>
    <row r="1820" spans="1:18" x14ac:dyDescent="0.2">
      <c r="A1820" s="40" t="s">
        <v>1850</v>
      </c>
      <c r="B1820" s="40">
        <v>21.77</v>
      </c>
      <c r="C1820" s="40">
        <v>25.72</v>
      </c>
      <c r="D1820" s="40">
        <v>19.829999999999998</v>
      </c>
      <c r="E1820" s="40">
        <v>22.95</v>
      </c>
      <c r="K1820" s="40"/>
      <c r="P1820" s="40"/>
      <c r="Q1820" s="40"/>
      <c r="R1820" s="40"/>
    </row>
    <row r="1821" spans="1:18" x14ac:dyDescent="0.2">
      <c r="A1821" s="40" t="s">
        <v>1851</v>
      </c>
      <c r="B1821" s="40">
        <v>23.21</v>
      </c>
      <c r="C1821" s="40">
        <v>28.19</v>
      </c>
      <c r="D1821" s="40">
        <v>22.74</v>
      </c>
      <c r="E1821" s="40">
        <v>24.94</v>
      </c>
      <c r="K1821" s="40"/>
      <c r="P1821" s="40"/>
      <c r="Q1821" s="40"/>
      <c r="R1821" s="40"/>
    </row>
    <row r="1822" spans="1:18" x14ac:dyDescent="0.2">
      <c r="A1822" s="40" t="s">
        <v>1852</v>
      </c>
      <c r="B1822" s="40">
        <v>23.08</v>
      </c>
      <c r="C1822" s="40">
        <v>23.64</v>
      </c>
      <c r="D1822" s="40">
        <v>20.2</v>
      </c>
      <c r="E1822" s="40">
        <v>20.57</v>
      </c>
      <c r="K1822" s="40"/>
      <c r="P1822" s="40"/>
      <c r="Q1822" s="40"/>
      <c r="R1822" s="40"/>
    </row>
    <row r="1823" spans="1:18" x14ac:dyDescent="0.2">
      <c r="A1823" s="41">
        <v>43135</v>
      </c>
      <c r="B1823" s="40">
        <v>24.09</v>
      </c>
      <c r="C1823" s="40">
        <v>31.14</v>
      </c>
      <c r="D1823" s="40">
        <v>23.02</v>
      </c>
      <c r="E1823" s="40">
        <v>27.31</v>
      </c>
      <c r="K1823" s="40"/>
      <c r="P1823" s="40"/>
      <c r="Q1823" s="40"/>
      <c r="R1823" s="40"/>
    </row>
    <row r="1824" spans="1:18" x14ac:dyDescent="0.2">
      <c r="A1824" s="41">
        <v>43163</v>
      </c>
      <c r="B1824" s="40">
        <v>26.04</v>
      </c>
      <c r="C1824" s="40">
        <v>26.99</v>
      </c>
      <c r="D1824" s="40">
        <v>23.4</v>
      </c>
      <c r="E1824" s="40">
        <v>23.48</v>
      </c>
      <c r="K1824" s="40"/>
      <c r="P1824" s="40"/>
      <c r="Q1824" s="40"/>
      <c r="R1824" s="40"/>
    </row>
    <row r="1825" spans="1:18" x14ac:dyDescent="0.2">
      <c r="A1825" s="41">
        <v>43194</v>
      </c>
      <c r="B1825" s="40">
        <v>28.38</v>
      </c>
      <c r="C1825" s="40">
        <v>28.38</v>
      </c>
      <c r="D1825" s="40">
        <v>21.56</v>
      </c>
      <c r="E1825" s="40">
        <v>21.95</v>
      </c>
      <c r="K1825" s="40"/>
      <c r="P1825" s="40"/>
      <c r="Q1825" s="40"/>
      <c r="R1825" s="40"/>
    </row>
    <row r="1826" spans="1:18" x14ac:dyDescent="0.2">
      <c r="A1826" s="41">
        <v>43224</v>
      </c>
      <c r="B1826" s="40">
        <v>21.74</v>
      </c>
      <c r="C1826" s="40">
        <v>22.21</v>
      </c>
      <c r="D1826" s="40">
        <v>19.36</v>
      </c>
      <c r="E1826" s="40">
        <v>19.93</v>
      </c>
      <c r="K1826" s="40"/>
      <c r="P1826" s="40"/>
      <c r="Q1826" s="40"/>
      <c r="R1826" s="40"/>
    </row>
    <row r="1827" spans="1:18" x14ac:dyDescent="0.2">
      <c r="A1827" s="41">
        <v>43255</v>
      </c>
      <c r="B1827" s="40">
        <v>22.05</v>
      </c>
      <c r="C1827" s="40">
        <v>26.87</v>
      </c>
      <c r="D1827" s="40">
        <v>20.190000000000001</v>
      </c>
      <c r="E1827" s="40">
        <v>23.06</v>
      </c>
      <c r="K1827" s="40"/>
      <c r="P1827" s="40"/>
      <c r="Q1827" s="40"/>
      <c r="R1827" s="40"/>
    </row>
    <row r="1828" spans="1:18" x14ac:dyDescent="0.2">
      <c r="A1828" s="41">
        <v>43347</v>
      </c>
      <c r="B1828" s="40">
        <v>23.03</v>
      </c>
      <c r="C1828" s="40">
        <v>24.12</v>
      </c>
      <c r="D1828" s="40">
        <v>21.6</v>
      </c>
      <c r="E1828" s="40">
        <v>23.83</v>
      </c>
      <c r="K1828" s="40"/>
      <c r="P1828" s="40"/>
      <c r="Q1828" s="40"/>
      <c r="R1828" s="40"/>
    </row>
    <row r="1829" spans="1:18" x14ac:dyDescent="0.2">
      <c r="A1829" s="41">
        <v>43377</v>
      </c>
      <c r="B1829" s="40">
        <v>22.39</v>
      </c>
      <c r="C1829" s="40">
        <v>23.57</v>
      </c>
      <c r="D1829" s="40">
        <v>20.68</v>
      </c>
      <c r="E1829" s="40">
        <v>20.92</v>
      </c>
      <c r="K1829" s="40"/>
      <c r="P1829" s="40"/>
      <c r="Q1829" s="40"/>
      <c r="R1829" s="40"/>
    </row>
    <row r="1830" spans="1:18" x14ac:dyDescent="0.2">
      <c r="A1830" s="41">
        <v>43408</v>
      </c>
      <c r="B1830" s="40">
        <v>20.37</v>
      </c>
      <c r="C1830" s="40">
        <v>20.93</v>
      </c>
      <c r="D1830" s="40">
        <v>19.09</v>
      </c>
      <c r="E1830" s="40">
        <v>20.37</v>
      </c>
      <c r="K1830" s="40"/>
      <c r="P1830" s="40"/>
      <c r="Q1830" s="40"/>
      <c r="R1830" s="40"/>
    </row>
    <row r="1831" spans="1:18" x14ac:dyDescent="0.2">
      <c r="A1831" s="41">
        <v>43438</v>
      </c>
      <c r="B1831" s="40">
        <v>18.75</v>
      </c>
      <c r="C1831" s="40">
        <v>19.71</v>
      </c>
      <c r="D1831" s="40">
        <v>17.510000000000002</v>
      </c>
      <c r="E1831" s="40">
        <v>17.82</v>
      </c>
      <c r="K1831" s="40"/>
      <c r="P1831" s="40"/>
      <c r="Q1831" s="40"/>
      <c r="R1831" s="40"/>
    </row>
    <row r="1832" spans="1:18" x14ac:dyDescent="0.2">
      <c r="A1832" s="40" t="s">
        <v>1853</v>
      </c>
      <c r="B1832" s="40">
        <v>17.059999999999999</v>
      </c>
      <c r="C1832" s="40">
        <v>18.39</v>
      </c>
      <c r="D1832" s="40">
        <v>16.239999999999998</v>
      </c>
      <c r="E1832" s="40">
        <v>16.36</v>
      </c>
      <c r="K1832" s="40"/>
      <c r="P1832" s="40"/>
      <c r="Q1832" s="40"/>
      <c r="R1832" s="40"/>
    </row>
    <row r="1833" spans="1:18" x14ac:dyDescent="0.2">
      <c r="A1833" s="40" t="s">
        <v>1854</v>
      </c>
      <c r="B1833" s="40">
        <v>17.309999999999999</v>
      </c>
      <c r="C1833" s="40">
        <v>17.55</v>
      </c>
      <c r="D1833" s="40">
        <v>16.28</v>
      </c>
      <c r="E1833" s="40">
        <v>16.57</v>
      </c>
      <c r="K1833" s="40"/>
      <c r="P1833" s="40"/>
      <c r="Q1833" s="40"/>
      <c r="R1833" s="40"/>
    </row>
    <row r="1834" spans="1:18" x14ac:dyDescent="0.2">
      <c r="A1834" s="40" t="s">
        <v>1855</v>
      </c>
      <c r="B1834" s="40">
        <v>16.14</v>
      </c>
      <c r="C1834" s="40">
        <v>16.170000000000002</v>
      </c>
      <c r="D1834" s="40">
        <v>14.46</v>
      </c>
      <c r="E1834" s="40">
        <v>15.35</v>
      </c>
      <c r="K1834" s="40"/>
      <c r="P1834" s="40"/>
      <c r="Q1834" s="40"/>
      <c r="R1834" s="40"/>
    </row>
    <row r="1835" spans="1:18" x14ac:dyDescent="0.2">
      <c r="A1835" s="40" t="s">
        <v>1856</v>
      </c>
      <c r="B1835" s="40">
        <v>16.399999999999999</v>
      </c>
      <c r="C1835" s="40">
        <v>16.809999999999999</v>
      </c>
      <c r="D1835" s="40">
        <v>14.45</v>
      </c>
      <c r="E1835" s="40">
        <v>14.64</v>
      </c>
      <c r="K1835" s="40"/>
      <c r="P1835" s="40"/>
      <c r="Q1835" s="40"/>
      <c r="R1835" s="40"/>
    </row>
    <row r="1836" spans="1:18" x14ac:dyDescent="0.2">
      <c r="A1836" s="40" t="s">
        <v>1857</v>
      </c>
      <c r="B1836" s="40">
        <v>15.3</v>
      </c>
      <c r="C1836" s="40">
        <v>17.28</v>
      </c>
      <c r="D1836" s="40">
        <v>14.81</v>
      </c>
      <c r="E1836" s="40">
        <v>15.5</v>
      </c>
      <c r="K1836" s="40"/>
      <c r="P1836" s="40"/>
      <c r="Q1836" s="40"/>
      <c r="R1836" s="40"/>
    </row>
    <row r="1837" spans="1:18" x14ac:dyDescent="0.2">
      <c r="A1837" s="40" t="s">
        <v>1858</v>
      </c>
      <c r="B1837" s="40">
        <v>14.84</v>
      </c>
      <c r="C1837" s="40">
        <v>18.02</v>
      </c>
      <c r="D1837" s="40">
        <v>14.63</v>
      </c>
      <c r="E1837" s="40">
        <v>16.23</v>
      </c>
      <c r="K1837" s="40"/>
      <c r="P1837" s="40"/>
      <c r="Q1837" s="40"/>
      <c r="R1837" s="40"/>
    </row>
    <row r="1838" spans="1:18" x14ac:dyDescent="0.2">
      <c r="A1838" s="40" t="s">
        <v>1859</v>
      </c>
      <c r="B1838" s="40">
        <v>17.239999999999998</v>
      </c>
      <c r="C1838" s="40">
        <v>17.8</v>
      </c>
      <c r="D1838" s="40">
        <v>15.69</v>
      </c>
      <c r="E1838" s="40">
        <v>16.440000000000001</v>
      </c>
      <c r="K1838" s="40"/>
      <c r="P1838" s="40"/>
      <c r="Q1838" s="40"/>
      <c r="R1838" s="40"/>
    </row>
    <row r="1839" spans="1:18" x14ac:dyDescent="0.2">
      <c r="A1839" s="40" t="s">
        <v>1860</v>
      </c>
      <c r="B1839" s="40">
        <v>15.78</v>
      </c>
      <c r="C1839" s="40">
        <v>21.5</v>
      </c>
      <c r="D1839" s="40">
        <v>15.47</v>
      </c>
      <c r="E1839" s="40">
        <v>19.170000000000002</v>
      </c>
      <c r="K1839" s="40"/>
      <c r="P1839" s="40"/>
      <c r="Q1839" s="40"/>
      <c r="R1839" s="40"/>
    </row>
    <row r="1840" spans="1:18" x14ac:dyDescent="0.2">
      <c r="A1840" s="40" t="s">
        <v>1861</v>
      </c>
      <c r="B1840" s="40">
        <v>19.91</v>
      </c>
      <c r="C1840" s="40">
        <v>22.06</v>
      </c>
      <c r="D1840" s="40">
        <v>18.63</v>
      </c>
      <c r="E1840" s="40">
        <v>18.71</v>
      </c>
      <c r="K1840" s="40"/>
      <c r="P1840" s="40"/>
      <c r="Q1840" s="40"/>
      <c r="R1840" s="40"/>
    </row>
    <row r="1841" spans="1:18" x14ac:dyDescent="0.2">
      <c r="A1841" s="40" t="s">
        <v>1862</v>
      </c>
      <c r="B1841" s="40">
        <v>18.489999999999998</v>
      </c>
      <c r="C1841" s="40">
        <v>18.579999999999998</v>
      </c>
      <c r="D1841" s="40">
        <v>15.98</v>
      </c>
      <c r="E1841" s="40">
        <v>16.010000000000002</v>
      </c>
      <c r="K1841" s="40"/>
      <c r="P1841" s="40"/>
      <c r="Q1841" s="40"/>
      <c r="R1841" s="40"/>
    </row>
    <row r="1842" spans="1:18" x14ac:dyDescent="0.2">
      <c r="A1842" s="40" t="s">
        <v>1863</v>
      </c>
      <c r="B1842" s="40">
        <v>15.88</v>
      </c>
      <c r="C1842" s="40">
        <v>16.84</v>
      </c>
      <c r="D1842" s="40">
        <v>14.36</v>
      </c>
      <c r="E1842" s="40">
        <v>14.44</v>
      </c>
      <c r="K1842" s="40"/>
      <c r="P1842" s="40"/>
      <c r="Q1842" s="40"/>
      <c r="R1842" s="40"/>
    </row>
    <row r="1843" spans="1:18" x14ac:dyDescent="0.2">
      <c r="A1843" s="40" t="s">
        <v>1864</v>
      </c>
      <c r="B1843" s="40">
        <v>15.73</v>
      </c>
      <c r="C1843" s="40">
        <v>17.13</v>
      </c>
      <c r="D1843" s="40">
        <v>14.93</v>
      </c>
      <c r="E1843" s="40">
        <v>16.45</v>
      </c>
      <c r="K1843" s="40"/>
      <c r="P1843" s="40"/>
      <c r="Q1843" s="40"/>
      <c r="R1843" s="40"/>
    </row>
    <row r="1844" spans="1:18" x14ac:dyDescent="0.2">
      <c r="A1844" s="41">
        <v>43105</v>
      </c>
      <c r="B1844" s="40">
        <v>16.98</v>
      </c>
      <c r="C1844" s="40">
        <v>17.8</v>
      </c>
      <c r="D1844" s="40">
        <v>15.57</v>
      </c>
      <c r="E1844" s="40">
        <v>15.7</v>
      </c>
      <c r="K1844" s="40"/>
      <c r="P1844" s="40"/>
      <c r="Q1844" s="40"/>
      <c r="R1844" s="40"/>
    </row>
    <row r="1845" spans="1:18" x14ac:dyDescent="0.2">
      <c r="A1845" s="41">
        <v>43136</v>
      </c>
      <c r="B1845" s="40">
        <v>15.93</v>
      </c>
      <c r="C1845" s="40">
        <v>16.53</v>
      </c>
      <c r="D1845" s="40">
        <v>14.7</v>
      </c>
      <c r="E1845" s="40">
        <v>16.53</v>
      </c>
      <c r="K1845" s="40"/>
      <c r="P1845" s="40"/>
      <c r="Q1845" s="40"/>
      <c r="R1845" s="40"/>
    </row>
    <row r="1846" spans="1:18" x14ac:dyDescent="0.2">
      <c r="A1846" s="41">
        <v>43164</v>
      </c>
      <c r="B1846" s="40">
        <v>16.690000000000001</v>
      </c>
      <c r="C1846" s="40">
        <v>21.19</v>
      </c>
      <c r="D1846" s="40">
        <v>15.73</v>
      </c>
      <c r="E1846" s="40">
        <v>15.75</v>
      </c>
      <c r="K1846" s="40"/>
      <c r="P1846" s="40"/>
      <c r="Q1846" s="40"/>
      <c r="R1846" s="40"/>
    </row>
    <row r="1847" spans="1:18" x14ac:dyDescent="0.2">
      <c r="A1847" s="41">
        <v>43195</v>
      </c>
      <c r="B1847" s="40">
        <v>17.27</v>
      </c>
      <c r="C1847" s="40">
        <v>17.54</v>
      </c>
      <c r="D1847" s="40">
        <v>13.78</v>
      </c>
      <c r="E1847" s="40">
        <v>13.86</v>
      </c>
      <c r="K1847" s="40"/>
      <c r="P1847" s="40"/>
      <c r="Q1847" s="40"/>
      <c r="R1847" s="40"/>
    </row>
    <row r="1848" spans="1:18" x14ac:dyDescent="0.2">
      <c r="A1848" s="41">
        <v>43286</v>
      </c>
      <c r="B1848" s="40">
        <v>15.68</v>
      </c>
      <c r="C1848" s="40">
        <v>15.68</v>
      </c>
      <c r="D1848" s="40">
        <v>14.09</v>
      </c>
      <c r="E1848" s="40">
        <v>14.22</v>
      </c>
      <c r="K1848" s="40"/>
      <c r="P1848" s="40"/>
      <c r="Q1848" s="40"/>
      <c r="R1848" s="40"/>
    </row>
    <row r="1849" spans="1:18" x14ac:dyDescent="0.2">
      <c r="A1849" s="41">
        <v>43317</v>
      </c>
      <c r="B1849" s="40">
        <v>14.72</v>
      </c>
      <c r="C1849" s="40">
        <v>15.35</v>
      </c>
      <c r="D1849" s="40">
        <v>13.94</v>
      </c>
      <c r="E1849" s="40">
        <v>13.98</v>
      </c>
      <c r="K1849" s="40"/>
      <c r="P1849" s="40"/>
      <c r="Q1849" s="40"/>
      <c r="R1849" s="40"/>
    </row>
    <row r="1850" spans="1:18" x14ac:dyDescent="0.2">
      <c r="A1850" s="41">
        <v>43348</v>
      </c>
      <c r="B1850" s="40">
        <v>13.95</v>
      </c>
      <c r="C1850" s="40">
        <v>14.15</v>
      </c>
      <c r="D1850" s="40">
        <v>12</v>
      </c>
      <c r="E1850" s="40">
        <v>12.13</v>
      </c>
      <c r="K1850" s="40"/>
      <c r="P1850" s="40"/>
      <c r="Q1850" s="40"/>
      <c r="R1850" s="40"/>
    </row>
    <row r="1851" spans="1:18" x14ac:dyDescent="0.2">
      <c r="A1851" s="41">
        <v>43378</v>
      </c>
      <c r="B1851" s="40">
        <v>12.36</v>
      </c>
      <c r="C1851" s="40">
        <v>12.56</v>
      </c>
      <c r="D1851" s="40">
        <v>11.93</v>
      </c>
      <c r="E1851" s="40">
        <v>12.43</v>
      </c>
      <c r="K1851" s="40"/>
      <c r="P1851" s="40"/>
      <c r="Q1851" s="40"/>
      <c r="R1851" s="40"/>
    </row>
    <row r="1852" spans="1:18" x14ac:dyDescent="0.2">
      <c r="A1852" s="41">
        <v>43409</v>
      </c>
      <c r="B1852" s="40">
        <v>12.64</v>
      </c>
      <c r="C1852" s="40">
        <v>12.65</v>
      </c>
      <c r="D1852" s="40">
        <v>11.24</v>
      </c>
      <c r="E1852" s="40">
        <v>11.24</v>
      </c>
      <c r="K1852" s="40"/>
      <c r="P1852" s="40"/>
      <c r="Q1852" s="40"/>
      <c r="R1852" s="40"/>
    </row>
    <row r="1853" spans="1:18" x14ac:dyDescent="0.2">
      <c r="A1853" s="40" t="s">
        <v>1865</v>
      </c>
      <c r="B1853" s="40">
        <v>12.61</v>
      </c>
      <c r="C1853" s="40">
        <v>12.86</v>
      </c>
      <c r="D1853" s="40">
        <v>11.92</v>
      </c>
      <c r="E1853" s="40">
        <v>11.92</v>
      </c>
      <c r="K1853" s="40"/>
      <c r="P1853" s="40"/>
      <c r="Q1853" s="40"/>
      <c r="R1853" s="40"/>
    </row>
    <row r="1854" spans="1:18" x14ac:dyDescent="0.2">
      <c r="A1854" s="40" t="s">
        <v>1866</v>
      </c>
      <c r="B1854" s="40">
        <v>13.28</v>
      </c>
      <c r="C1854" s="40">
        <v>14.92</v>
      </c>
      <c r="D1854" s="40">
        <v>13.28</v>
      </c>
      <c r="E1854" s="40">
        <v>14.29</v>
      </c>
      <c r="K1854" s="40"/>
      <c r="P1854" s="40"/>
      <c r="Q1854" s="40"/>
      <c r="R1854" s="40"/>
    </row>
    <row r="1855" spans="1:18" x14ac:dyDescent="0.2">
      <c r="A1855" s="40" t="s">
        <v>1867</v>
      </c>
      <c r="B1855" s="40">
        <v>13.69</v>
      </c>
      <c r="C1855" s="40">
        <v>13.78</v>
      </c>
      <c r="D1855" s="40">
        <v>12.34</v>
      </c>
      <c r="E1855" s="40">
        <v>12.36</v>
      </c>
      <c r="K1855" s="40"/>
      <c r="P1855" s="40"/>
      <c r="Q1855" s="40"/>
      <c r="R1855" s="40"/>
    </row>
    <row r="1856" spans="1:18" x14ac:dyDescent="0.2">
      <c r="A1856" s="40" t="s">
        <v>1868</v>
      </c>
      <c r="B1856" s="40">
        <v>12.5</v>
      </c>
      <c r="C1856" s="40">
        <v>12.82</v>
      </c>
      <c r="D1856" s="40">
        <v>11.51</v>
      </c>
      <c r="E1856" s="40">
        <v>12.02</v>
      </c>
      <c r="K1856" s="40"/>
      <c r="P1856" s="40"/>
      <c r="Q1856" s="40"/>
      <c r="R1856" s="40"/>
    </row>
    <row r="1857" spans="1:18" x14ac:dyDescent="0.2">
      <c r="A1857" s="40" t="s">
        <v>1869</v>
      </c>
      <c r="B1857" s="40">
        <v>12.49</v>
      </c>
      <c r="C1857" s="40">
        <v>12.54</v>
      </c>
      <c r="D1857" s="40">
        <v>11.31</v>
      </c>
      <c r="E1857" s="40">
        <v>11.48</v>
      </c>
      <c r="K1857" s="40"/>
      <c r="P1857" s="40"/>
      <c r="Q1857" s="40"/>
      <c r="R1857" s="40"/>
    </row>
    <row r="1858" spans="1:18" x14ac:dyDescent="0.2">
      <c r="A1858" s="40" t="s">
        <v>1870</v>
      </c>
      <c r="B1858" s="40">
        <v>11.68</v>
      </c>
      <c r="C1858" s="40">
        <v>12.3</v>
      </c>
      <c r="D1858" s="40">
        <v>11.37</v>
      </c>
      <c r="E1858" s="40">
        <v>11.37</v>
      </c>
      <c r="K1858" s="40"/>
      <c r="P1858" s="40"/>
      <c r="Q1858" s="40"/>
      <c r="R1858" s="40"/>
    </row>
    <row r="1859" spans="1:18" x14ac:dyDescent="0.2">
      <c r="A1859" s="40" t="s">
        <v>1871</v>
      </c>
      <c r="B1859" s="40">
        <v>11.26</v>
      </c>
      <c r="C1859" s="40">
        <v>11.31</v>
      </c>
      <c r="D1859" s="40">
        <v>10.62</v>
      </c>
      <c r="E1859" s="40">
        <v>10.92</v>
      </c>
      <c r="K1859" s="40"/>
      <c r="P1859" s="40"/>
      <c r="Q1859" s="40"/>
      <c r="R1859" s="40"/>
    </row>
    <row r="1860" spans="1:18" x14ac:dyDescent="0.2">
      <c r="A1860" s="40" t="s">
        <v>1872</v>
      </c>
      <c r="B1860" s="40">
        <v>12.48</v>
      </c>
      <c r="C1860" s="40">
        <v>12.6</v>
      </c>
      <c r="D1860" s="40">
        <v>9.98</v>
      </c>
      <c r="E1860" s="40">
        <v>10.06</v>
      </c>
      <c r="K1860" s="40"/>
      <c r="P1860" s="40"/>
      <c r="Q1860" s="40"/>
      <c r="R1860" s="40"/>
    </row>
    <row r="1861" spans="1:18" x14ac:dyDescent="0.2">
      <c r="A1861" s="40" t="s">
        <v>1873</v>
      </c>
      <c r="B1861" s="40">
        <v>10.85</v>
      </c>
      <c r="C1861" s="40">
        <v>12.74</v>
      </c>
      <c r="D1861" s="40">
        <v>10.29</v>
      </c>
      <c r="E1861" s="40">
        <v>10.33</v>
      </c>
      <c r="K1861" s="40"/>
      <c r="P1861" s="40"/>
      <c r="Q1861" s="40"/>
      <c r="R1861" s="40"/>
    </row>
    <row r="1862" spans="1:18" x14ac:dyDescent="0.2">
      <c r="A1862" s="40" t="s">
        <v>1874</v>
      </c>
      <c r="B1862" s="40">
        <v>11.44</v>
      </c>
      <c r="C1862" s="40">
        <v>11.83</v>
      </c>
      <c r="D1862" s="40">
        <v>10.81</v>
      </c>
      <c r="E1862" s="40">
        <v>11.46</v>
      </c>
      <c r="K1862" s="40"/>
      <c r="P1862" s="40"/>
      <c r="Q1862" s="40"/>
      <c r="R1862" s="40"/>
    </row>
    <row r="1863" spans="1:18" x14ac:dyDescent="0.2">
      <c r="A1863" s="40" t="s">
        <v>1875</v>
      </c>
      <c r="B1863" s="40">
        <v>15.83</v>
      </c>
      <c r="C1863" s="40">
        <v>19.760000000000002</v>
      </c>
      <c r="D1863" s="40">
        <v>14.19</v>
      </c>
      <c r="E1863" s="40">
        <v>17.239999999999998</v>
      </c>
      <c r="K1863" s="40"/>
      <c r="P1863" s="40"/>
      <c r="Q1863" s="40"/>
      <c r="R1863" s="40"/>
    </row>
    <row r="1864" spans="1:18" x14ac:dyDescent="0.2">
      <c r="A1864" s="40" t="s">
        <v>1876</v>
      </c>
      <c r="B1864" s="40">
        <v>16.010000000000002</v>
      </c>
      <c r="C1864" s="40">
        <v>16.04</v>
      </c>
      <c r="D1864" s="40">
        <v>13.1</v>
      </c>
      <c r="E1864" s="40">
        <v>13.26</v>
      </c>
      <c r="K1864" s="40"/>
      <c r="P1864" s="40"/>
      <c r="Q1864" s="40"/>
      <c r="R1864" s="40"/>
    </row>
    <row r="1865" spans="1:18" x14ac:dyDescent="0.2">
      <c r="A1865" s="40" t="s">
        <v>1877</v>
      </c>
      <c r="B1865" s="40">
        <v>14.09</v>
      </c>
      <c r="C1865" s="40">
        <v>15.26</v>
      </c>
      <c r="D1865" s="40">
        <v>13.15</v>
      </c>
      <c r="E1865" s="40">
        <v>14.12</v>
      </c>
      <c r="K1865" s="40"/>
      <c r="P1865" s="40"/>
      <c r="Q1865" s="40"/>
      <c r="R1865" s="40"/>
    </row>
    <row r="1866" spans="1:18" x14ac:dyDescent="0.2">
      <c r="A1866" s="41">
        <v>43106</v>
      </c>
      <c r="B1866" s="40">
        <v>12.59</v>
      </c>
      <c r="C1866" s="40">
        <v>12.61</v>
      </c>
      <c r="D1866" s="40">
        <v>11.32</v>
      </c>
      <c r="E1866" s="40">
        <v>11.44</v>
      </c>
      <c r="K1866" s="40"/>
      <c r="P1866" s="40"/>
      <c r="Q1866" s="40"/>
      <c r="R1866" s="40"/>
    </row>
    <row r="1867" spans="1:18" x14ac:dyDescent="0.2">
      <c r="A1867" s="41">
        <v>43196</v>
      </c>
      <c r="B1867" s="40">
        <v>13.03</v>
      </c>
      <c r="C1867" s="40">
        <v>13.06</v>
      </c>
      <c r="D1867" s="40">
        <v>11.92</v>
      </c>
      <c r="E1867" s="40">
        <v>12.02</v>
      </c>
      <c r="K1867" s="40"/>
      <c r="P1867" s="40"/>
      <c r="Q1867" s="40"/>
      <c r="R1867" s="40"/>
    </row>
    <row r="1868" spans="1:18" x14ac:dyDescent="0.2">
      <c r="A1868" s="41">
        <v>43226</v>
      </c>
      <c r="B1868" s="40">
        <v>12.02</v>
      </c>
      <c r="C1868" s="40">
        <v>12.73</v>
      </c>
      <c r="D1868" s="40">
        <v>11.5</v>
      </c>
      <c r="E1868" s="40">
        <v>11.68</v>
      </c>
      <c r="K1868" s="40"/>
      <c r="P1868" s="40"/>
      <c r="Q1868" s="40"/>
      <c r="R1868" s="40"/>
    </row>
    <row r="1869" spans="1:18" x14ac:dyDescent="0.2">
      <c r="A1869" s="41">
        <v>43257</v>
      </c>
      <c r="B1869" s="40">
        <v>11.69</v>
      </c>
      <c r="C1869" s="40">
        <v>11.95</v>
      </c>
      <c r="D1869" s="40">
        <v>11.01</v>
      </c>
      <c r="E1869" s="40">
        <v>11.03</v>
      </c>
      <c r="K1869" s="40"/>
      <c r="P1869" s="40"/>
      <c r="Q1869" s="40"/>
      <c r="R1869" s="40"/>
    </row>
    <row r="1870" spans="1:18" x14ac:dyDescent="0.2">
      <c r="A1870" s="41">
        <v>43287</v>
      </c>
      <c r="B1870" s="40">
        <v>11.42</v>
      </c>
      <c r="C1870" s="40">
        <v>13.35</v>
      </c>
      <c r="D1870" s="40">
        <v>11.37</v>
      </c>
      <c r="E1870" s="40">
        <v>11.9</v>
      </c>
      <c r="K1870" s="40"/>
      <c r="P1870" s="40"/>
      <c r="Q1870" s="40"/>
      <c r="R1870" s="40"/>
    </row>
    <row r="1871" spans="1:18" x14ac:dyDescent="0.2">
      <c r="A1871" s="41">
        <v>43318</v>
      </c>
      <c r="B1871" s="40">
        <v>12.95</v>
      </c>
      <c r="C1871" s="40">
        <v>13.17</v>
      </c>
      <c r="D1871" s="40">
        <v>11.43</v>
      </c>
      <c r="E1871" s="40">
        <v>11.56</v>
      </c>
      <c r="K1871" s="40"/>
      <c r="P1871" s="40"/>
      <c r="Q1871" s="40"/>
      <c r="R1871" s="40"/>
    </row>
    <row r="1872" spans="1:18" x14ac:dyDescent="0.2">
      <c r="A1872" s="41">
        <v>43410</v>
      </c>
      <c r="B1872" s="40">
        <v>12.8</v>
      </c>
      <c r="C1872" s="40">
        <v>12.82</v>
      </c>
      <c r="D1872" s="40">
        <v>12.17</v>
      </c>
      <c r="E1872" s="40">
        <v>12.53</v>
      </c>
      <c r="K1872" s="40"/>
      <c r="P1872" s="40"/>
      <c r="Q1872" s="40"/>
      <c r="R1872" s="40"/>
    </row>
    <row r="1873" spans="1:18" x14ac:dyDescent="0.2">
      <c r="A1873" s="41">
        <v>43440</v>
      </c>
      <c r="B1873" s="40">
        <v>12.36</v>
      </c>
      <c r="C1873" s="40">
        <v>12.54</v>
      </c>
      <c r="D1873" s="40">
        <v>11.52</v>
      </c>
      <c r="E1873" s="40">
        <v>12.03</v>
      </c>
      <c r="K1873" s="40"/>
      <c r="P1873" s="40"/>
      <c r="Q1873" s="40"/>
      <c r="R1873" s="40"/>
    </row>
    <row r="1874" spans="1:18" x14ac:dyDescent="0.2">
      <c r="A1874" s="40" t="s">
        <v>1878</v>
      </c>
      <c r="B1874" s="40">
        <v>11.58</v>
      </c>
      <c r="C1874" s="40">
        <v>12.69</v>
      </c>
      <c r="D1874" s="40">
        <v>11.43</v>
      </c>
      <c r="E1874" s="40">
        <v>12.66</v>
      </c>
      <c r="K1874" s="40"/>
      <c r="P1874" s="40"/>
      <c r="Q1874" s="40"/>
      <c r="R1874" s="40"/>
    </row>
    <row r="1875" spans="1:18" x14ac:dyDescent="0.2">
      <c r="A1875" s="40" t="s">
        <v>1879</v>
      </c>
      <c r="B1875" s="40">
        <v>12.95</v>
      </c>
      <c r="C1875" s="40">
        <v>13.17</v>
      </c>
      <c r="D1875" s="40">
        <v>11.43</v>
      </c>
      <c r="E1875" s="40">
        <v>11.56</v>
      </c>
      <c r="K1875" s="40"/>
      <c r="P1875" s="40"/>
      <c r="Q1875" s="40"/>
      <c r="R1875" s="40"/>
    </row>
    <row r="1876" spans="1:18" x14ac:dyDescent="0.2">
      <c r="A1876" s="40" t="s">
        <v>1880</v>
      </c>
      <c r="B1876" s="40">
        <v>11.82</v>
      </c>
      <c r="C1876" s="40">
        <v>12.49</v>
      </c>
      <c r="D1876" s="40">
        <v>10.82</v>
      </c>
      <c r="E1876" s="40">
        <v>10.84</v>
      </c>
      <c r="K1876" s="40"/>
      <c r="P1876" s="40"/>
      <c r="Q1876" s="40"/>
      <c r="R1876" s="40"/>
    </row>
    <row r="1877" spans="1:18" x14ac:dyDescent="0.2">
      <c r="A1877" s="40" t="s">
        <v>1881</v>
      </c>
      <c r="B1877" s="40">
        <v>13.72</v>
      </c>
      <c r="C1877" s="40">
        <v>14.07</v>
      </c>
      <c r="D1877" s="40">
        <v>11.64</v>
      </c>
      <c r="E1877" s="40">
        <v>11.69</v>
      </c>
      <c r="K1877" s="40"/>
      <c r="P1877" s="40"/>
      <c r="Q1877" s="40"/>
      <c r="R1877" s="40"/>
    </row>
    <row r="1878" spans="1:18" x14ac:dyDescent="0.2">
      <c r="A1878" s="40" t="s">
        <v>1882</v>
      </c>
      <c r="B1878" s="40">
        <v>15.02</v>
      </c>
      <c r="C1878" s="40">
        <v>15.05</v>
      </c>
      <c r="D1878" s="40">
        <v>12.85</v>
      </c>
      <c r="E1878" s="40">
        <v>12.97</v>
      </c>
      <c r="K1878" s="40"/>
      <c r="P1878" s="40"/>
      <c r="Q1878" s="40"/>
      <c r="R1878" s="40"/>
    </row>
    <row r="1879" spans="1:18" x14ac:dyDescent="0.2">
      <c r="A1879" s="40" t="s">
        <v>1883</v>
      </c>
      <c r="B1879" s="40">
        <v>11.82</v>
      </c>
      <c r="C1879" s="40">
        <v>12.48</v>
      </c>
      <c r="D1879" s="40">
        <v>11.59</v>
      </c>
      <c r="E1879" s="40">
        <v>12.16</v>
      </c>
      <c r="K1879" s="40"/>
      <c r="P1879" s="40"/>
      <c r="Q1879" s="40"/>
      <c r="R1879" s="40"/>
    </row>
    <row r="1880" spans="1:18" x14ac:dyDescent="0.2">
      <c r="A1880" s="40" t="s">
        <v>1884</v>
      </c>
      <c r="B1880" s="40">
        <v>12.71</v>
      </c>
      <c r="C1880" s="40">
        <v>15.48</v>
      </c>
      <c r="D1880" s="40">
        <v>12.67</v>
      </c>
      <c r="E1880" s="40">
        <v>14.56</v>
      </c>
      <c r="K1880" s="40"/>
      <c r="P1880" s="40"/>
      <c r="Q1880" s="40"/>
      <c r="R1880" s="40"/>
    </row>
    <row r="1881" spans="1:18" x14ac:dyDescent="0.2">
      <c r="A1881" s="40" t="s">
        <v>1885</v>
      </c>
      <c r="B1881" s="40">
        <v>12.36</v>
      </c>
      <c r="C1881" s="40">
        <v>13.05</v>
      </c>
      <c r="D1881" s="40">
        <v>11.96</v>
      </c>
      <c r="E1881" s="40">
        <v>12.16</v>
      </c>
      <c r="K1881" s="40"/>
      <c r="P1881" s="40"/>
      <c r="Q1881" s="40"/>
      <c r="R1881" s="40"/>
    </row>
    <row r="1882" spans="1:18" x14ac:dyDescent="0.2">
      <c r="A1882" s="40" t="s">
        <v>1886</v>
      </c>
      <c r="B1882" s="40">
        <v>14.49</v>
      </c>
      <c r="C1882" s="40">
        <v>20.72</v>
      </c>
      <c r="D1882" s="40">
        <v>14.34</v>
      </c>
      <c r="E1882" s="40">
        <v>17.68</v>
      </c>
      <c r="K1882" s="40"/>
      <c r="P1882" s="40"/>
      <c r="Q1882" s="40"/>
      <c r="R1882" s="40"/>
    </row>
    <row r="1883" spans="1:18" x14ac:dyDescent="0.2">
      <c r="A1883" s="40" t="s">
        <v>1887</v>
      </c>
      <c r="B1883" s="40">
        <v>16.61</v>
      </c>
      <c r="C1883" s="40">
        <v>17.170000000000002</v>
      </c>
      <c r="D1883" s="40">
        <v>14</v>
      </c>
      <c r="E1883" s="40">
        <v>15.16</v>
      </c>
      <c r="K1883" s="40"/>
      <c r="P1883" s="40"/>
      <c r="Q1883" s="40"/>
      <c r="R1883" s="40"/>
    </row>
    <row r="1884" spans="1:18" x14ac:dyDescent="0.2">
      <c r="A1884" s="40" t="s">
        <v>1888</v>
      </c>
      <c r="B1884" s="40">
        <v>14.63</v>
      </c>
      <c r="C1884" s="40">
        <v>18.5</v>
      </c>
      <c r="D1884" s="40">
        <v>13.3</v>
      </c>
      <c r="E1884" s="40">
        <v>17.91</v>
      </c>
      <c r="K1884" s="40"/>
      <c r="P1884" s="40"/>
      <c r="Q1884" s="40"/>
      <c r="R1884" s="40"/>
    </row>
    <row r="1885" spans="1:18" x14ac:dyDescent="0.2">
      <c r="A1885" s="40" t="s">
        <v>1889</v>
      </c>
      <c r="B1885" s="40">
        <v>18.29</v>
      </c>
      <c r="C1885" s="40">
        <v>19.02</v>
      </c>
      <c r="D1885" s="40">
        <v>15.29</v>
      </c>
      <c r="E1885" s="40">
        <v>15.83</v>
      </c>
      <c r="K1885" s="40"/>
      <c r="P1885" s="40"/>
      <c r="Q1885" s="40"/>
      <c r="R1885" s="40"/>
    </row>
    <row r="1886" spans="1:18" x14ac:dyDescent="0.2">
      <c r="A1886" s="40" t="s">
        <v>1890</v>
      </c>
      <c r="B1886" s="40">
        <v>14.74</v>
      </c>
      <c r="C1886" s="40">
        <v>15.17</v>
      </c>
      <c r="D1886" s="40">
        <v>12.98</v>
      </c>
      <c r="E1886" s="40">
        <v>14.93</v>
      </c>
      <c r="K1886" s="40"/>
      <c r="P1886" s="40"/>
      <c r="Q1886" s="40"/>
      <c r="R1886" s="40"/>
    </row>
    <row r="1887" spans="1:18" x14ac:dyDescent="0.2">
      <c r="A1887" s="41">
        <v>43138</v>
      </c>
      <c r="B1887" s="40">
        <v>17.989999999999998</v>
      </c>
      <c r="C1887" s="40">
        <v>18.25</v>
      </c>
      <c r="D1887" s="40">
        <v>14.36</v>
      </c>
      <c r="E1887" s="40">
        <v>14.42</v>
      </c>
      <c r="K1887" s="40"/>
      <c r="P1887" s="40"/>
      <c r="Q1887" s="40"/>
      <c r="R1887" s="40"/>
    </row>
    <row r="1888" spans="1:18" x14ac:dyDescent="0.2">
      <c r="A1888" s="41">
        <v>43166</v>
      </c>
      <c r="B1888" s="40">
        <v>14.16</v>
      </c>
      <c r="C1888" s="40">
        <v>15.48</v>
      </c>
      <c r="D1888" s="40">
        <v>13.53</v>
      </c>
      <c r="E1888" s="40">
        <v>15.17</v>
      </c>
      <c r="K1888" s="40"/>
      <c r="P1888" s="40"/>
      <c r="Q1888" s="40"/>
      <c r="R1888" s="40"/>
    </row>
    <row r="1889" spans="1:18" x14ac:dyDescent="0.2">
      <c r="A1889" s="41">
        <v>43227</v>
      </c>
      <c r="B1889" s="40">
        <v>14.27</v>
      </c>
      <c r="C1889" s="40">
        <v>15.63</v>
      </c>
      <c r="D1889" s="40">
        <v>14.08</v>
      </c>
      <c r="E1889" s="40">
        <v>14.14</v>
      </c>
      <c r="K1889" s="40"/>
      <c r="P1889" s="40"/>
      <c r="Q1889" s="40"/>
      <c r="R1889" s="40"/>
    </row>
    <row r="1890" spans="1:18" x14ac:dyDescent="0.2">
      <c r="A1890" s="41">
        <v>43258</v>
      </c>
      <c r="B1890" s="40">
        <v>14</v>
      </c>
      <c r="C1890" s="40">
        <v>14.16</v>
      </c>
      <c r="D1890" s="40">
        <v>11.42</v>
      </c>
      <c r="E1890" s="40">
        <v>11.49</v>
      </c>
      <c r="K1890" s="40"/>
      <c r="P1890" s="40"/>
      <c r="Q1890" s="40"/>
      <c r="R1890" s="40"/>
    </row>
    <row r="1891" spans="1:18" x14ac:dyDescent="0.2">
      <c r="A1891" s="41">
        <v>43350</v>
      </c>
      <c r="B1891" s="40">
        <v>11.98</v>
      </c>
      <c r="C1891" s="40">
        <v>12.02</v>
      </c>
      <c r="D1891" s="40">
        <v>10.79</v>
      </c>
      <c r="E1891" s="40">
        <v>10.79</v>
      </c>
      <c r="K1891" s="40"/>
      <c r="P1891" s="40"/>
      <c r="Q1891" s="40"/>
      <c r="R1891" s="40"/>
    </row>
    <row r="1892" spans="1:18" x14ac:dyDescent="0.2">
      <c r="A1892" s="41">
        <v>43380</v>
      </c>
      <c r="B1892" s="40">
        <v>10.56</v>
      </c>
      <c r="C1892" s="40">
        <v>11.5</v>
      </c>
      <c r="D1892" s="40">
        <v>10.36</v>
      </c>
      <c r="E1892" s="40">
        <v>10.66</v>
      </c>
      <c r="K1892" s="40"/>
      <c r="P1892" s="40"/>
      <c r="Q1892" s="40"/>
      <c r="R1892" s="40"/>
    </row>
    <row r="1893" spans="1:18" x14ac:dyDescent="0.2">
      <c r="A1893" s="41">
        <v>43411</v>
      </c>
      <c r="B1893" s="40">
        <v>12.54</v>
      </c>
      <c r="C1893" s="40">
        <v>12.6</v>
      </c>
      <c r="D1893" s="40">
        <v>11.42</v>
      </c>
      <c r="E1893" s="40">
        <v>11.8</v>
      </c>
      <c r="K1893" s="40"/>
      <c r="P1893" s="40"/>
      <c r="Q1893" s="40"/>
      <c r="R1893" s="40"/>
    </row>
    <row r="1894" spans="1:18" x14ac:dyDescent="0.2">
      <c r="A1894" s="41">
        <v>43441</v>
      </c>
      <c r="B1894" s="40">
        <v>11.31</v>
      </c>
      <c r="C1894" s="40">
        <v>11.72</v>
      </c>
      <c r="D1894" s="40">
        <v>10.33</v>
      </c>
      <c r="E1894" s="40">
        <v>10.6</v>
      </c>
      <c r="K1894" s="40"/>
      <c r="P1894" s="40"/>
      <c r="Q1894" s="40"/>
      <c r="R1894" s="40"/>
    </row>
    <row r="1895" spans="1:18" x14ac:dyDescent="0.2">
      <c r="A1895" s="40" t="s">
        <v>1891</v>
      </c>
      <c r="B1895" s="40">
        <v>10.8</v>
      </c>
      <c r="C1895" s="40">
        <v>11.01</v>
      </c>
      <c r="D1895" s="40">
        <v>9.94</v>
      </c>
      <c r="E1895" s="40">
        <v>10.07</v>
      </c>
      <c r="K1895" s="40"/>
      <c r="P1895" s="40"/>
      <c r="Q1895" s="40"/>
      <c r="R1895" s="40"/>
    </row>
    <row r="1896" spans="1:18" x14ac:dyDescent="0.2">
      <c r="A1896" s="40" t="s">
        <v>1892</v>
      </c>
      <c r="B1896" s="40">
        <v>11.48</v>
      </c>
      <c r="C1896" s="40">
        <v>11.8</v>
      </c>
      <c r="D1896" s="40">
        <v>11.18</v>
      </c>
      <c r="E1896" s="40">
        <v>11.5</v>
      </c>
      <c r="K1896" s="40"/>
      <c r="P1896" s="40"/>
      <c r="Q1896" s="40"/>
      <c r="R1896" s="40"/>
    </row>
    <row r="1897" spans="1:18" x14ac:dyDescent="0.2">
      <c r="A1897" s="40" t="s">
        <v>1893</v>
      </c>
      <c r="B1897" s="40">
        <v>12.18</v>
      </c>
      <c r="C1897" s="40">
        <v>12.18</v>
      </c>
      <c r="D1897" s="40">
        <v>10.32</v>
      </c>
      <c r="E1897" s="40">
        <v>10.56</v>
      </c>
      <c r="K1897" s="40"/>
      <c r="P1897" s="40"/>
      <c r="Q1897" s="40"/>
      <c r="R1897" s="40"/>
    </row>
    <row r="1898" spans="1:18" x14ac:dyDescent="0.2">
      <c r="A1898" s="40" t="s">
        <v>1894</v>
      </c>
      <c r="B1898" s="40">
        <v>10.8</v>
      </c>
      <c r="C1898" s="40">
        <v>10.89</v>
      </c>
      <c r="D1898" s="40">
        <v>9.76</v>
      </c>
      <c r="E1898" s="40">
        <v>10.029999999999999</v>
      </c>
      <c r="K1898" s="40"/>
      <c r="P1898" s="40"/>
      <c r="Q1898" s="40"/>
      <c r="R1898" s="40"/>
    </row>
    <row r="1899" spans="1:18" x14ac:dyDescent="0.2">
      <c r="A1899" s="40" t="s">
        <v>1895</v>
      </c>
      <c r="B1899" s="40">
        <v>10.88</v>
      </c>
      <c r="C1899" s="40">
        <v>11.38</v>
      </c>
      <c r="D1899" s="40">
        <v>10.44</v>
      </c>
      <c r="E1899" s="40">
        <v>11.15</v>
      </c>
      <c r="K1899" s="40"/>
      <c r="P1899" s="40"/>
      <c r="Q1899" s="40"/>
      <c r="R1899" s="40"/>
    </row>
    <row r="1900" spans="1:18" x14ac:dyDescent="0.2">
      <c r="A1900" s="40" t="s">
        <v>1896</v>
      </c>
      <c r="B1900" s="40">
        <v>11.84</v>
      </c>
      <c r="C1900" s="40">
        <v>11.96</v>
      </c>
      <c r="D1900" s="40">
        <v>10.78</v>
      </c>
      <c r="E1900" s="40">
        <v>11.01</v>
      </c>
      <c r="K1900" s="40"/>
      <c r="P1900" s="40"/>
      <c r="Q1900" s="40"/>
      <c r="R1900" s="40"/>
    </row>
    <row r="1901" spans="1:18" x14ac:dyDescent="0.2">
      <c r="A1901" s="40" t="s">
        <v>1897</v>
      </c>
      <c r="B1901" s="40">
        <v>12.2</v>
      </c>
      <c r="C1901" s="40">
        <v>12.62</v>
      </c>
      <c r="D1901" s="40">
        <v>11.3</v>
      </c>
      <c r="E1901" s="40">
        <v>11.34</v>
      </c>
      <c r="K1901" s="40"/>
      <c r="P1901" s="40"/>
      <c r="Q1901" s="40"/>
      <c r="R1901" s="40"/>
    </row>
    <row r="1902" spans="1:18" x14ac:dyDescent="0.2">
      <c r="A1902" s="40" t="s">
        <v>1898</v>
      </c>
      <c r="B1902" s="40">
        <v>10.79</v>
      </c>
      <c r="C1902" s="40">
        <v>12.25</v>
      </c>
      <c r="D1902" s="40">
        <v>10.58</v>
      </c>
      <c r="E1902" s="40">
        <v>11.15</v>
      </c>
      <c r="K1902" s="40"/>
      <c r="P1902" s="40"/>
      <c r="Q1902" s="40"/>
      <c r="R1902" s="40"/>
    </row>
    <row r="1903" spans="1:18" x14ac:dyDescent="0.2">
      <c r="A1903" s="40" t="s">
        <v>1899</v>
      </c>
      <c r="B1903" s="40">
        <v>11.5</v>
      </c>
      <c r="C1903" s="40">
        <v>11.52</v>
      </c>
      <c r="D1903" s="40">
        <v>10.36</v>
      </c>
      <c r="E1903" s="40">
        <v>11.27</v>
      </c>
      <c r="K1903" s="40"/>
      <c r="P1903" s="40"/>
      <c r="Q1903" s="40"/>
      <c r="R1903" s="40"/>
    </row>
    <row r="1904" spans="1:18" x14ac:dyDescent="0.2">
      <c r="A1904" s="40" t="s">
        <v>1900</v>
      </c>
      <c r="B1904" s="40">
        <v>11.29</v>
      </c>
      <c r="C1904" s="40">
        <v>11.56</v>
      </c>
      <c r="D1904" s="40">
        <v>11.01</v>
      </c>
      <c r="E1904" s="40">
        <v>11.07</v>
      </c>
      <c r="K1904" s="40"/>
      <c r="P1904" s="40"/>
      <c r="Q1904" s="40"/>
      <c r="R1904" s="40"/>
    </row>
    <row r="1905" spans="1:18" x14ac:dyDescent="0.2">
      <c r="A1905" s="40" t="s">
        <v>1901</v>
      </c>
      <c r="B1905" s="40">
        <v>11.33</v>
      </c>
      <c r="C1905" s="40">
        <v>13.92</v>
      </c>
      <c r="D1905" s="40">
        <v>11.14</v>
      </c>
      <c r="E1905" s="40">
        <v>11.59</v>
      </c>
      <c r="K1905" s="40"/>
      <c r="P1905" s="40"/>
      <c r="Q1905" s="40"/>
      <c r="R1905" s="40"/>
    </row>
    <row r="1906" spans="1:18" x14ac:dyDescent="0.2">
      <c r="A1906" s="40" t="s">
        <v>1902</v>
      </c>
      <c r="B1906" s="40">
        <v>12.63</v>
      </c>
      <c r="C1906" s="40">
        <v>14.1</v>
      </c>
      <c r="D1906" s="40">
        <v>12.47</v>
      </c>
      <c r="E1906" s="40">
        <v>13.57</v>
      </c>
      <c r="K1906" s="40"/>
      <c r="P1906" s="40"/>
      <c r="Q1906" s="40"/>
      <c r="R1906" s="40"/>
    </row>
    <row r="1907" spans="1:18" x14ac:dyDescent="0.2">
      <c r="A1907" s="40" t="s">
        <v>1903</v>
      </c>
      <c r="B1907" s="40">
        <v>12.67</v>
      </c>
      <c r="C1907" s="40">
        <v>12.96</v>
      </c>
      <c r="D1907" s="40">
        <v>11.63</v>
      </c>
      <c r="E1907" s="40">
        <v>11.64</v>
      </c>
      <c r="K1907" s="40"/>
      <c r="P1907" s="40"/>
      <c r="Q1907" s="40"/>
      <c r="R1907" s="40"/>
    </row>
    <row r="1908" spans="1:18" x14ac:dyDescent="0.2">
      <c r="A1908" s="41">
        <v>43108</v>
      </c>
      <c r="B1908" s="40">
        <v>11.67</v>
      </c>
      <c r="C1908" s="40">
        <v>13.26</v>
      </c>
      <c r="D1908" s="40">
        <v>11.11</v>
      </c>
      <c r="E1908" s="40">
        <v>12.29</v>
      </c>
      <c r="K1908" s="40"/>
      <c r="P1908" s="40"/>
      <c r="Q1908" s="40"/>
      <c r="R1908" s="40"/>
    </row>
    <row r="1909" spans="1:18" x14ac:dyDescent="0.2">
      <c r="A1909" s="41">
        <v>43139</v>
      </c>
      <c r="B1909" s="40">
        <v>13.94</v>
      </c>
      <c r="C1909" s="40">
        <v>13.94</v>
      </c>
      <c r="D1909" s="40">
        <v>10.38</v>
      </c>
      <c r="E1909" s="40">
        <v>10.51</v>
      </c>
      <c r="K1909" s="40"/>
      <c r="P1909" s="40"/>
      <c r="Q1909" s="40"/>
      <c r="R1909" s="40"/>
    </row>
    <row r="1910" spans="1:18" x14ac:dyDescent="0.2">
      <c r="A1910" s="41">
        <v>43167</v>
      </c>
      <c r="B1910" s="40">
        <v>10.76</v>
      </c>
      <c r="C1910" s="40">
        <v>10.76</v>
      </c>
      <c r="D1910" s="40">
        <v>9.52</v>
      </c>
      <c r="E1910" s="40">
        <v>9.58</v>
      </c>
      <c r="K1910" s="40"/>
      <c r="P1910" s="40"/>
      <c r="Q1910" s="40"/>
      <c r="R1910" s="40"/>
    </row>
    <row r="1911" spans="1:18" x14ac:dyDescent="0.2">
      <c r="A1911" s="41">
        <v>43259</v>
      </c>
      <c r="B1911" s="40">
        <v>10.81</v>
      </c>
      <c r="C1911" s="40">
        <v>10.93</v>
      </c>
      <c r="D1911" s="40">
        <v>9.5</v>
      </c>
      <c r="E1911" s="40">
        <v>9.74</v>
      </c>
      <c r="K1911" s="40"/>
      <c r="P1911" s="40"/>
      <c r="Q1911" s="40"/>
      <c r="R1911" s="40"/>
    </row>
    <row r="1912" spans="1:18" x14ac:dyDescent="0.2">
      <c r="A1912" s="41">
        <v>43289</v>
      </c>
      <c r="B1912" s="40">
        <v>9.5299999999999994</v>
      </c>
      <c r="C1912" s="40">
        <v>9.74</v>
      </c>
      <c r="D1912" s="40">
        <v>9.11</v>
      </c>
      <c r="E1912" s="40">
        <v>9.1300000000000008</v>
      </c>
      <c r="K1912" s="40"/>
      <c r="P1912" s="40"/>
      <c r="Q1912" s="40"/>
      <c r="R1912" s="40"/>
    </row>
    <row r="1913" spans="1:18" x14ac:dyDescent="0.2">
      <c r="A1913" s="41">
        <v>43320</v>
      </c>
      <c r="B1913" s="40">
        <v>9.35</v>
      </c>
      <c r="C1913" s="40">
        <v>9.67</v>
      </c>
      <c r="D1913" s="40">
        <v>8.56</v>
      </c>
      <c r="E1913" s="40">
        <v>8.86</v>
      </c>
      <c r="K1913" s="40"/>
      <c r="P1913" s="40"/>
      <c r="Q1913" s="40"/>
      <c r="R1913" s="40"/>
    </row>
    <row r="1914" spans="1:18" x14ac:dyDescent="0.2">
      <c r="A1914" s="41">
        <v>43351</v>
      </c>
      <c r="B1914" s="40">
        <v>9.19</v>
      </c>
      <c r="C1914" s="40">
        <v>9.52</v>
      </c>
      <c r="D1914" s="40">
        <v>8.6300000000000008</v>
      </c>
      <c r="E1914" s="40">
        <v>9.4600000000000009</v>
      </c>
      <c r="K1914" s="40"/>
      <c r="P1914" s="40"/>
      <c r="Q1914" s="40"/>
      <c r="R1914" s="40"/>
    </row>
    <row r="1915" spans="1:18" x14ac:dyDescent="0.2">
      <c r="A1915" s="41">
        <v>43381</v>
      </c>
      <c r="B1915" s="40">
        <v>11.85</v>
      </c>
      <c r="C1915" s="40">
        <v>13.97</v>
      </c>
      <c r="D1915" s="40">
        <v>11.42</v>
      </c>
      <c r="E1915" s="40">
        <v>13.09</v>
      </c>
      <c r="K1915" s="40"/>
      <c r="P1915" s="40"/>
      <c r="Q1915" s="40"/>
      <c r="R1915" s="40"/>
    </row>
    <row r="1916" spans="1:18" x14ac:dyDescent="0.2">
      <c r="A1916" s="40" t="s">
        <v>1904</v>
      </c>
      <c r="B1916" s="40">
        <v>14.05</v>
      </c>
      <c r="C1916" s="40">
        <v>15.97</v>
      </c>
      <c r="D1916" s="40">
        <v>12.8</v>
      </c>
      <c r="E1916" s="40">
        <v>15.34</v>
      </c>
      <c r="K1916" s="40"/>
      <c r="P1916" s="40"/>
      <c r="Q1916" s="40"/>
      <c r="R1916" s="40"/>
    </row>
    <row r="1917" spans="1:18" x14ac:dyDescent="0.2">
      <c r="A1917" s="40" t="s">
        <v>1905</v>
      </c>
      <c r="B1917" s="40">
        <v>13.7</v>
      </c>
      <c r="C1917" s="40">
        <v>14.16</v>
      </c>
      <c r="D1917" s="40">
        <v>12.27</v>
      </c>
      <c r="E1917" s="40">
        <v>12.62</v>
      </c>
      <c r="K1917" s="40"/>
      <c r="P1917" s="40"/>
      <c r="Q1917" s="40"/>
      <c r="R1917" s="40"/>
    </row>
    <row r="1918" spans="1:18" x14ac:dyDescent="0.2">
      <c r="A1918" s="40" t="s">
        <v>1906</v>
      </c>
      <c r="B1918" s="40">
        <v>14.84</v>
      </c>
      <c r="C1918" s="40">
        <v>18.170000000000002</v>
      </c>
      <c r="D1918" s="40">
        <v>14.39</v>
      </c>
      <c r="E1918" s="40">
        <v>15.01</v>
      </c>
      <c r="K1918" s="40"/>
      <c r="P1918" s="40"/>
      <c r="Q1918" s="40"/>
      <c r="R1918" s="40"/>
    </row>
    <row r="1919" spans="1:18" x14ac:dyDescent="0.2">
      <c r="A1919" s="40" t="s">
        <v>1907</v>
      </c>
      <c r="B1919" s="40">
        <v>12.97</v>
      </c>
      <c r="C1919" s="40">
        <v>13.37</v>
      </c>
      <c r="D1919" s="40">
        <v>11.85</v>
      </c>
      <c r="E1919" s="40">
        <v>12.92</v>
      </c>
      <c r="K1919" s="40"/>
      <c r="P1919" s="40"/>
      <c r="Q1919" s="40"/>
      <c r="R1919" s="40"/>
    </row>
    <row r="1920" spans="1:18" x14ac:dyDescent="0.2">
      <c r="A1920" s="40" t="s">
        <v>1908</v>
      </c>
      <c r="B1920" s="40">
        <v>13.21</v>
      </c>
      <c r="C1920" s="40">
        <v>13.79</v>
      </c>
      <c r="D1920" s="40">
        <v>11.5</v>
      </c>
      <c r="E1920" s="40">
        <v>11.57</v>
      </c>
      <c r="K1920" s="40"/>
      <c r="P1920" s="40"/>
      <c r="Q1920" s="40"/>
      <c r="R1920" s="40"/>
    </row>
    <row r="1921" spans="1:18" x14ac:dyDescent="0.2">
      <c r="A1921" s="40" t="s">
        <v>1909</v>
      </c>
      <c r="B1921" s="40">
        <v>12.11</v>
      </c>
      <c r="C1921" s="40">
        <v>12.32</v>
      </c>
      <c r="D1921" s="40">
        <v>11.33</v>
      </c>
      <c r="E1921" s="40">
        <v>11.42</v>
      </c>
      <c r="K1921" s="40"/>
      <c r="P1921" s="40"/>
      <c r="Q1921" s="40"/>
      <c r="R1921" s="40"/>
    </row>
    <row r="1922" spans="1:18" x14ac:dyDescent="0.2">
      <c r="A1922" s="40" t="s">
        <v>1910</v>
      </c>
      <c r="B1922" s="40">
        <v>11.14</v>
      </c>
      <c r="C1922" s="40">
        <v>11.58</v>
      </c>
      <c r="D1922" s="40">
        <v>10.75</v>
      </c>
      <c r="E1922" s="40">
        <v>11.55</v>
      </c>
      <c r="K1922" s="40"/>
      <c r="P1922" s="40"/>
      <c r="Q1922" s="40"/>
      <c r="R1922" s="40"/>
    </row>
    <row r="1923" spans="1:18" x14ac:dyDescent="0.2">
      <c r="A1923" s="40" t="s">
        <v>1911</v>
      </c>
      <c r="B1923" s="40">
        <v>12.03</v>
      </c>
      <c r="C1923" s="40">
        <v>12.11</v>
      </c>
      <c r="D1923" s="40">
        <v>10.33</v>
      </c>
      <c r="E1923" s="40">
        <v>10.77</v>
      </c>
      <c r="K1923" s="40"/>
      <c r="P1923" s="40"/>
      <c r="Q1923" s="40"/>
      <c r="R1923" s="40"/>
    </row>
    <row r="1924" spans="1:18" x14ac:dyDescent="0.2">
      <c r="A1924" s="40" t="s">
        <v>1912</v>
      </c>
      <c r="B1924" s="40">
        <v>10.96</v>
      </c>
      <c r="C1924" s="40">
        <v>11.64</v>
      </c>
      <c r="D1924" s="40">
        <v>10.050000000000001</v>
      </c>
      <c r="E1924" s="40">
        <v>10.8</v>
      </c>
      <c r="K1924" s="40"/>
      <c r="P1924" s="40"/>
      <c r="Q1924" s="40"/>
      <c r="R1924" s="40"/>
    </row>
    <row r="1925" spans="1:18" x14ac:dyDescent="0.2">
      <c r="A1925" s="40" t="s">
        <v>1913</v>
      </c>
      <c r="B1925" s="40">
        <v>10.32</v>
      </c>
      <c r="C1925" s="40">
        <v>10.58</v>
      </c>
      <c r="D1925" s="40">
        <v>9.8699999999999992</v>
      </c>
      <c r="E1925" s="40">
        <v>10.17</v>
      </c>
      <c r="K1925" s="40"/>
      <c r="P1925" s="40"/>
      <c r="Q1925" s="40"/>
      <c r="R1925" s="40"/>
    </row>
    <row r="1926" spans="1:18" x14ac:dyDescent="0.2">
      <c r="A1926" s="40" t="s">
        <v>1914</v>
      </c>
      <c r="B1926" s="40">
        <v>11.27</v>
      </c>
      <c r="C1926" s="40">
        <v>11.28</v>
      </c>
      <c r="D1926" s="40">
        <v>10.15</v>
      </c>
      <c r="E1926" s="40">
        <v>10.23</v>
      </c>
      <c r="K1926" s="40"/>
      <c r="P1926" s="40"/>
      <c r="Q1926" s="40"/>
      <c r="R1926" s="40"/>
    </row>
    <row r="1927" spans="1:18" x14ac:dyDescent="0.2">
      <c r="A1927" s="40" t="s">
        <v>1915</v>
      </c>
      <c r="B1927" s="40">
        <v>10.210000000000001</v>
      </c>
      <c r="C1927" s="40">
        <v>10.51</v>
      </c>
      <c r="D1927" s="40">
        <v>9.8699999999999992</v>
      </c>
      <c r="E1927" s="40">
        <v>10.199999999999999</v>
      </c>
      <c r="K1927" s="40"/>
      <c r="P1927" s="40"/>
      <c r="Q1927" s="40"/>
      <c r="R1927" s="40"/>
    </row>
    <row r="1928" spans="1:18" x14ac:dyDescent="0.2">
      <c r="A1928" s="40" t="s">
        <v>1916</v>
      </c>
      <c r="B1928" s="40">
        <v>9.93</v>
      </c>
      <c r="C1928" s="40">
        <v>10.11</v>
      </c>
      <c r="D1928" s="40">
        <v>9.73</v>
      </c>
      <c r="E1928" s="40">
        <v>9.77</v>
      </c>
      <c r="K1928" s="40"/>
      <c r="P1928" s="40"/>
      <c r="Q1928" s="40"/>
      <c r="R1928" s="40"/>
    </row>
    <row r="1929" spans="1:18" x14ac:dyDescent="0.2">
      <c r="A1929" s="40" t="s">
        <v>1917</v>
      </c>
      <c r="B1929" s="40">
        <v>10.32</v>
      </c>
      <c r="C1929" s="40">
        <v>11.91</v>
      </c>
      <c r="D1929" s="40">
        <v>10.130000000000001</v>
      </c>
      <c r="E1929" s="40">
        <v>11.49</v>
      </c>
      <c r="K1929" s="40"/>
      <c r="P1929" s="40"/>
      <c r="Q1929" s="40"/>
      <c r="R1929" s="40"/>
    </row>
    <row r="1930" spans="1:18" x14ac:dyDescent="0.2">
      <c r="A1930" s="40" t="s">
        <v>1918</v>
      </c>
      <c r="B1930" s="40">
        <v>11.61</v>
      </c>
      <c r="C1930" s="40">
        <v>12.51</v>
      </c>
      <c r="D1930" s="40">
        <v>10.68</v>
      </c>
      <c r="E1930" s="40">
        <v>11.01</v>
      </c>
      <c r="K1930" s="40"/>
      <c r="P1930" s="40"/>
      <c r="Q1930" s="40"/>
      <c r="R1930" s="40"/>
    </row>
    <row r="1931" spans="1:18" x14ac:dyDescent="0.2">
      <c r="A1931" s="41">
        <v>43199</v>
      </c>
      <c r="B1931" s="40">
        <v>13.13</v>
      </c>
      <c r="C1931" s="40">
        <v>14</v>
      </c>
      <c r="D1931" s="40">
        <v>11.95</v>
      </c>
      <c r="E1931" s="40">
        <v>11.97</v>
      </c>
      <c r="K1931" s="40"/>
      <c r="P1931" s="40"/>
      <c r="Q1931" s="40"/>
      <c r="R1931" s="40"/>
    </row>
    <row r="1932" spans="1:18" x14ac:dyDescent="0.2">
      <c r="A1932" s="41">
        <v>43229</v>
      </c>
      <c r="B1932" s="40">
        <v>12.29</v>
      </c>
      <c r="C1932" s="40">
        <v>13.52</v>
      </c>
      <c r="D1932" s="40">
        <v>11.85</v>
      </c>
      <c r="E1932" s="40">
        <v>12.65</v>
      </c>
      <c r="K1932" s="40"/>
      <c r="P1932" s="40"/>
      <c r="Q1932" s="40"/>
      <c r="R1932" s="40"/>
    </row>
    <row r="1933" spans="1:18" x14ac:dyDescent="0.2">
      <c r="A1933" s="41">
        <v>43260</v>
      </c>
      <c r="B1933" s="40">
        <v>12.64</v>
      </c>
      <c r="C1933" s="40">
        <v>15.23</v>
      </c>
      <c r="D1933" s="40">
        <v>12.28</v>
      </c>
      <c r="E1933" s="40">
        <v>13.46</v>
      </c>
      <c r="K1933" s="40"/>
      <c r="P1933" s="40"/>
      <c r="Q1933" s="40"/>
      <c r="R1933" s="40"/>
    </row>
    <row r="1934" spans="1:18" x14ac:dyDescent="0.2">
      <c r="A1934" s="41">
        <v>43290</v>
      </c>
      <c r="B1934" s="40">
        <v>14.59</v>
      </c>
      <c r="C1934" s="40">
        <v>14.9</v>
      </c>
      <c r="D1934" s="40">
        <v>12.45</v>
      </c>
      <c r="E1934" s="40">
        <v>13.49</v>
      </c>
      <c r="K1934" s="40"/>
      <c r="P1934" s="40"/>
      <c r="Q1934" s="40"/>
      <c r="R1934" s="40"/>
    </row>
    <row r="1935" spans="1:18" x14ac:dyDescent="0.2">
      <c r="A1935" s="41">
        <v>43382</v>
      </c>
      <c r="B1935" s="40">
        <v>13.69</v>
      </c>
      <c r="C1935" s="40">
        <v>13.83</v>
      </c>
      <c r="D1935" s="40">
        <v>12.26</v>
      </c>
      <c r="E1935" s="40">
        <v>12.57</v>
      </c>
      <c r="K1935" s="40"/>
      <c r="P1935" s="40"/>
      <c r="Q1935" s="40"/>
      <c r="R1935" s="40"/>
    </row>
    <row r="1936" spans="1:18" x14ac:dyDescent="0.2">
      <c r="A1936" s="41">
        <v>43413</v>
      </c>
      <c r="B1936" s="40">
        <v>13.49</v>
      </c>
      <c r="C1936" s="40">
        <v>13.76</v>
      </c>
      <c r="D1936" s="40">
        <v>11</v>
      </c>
      <c r="E1936" s="40">
        <v>11</v>
      </c>
      <c r="K1936" s="40"/>
      <c r="P1936" s="40"/>
      <c r="Q1936" s="40"/>
      <c r="R1936" s="40"/>
    </row>
    <row r="1937" spans="1:18" x14ac:dyDescent="0.2">
      <c r="A1937" s="41">
        <v>43443</v>
      </c>
      <c r="B1937" s="40">
        <v>11.05</v>
      </c>
      <c r="C1937" s="40">
        <v>11.73</v>
      </c>
      <c r="D1937" s="40">
        <v>10.46</v>
      </c>
      <c r="E1937" s="40">
        <v>10.67</v>
      </c>
      <c r="K1937" s="40"/>
      <c r="P1937" s="40"/>
      <c r="Q1937" s="40"/>
      <c r="R1937" s="40"/>
    </row>
    <row r="1938" spans="1:18" x14ac:dyDescent="0.2">
      <c r="A1938" s="40" t="s">
        <v>1919</v>
      </c>
      <c r="B1938" s="40">
        <v>10.53</v>
      </c>
      <c r="C1938" s="40">
        <v>10.6</v>
      </c>
      <c r="D1938" s="40">
        <v>9.98</v>
      </c>
      <c r="E1938" s="40">
        <v>10.029999999999999</v>
      </c>
      <c r="K1938" s="40"/>
      <c r="P1938" s="40"/>
      <c r="Q1938" s="40"/>
      <c r="R1938" s="40"/>
    </row>
    <row r="1939" spans="1:18" x14ac:dyDescent="0.2">
      <c r="A1939" s="40" t="s">
        <v>1920</v>
      </c>
      <c r="B1939" s="40">
        <v>10.210000000000001</v>
      </c>
      <c r="C1939" s="40">
        <v>10.66</v>
      </c>
      <c r="D1939" s="40">
        <v>8.81</v>
      </c>
      <c r="E1939" s="40">
        <v>9.93</v>
      </c>
      <c r="K1939" s="40"/>
      <c r="P1939" s="40"/>
      <c r="Q1939" s="40"/>
      <c r="R1939" s="40"/>
    </row>
    <row r="1940" spans="1:18" x14ac:dyDescent="0.2">
      <c r="A1940" s="40" t="s">
        <v>1921</v>
      </c>
      <c r="B1940" s="40">
        <v>11.26</v>
      </c>
      <c r="C1940" s="40">
        <v>13.69</v>
      </c>
      <c r="D1940" s="40">
        <v>11.06</v>
      </c>
      <c r="E1940" s="40">
        <v>13.5</v>
      </c>
      <c r="K1940" s="40"/>
      <c r="P1940" s="40"/>
      <c r="Q1940" s="40"/>
      <c r="R1940" s="40"/>
    </row>
    <row r="1941" spans="1:18" x14ac:dyDescent="0.2">
      <c r="A1941" s="40" t="s">
        <v>1922</v>
      </c>
      <c r="B1941" s="40">
        <v>12.38</v>
      </c>
      <c r="C1941" s="40">
        <v>12.47</v>
      </c>
      <c r="D1941" s="40">
        <v>11.56</v>
      </c>
      <c r="E1941" s="40">
        <v>11.74</v>
      </c>
      <c r="K1941" s="40"/>
      <c r="P1941" s="40"/>
      <c r="Q1941" s="40"/>
      <c r="R1941" s="40"/>
    </row>
    <row r="1942" spans="1:18" x14ac:dyDescent="0.2">
      <c r="A1942" s="40" t="s">
        <v>1923</v>
      </c>
      <c r="B1942" s="40">
        <v>11.44</v>
      </c>
      <c r="C1942" s="40">
        <v>11.94</v>
      </c>
      <c r="D1942" s="40">
        <v>10.97</v>
      </c>
      <c r="E1942" s="40">
        <v>11.45</v>
      </c>
      <c r="K1942" s="40"/>
      <c r="P1942" s="40"/>
      <c r="Q1942" s="40"/>
      <c r="R1942" s="40"/>
    </row>
    <row r="1943" spans="1:18" x14ac:dyDescent="0.2">
      <c r="A1943" s="40" t="s">
        <v>1924</v>
      </c>
      <c r="B1943" s="40">
        <v>10.78</v>
      </c>
      <c r="C1943" s="40">
        <v>11.24</v>
      </c>
      <c r="D1943" s="40">
        <v>10.63</v>
      </c>
      <c r="E1943" s="40">
        <v>11.04</v>
      </c>
      <c r="K1943" s="40"/>
      <c r="P1943" s="40"/>
      <c r="Q1943" s="40"/>
      <c r="R1943" s="40"/>
    </row>
    <row r="1944" spans="1:18" x14ac:dyDescent="0.2">
      <c r="A1944" s="40" t="s">
        <v>1925</v>
      </c>
      <c r="B1944" s="40">
        <v>11.27</v>
      </c>
      <c r="C1944" s="40">
        <v>11.27</v>
      </c>
      <c r="D1944" s="40">
        <v>10.050000000000001</v>
      </c>
      <c r="E1944" s="40">
        <v>10.63</v>
      </c>
      <c r="K1944" s="40"/>
      <c r="P1944" s="40"/>
      <c r="Q1944" s="40"/>
      <c r="R1944" s="40"/>
    </row>
    <row r="1945" spans="1:18" x14ac:dyDescent="0.2">
      <c r="A1945" s="40" t="s">
        <v>1926</v>
      </c>
      <c r="B1945" s="40">
        <v>11.99</v>
      </c>
      <c r="C1945" s="40">
        <v>12.9</v>
      </c>
      <c r="D1945" s="40">
        <v>11.6</v>
      </c>
      <c r="E1945" s="40">
        <v>11.63</v>
      </c>
      <c r="K1945" s="40"/>
      <c r="P1945" s="40"/>
      <c r="Q1945" s="40"/>
      <c r="R1945" s="40"/>
    </row>
    <row r="1946" spans="1:18" x14ac:dyDescent="0.2">
      <c r="A1946" s="40" t="s">
        <v>1927</v>
      </c>
      <c r="B1946" s="40">
        <v>11.46</v>
      </c>
      <c r="C1946" s="40">
        <v>12.18</v>
      </c>
      <c r="D1946" s="40">
        <v>11.33</v>
      </c>
      <c r="E1946" s="40">
        <v>11.76</v>
      </c>
      <c r="K1946" s="40"/>
      <c r="P1946" s="40"/>
      <c r="Q1946" s="40"/>
      <c r="R1946" s="40"/>
    </row>
    <row r="1947" spans="1:18" x14ac:dyDescent="0.2">
      <c r="A1947" s="40" t="s">
        <v>1928</v>
      </c>
      <c r="B1947" s="40">
        <v>11.56</v>
      </c>
      <c r="C1947" s="40">
        <v>12.97</v>
      </c>
      <c r="D1947" s="40">
        <v>10.72</v>
      </c>
      <c r="E1947" s="40">
        <v>12.7</v>
      </c>
      <c r="K1947" s="40"/>
      <c r="P1947" s="40"/>
      <c r="Q1947" s="40"/>
      <c r="R1947" s="40"/>
    </row>
    <row r="1948" spans="1:18" x14ac:dyDescent="0.2">
      <c r="A1948" s="40" t="s">
        <v>1929</v>
      </c>
      <c r="B1948" s="40">
        <v>11.83</v>
      </c>
      <c r="C1948" s="40">
        <v>12.47</v>
      </c>
      <c r="D1948" s="40">
        <v>11.07</v>
      </c>
      <c r="E1948" s="40">
        <v>12.09</v>
      </c>
      <c r="K1948" s="40"/>
      <c r="P1948" s="40"/>
      <c r="Q1948" s="40"/>
      <c r="R1948" s="40"/>
    </row>
    <row r="1949" spans="1:18" x14ac:dyDescent="0.2">
      <c r="A1949" s="40" t="s">
        <v>1930</v>
      </c>
      <c r="B1949" s="40">
        <v>12.73</v>
      </c>
      <c r="C1949" s="40">
        <v>12.84</v>
      </c>
      <c r="D1949" s="40">
        <v>11.07</v>
      </c>
      <c r="E1949" s="40">
        <v>11.17</v>
      </c>
      <c r="K1949" s="40"/>
      <c r="P1949" s="40"/>
      <c r="Q1949" s="40"/>
      <c r="R1949" s="40"/>
    </row>
    <row r="1950" spans="1:18" x14ac:dyDescent="0.2">
      <c r="A1950" s="41">
        <v>43110</v>
      </c>
      <c r="B1950" s="40">
        <v>11.38</v>
      </c>
      <c r="C1950" s="40">
        <v>11.73</v>
      </c>
      <c r="D1950" s="40">
        <v>10.67</v>
      </c>
      <c r="E1950" s="40">
        <v>11.19</v>
      </c>
      <c r="K1950" s="40"/>
      <c r="P1950" s="40"/>
      <c r="Q1950" s="40"/>
      <c r="R1950" s="40"/>
    </row>
    <row r="1951" spans="1:18" x14ac:dyDescent="0.2">
      <c r="A1951" s="41">
        <v>43141</v>
      </c>
      <c r="B1951" s="40">
        <v>11.49</v>
      </c>
      <c r="C1951" s="40">
        <v>11.68</v>
      </c>
      <c r="D1951" s="40">
        <v>10.5</v>
      </c>
      <c r="E1951" s="40">
        <v>11.13</v>
      </c>
      <c r="K1951" s="40"/>
      <c r="P1951" s="40"/>
      <c r="Q1951" s="40"/>
      <c r="R1951" s="40"/>
    </row>
    <row r="1952" spans="1:18" x14ac:dyDescent="0.2">
      <c r="A1952" s="41">
        <v>43169</v>
      </c>
      <c r="B1952" s="40">
        <v>10.6</v>
      </c>
      <c r="C1952" s="40">
        <v>11.67</v>
      </c>
      <c r="D1952" s="40">
        <v>10.130000000000001</v>
      </c>
      <c r="E1952" s="40">
        <v>10.81</v>
      </c>
      <c r="K1952" s="40"/>
      <c r="P1952" s="40"/>
      <c r="Q1952" s="40"/>
      <c r="R1952" s="40"/>
    </row>
    <row r="1953" spans="1:18" x14ac:dyDescent="0.2">
      <c r="A1953" s="41">
        <v>43200</v>
      </c>
      <c r="B1953" s="40">
        <v>11.85</v>
      </c>
      <c r="C1953" s="40">
        <v>18.88</v>
      </c>
      <c r="D1953" s="40">
        <v>11.81</v>
      </c>
      <c r="E1953" s="40">
        <v>15.42</v>
      </c>
      <c r="K1953" s="40"/>
      <c r="P1953" s="40"/>
      <c r="Q1953" s="40"/>
      <c r="R1953" s="40"/>
    </row>
    <row r="1954" spans="1:18" x14ac:dyDescent="0.2">
      <c r="A1954" s="41">
        <v>43230</v>
      </c>
      <c r="B1954" s="40">
        <v>14.43</v>
      </c>
      <c r="C1954" s="40">
        <v>19.61</v>
      </c>
      <c r="D1954" s="40">
        <v>13.16</v>
      </c>
      <c r="E1954" s="40">
        <v>14.86</v>
      </c>
      <c r="K1954" s="40"/>
      <c r="P1954" s="40"/>
      <c r="Q1954" s="40"/>
      <c r="R1954" s="40"/>
    </row>
    <row r="1955" spans="1:18" x14ac:dyDescent="0.2">
      <c r="A1955" s="41">
        <v>43322</v>
      </c>
      <c r="B1955" s="40">
        <v>17.170000000000002</v>
      </c>
      <c r="C1955" s="40">
        <v>18.899999999999999</v>
      </c>
      <c r="D1955" s="40">
        <v>14.92</v>
      </c>
      <c r="E1955" s="40">
        <v>14.92</v>
      </c>
      <c r="K1955" s="40"/>
      <c r="P1955" s="40"/>
      <c r="Q1955" s="40"/>
      <c r="R1955" s="40"/>
    </row>
    <row r="1956" spans="1:18" x14ac:dyDescent="0.2">
      <c r="A1956" s="41">
        <v>43353</v>
      </c>
      <c r="B1956" s="40">
        <v>15.97</v>
      </c>
      <c r="C1956" s="40">
        <v>16.96</v>
      </c>
      <c r="D1956" s="40">
        <v>13.66</v>
      </c>
      <c r="E1956" s="40">
        <v>14.4</v>
      </c>
      <c r="K1956" s="40"/>
      <c r="P1956" s="40"/>
      <c r="Q1956" s="40"/>
      <c r="R1956" s="40"/>
    </row>
    <row r="1957" spans="1:18" x14ac:dyDescent="0.2">
      <c r="A1957" s="41">
        <v>43383</v>
      </c>
      <c r="B1957" s="40">
        <v>15.64</v>
      </c>
      <c r="C1957" s="40">
        <v>26.1</v>
      </c>
      <c r="D1957" s="40">
        <v>15.63</v>
      </c>
      <c r="E1957" s="40">
        <v>25.98</v>
      </c>
      <c r="K1957" s="40"/>
      <c r="P1957" s="40"/>
      <c r="Q1957" s="40"/>
      <c r="R1957" s="40"/>
    </row>
    <row r="1958" spans="1:18" x14ac:dyDescent="0.2">
      <c r="A1958" s="41">
        <v>43414</v>
      </c>
      <c r="B1958" s="40">
        <v>23.85</v>
      </c>
      <c r="C1958" s="40">
        <v>35.6</v>
      </c>
      <c r="D1958" s="40">
        <v>23.07</v>
      </c>
      <c r="E1958" s="40">
        <v>29.58</v>
      </c>
      <c r="K1958" s="40"/>
      <c r="P1958" s="40"/>
      <c r="Q1958" s="40"/>
      <c r="R1958" s="40"/>
    </row>
    <row r="1959" spans="1:18" x14ac:dyDescent="0.2">
      <c r="A1959" s="41">
        <v>43444</v>
      </c>
      <c r="B1959" s="40">
        <v>25.02</v>
      </c>
      <c r="C1959" s="40">
        <v>32.89</v>
      </c>
      <c r="D1959" s="40">
        <v>21.84</v>
      </c>
      <c r="E1959" s="40">
        <v>22.84</v>
      </c>
      <c r="K1959" s="40"/>
      <c r="P1959" s="40"/>
      <c r="Q1959" s="40"/>
      <c r="R1959" s="40"/>
    </row>
    <row r="1960" spans="1:18" x14ac:dyDescent="0.2">
      <c r="A1960" s="40" t="s">
        <v>1931</v>
      </c>
      <c r="B1960" s="40">
        <v>24.76</v>
      </c>
      <c r="C1960" s="40">
        <v>25.89</v>
      </c>
      <c r="D1960" s="40">
        <v>20.86</v>
      </c>
      <c r="E1960" s="40">
        <v>23.91</v>
      </c>
      <c r="K1960" s="40"/>
      <c r="P1960" s="40"/>
      <c r="Q1960" s="40"/>
      <c r="R1960" s="40"/>
    </row>
    <row r="1961" spans="1:18" x14ac:dyDescent="0.2">
      <c r="A1961" s="40" t="s">
        <v>1932</v>
      </c>
      <c r="B1961" s="40">
        <v>20.72</v>
      </c>
      <c r="C1961" s="40">
        <v>20.98</v>
      </c>
      <c r="D1961" s="40">
        <v>17.78</v>
      </c>
      <c r="E1961" s="40">
        <v>17.850000000000001</v>
      </c>
      <c r="K1961" s="40"/>
      <c r="P1961" s="40"/>
      <c r="Q1961" s="40"/>
      <c r="R1961" s="40"/>
    </row>
    <row r="1962" spans="1:18" x14ac:dyDescent="0.2">
      <c r="A1962" s="40" t="s">
        <v>1933</v>
      </c>
      <c r="B1962" s="40">
        <v>17.95</v>
      </c>
      <c r="C1962" s="40">
        <v>20.71</v>
      </c>
      <c r="D1962" s="40">
        <v>17.559999999999999</v>
      </c>
      <c r="E1962" s="40">
        <v>17.75</v>
      </c>
      <c r="K1962" s="40"/>
      <c r="P1962" s="40"/>
      <c r="Q1962" s="40"/>
      <c r="R1962" s="40"/>
    </row>
    <row r="1963" spans="1:18" x14ac:dyDescent="0.2">
      <c r="A1963" s="40" t="s">
        <v>1934</v>
      </c>
      <c r="B1963" s="40">
        <v>19.399999999999999</v>
      </c>
      <c r="C1963" s="40">
        <v>24.55</v>
      </c>
      <c r="D1963" s="40">
        <v>18.29</v>
      </c>
      <c r="E1963" s="40">
        <v>22.31</v>
      </c>
      <c r="K1963" s="40"/>
      <c r="P1963" s="40"/>
      <c r="Q1963" s="40"/>
      <c r="R1963" s="40"/>
    </row>
    <row r="1964" spans="1:18" x14ac:dyDescent="0.2">
      <c r="A1964" s="40" t="s">
        <v>1935</v>
      </c>
      <c r="B1964" s="40">
        <v>21.24</v>
      </c>
      <c r="C1964" s="40">
        <v>23.44</v>
      </c>
      <c r="D1964" s="40">
        <v>18.97</v>
      </c>
      <c r="E1964" s="40">
        <v>21.13</v>
      </c>
      <c r="K1964" s="40"/>
      <c r="P1964" s="40"/>
      <c r="Q1964" s="40"/>
      <c r="R1964" s="40"/>
    </row>
    <row r="1965" spans="1:18" x14ac:dyDescent="0.2">
      <c r="A1965" s="40" t="s">
        <v>1936</v>
      </c>
      <c r="B1965" s="40">
        <v>20.72</v>
      </c>
      <c r="C1965" s="40">
        <v>23.62</v>
      </c>
      <c r="D1965" s="40">
        <v>19.57</v>
      </c>
      <c r="E1965" s="40">
        <v>20.67</v>
      </c>
      <c r="K1965" s="40"/>
      <c r="P1965" s="40"/>
      <c r="Q1965" s="40"/>
      <c r="R1965" s="40"/>
    </row>
    <row r="1966" spans="1:18" x14ac:dyDescent="0.2">
      <c r="A1966" s="40" t="s">
        <v>1937</v>
      </c>
      <c r="B1966" s="40">
        <v>29.71</v>
      </c>
      <c r="C1966" s="40">
        <v>29.71</v>
      </c>
      <c r="D1966" s="40">
        <v>22.49</v>
      </c>
      <c r="E1966" s="40">
        <v>23.43</v>
      </c>
      <c r="K1966" s="40"/>
      <c r="P1966" s="40"/>
      <c r="Q1966" s="40"/>
      <c r="R1966" s="40"/>
    </row>
    <row r="1967" spans="1:18" x14ac:dyDescent="0.2">
      <c r="A1967" s="40" t="s">
        <v>1938</v>
      </c>
      <c r="B1967" s="40">
        <v>23.97</v>
      </c>
      <c r="C1967" s="40">
        <v>34.340000000000003</v>
      </c>
      <c r="D1967" s="40">
        <v>23.21</v>
      </c>
      <c r="E1967" s="40">
        <v>31.91</v>
      </c>
      <c r="K1967" s="40"/>
      <c r="P1967" s="40"/>
      <c r="Q1967" s="40"/>
      <c r="R1967" s="40"/>
    </row>
    <row r="1968" spans="1:18" x14ac:dyDescent="0.2">
      <c r="A1968" s="40" t="s">
        <v>1939</v>
      </c>
      <c r="B1968" s="40">
        <v>29.8</v>
      </c>
      <c r="C1968" s="40">
        <v>31.03</v>
      </c>
      <c r="D1968" s="40">
        <v>26.36</v>
      </c>
      <c r="E1968" s="40">
        <v>29.62</v>
      </c>
      <c r="K1968" s="40"/>
      <c r="P1968" s="40"/>
      <c r="Q1968" s="40"/>
      <c r="R1968" s="40"/>
    </row>
    <row r="1969" spans="1:18" x14ac:dyDescent="0.2">
      <c r="A1969" s="40" t="s">
        <v>1940</v>
      </c>
      <c r="B1969" s="40">
        <v>32.21</v>
      </c>
      <c r="C1969" s="40">
        <v>35.409999999999997</v>
      </c>
      <c r="D1969" s="40">
        <v>28.81</v>
      </c>
      <c r="E1969" s="40">
        <v>29.89</v>
      </c>
      <c r="K1969" s="40"/>
      <c r="P1969" s="40"/>
      <c r="Q1969" s="40"/>
      <c r="R1969" s="40"/>
    </row>
    <row r="1970" spans="1:18" x14ac:dyDescent="0.2">
      <c r="A1970" s="40" t="s">
        <v>1941</v>
      </c>
      <c r="B1970" s="40">
        <v>29.04</v>
      </c>
      <c r="C1970" s="40">
        <v>36.369999999999997</v>
      </c>
      <c r="D1970" s="40">
        <v>27.17</v>
      </c>
      <c r="E1970" s="40">
        <v>31.03</v>
      </c>
      <c r="K1970" s="40"/>
      <c r="P1970" s="40"/>
      <c r="Q1970" s="40"/>
      <c r="R1970" s="40"/>
    </row>
    <row r="1971" spans="1:18" x14ac:dyDescent="0.2">
      <c r="A1971" s="40" t="s">
        <v>1942</v>
      </c>
      <c r="B1971" s="40">
        <v>32.42</v>
      </c>
      <c r="C1971" s="40">
        <v>32.54</v>
      </c>
      <c r="D1971" s="40">
        <v>28.6</v>
      </c>
      <c r="E1971" s="40">
        <v>28.87</v>
      </c>
      <c r="K1971" s="40"/>
      <c r="P1971" s="40"/>
      <c r="Q1971" s="40"/>
      <c r="R1971" s="40"/>
    </row>
    <row r="1972" spans="1:18" x14ac:dyDescent="0.2">
      <c r="A1972" s="40" t="s">
        <v>1943</v>
      </c>
      <c r="B1972" s="40">
        <v>26.96</v>
      </c>
      <c r="C1972" s="40">
        <v>27.35</v>
      </c>
      <c r="D1972" s="40">
        <v>23.62</v>
      </c>
      <c r="E1972" s="40">
        <v>25.16</v>
      </c>
      <c r="K1972" s="40"/>
      <c r="P1972" s="40"/>
      <c r="Q1972" s="40"/>
      <c r="R1972" s="40"/>
    </row>
    <row r="1973" spans="1:18" x14ac:dyDescent="0.2">
      <c r="A1973" s="41">
        <v>43111</v>
      </c>
      <c r="B1973" s="40">
        <v>23.68</v>
      </c>
      <c r="C1973" s="40">
        <v>24.33</v>
      </c>
      <c r="D1973" s="40">
        <v>20.83</v>
      </c>
      <c r="E1973" s="40">
        <v>21.54</v>
      </c>
      <c r="K1973" s="40"/>
      <c r="P1973" s="40"/>
      <c r="Q1973" s="40"/>
      <c r="R1973" s="40"/>
    </row>
    <row r="1974" spans="1:18" x14ac:dyDescent="0.2">
      <c r="A1974" s="41">
        <v>43142</v>
      </c>
      <c r="B1974" s="40">
        <v>20.97</v>
      </c>
      <c r="C1974" s="40">
        <v>25.2</v>
      </c>
      <c r="D1974" s="40">
        <v>20.100000000000001</v>
      </c>
      <c r="E1974" s="40">
        <v>21.17</v>
      </c>
      <c r="K1974" s="40"/>
      <c r="P1974" s="40"/>
      <c r="Q1974" s="40"/>
      <c r="R1974" s="40"/>
    </row>
    <row r="1975" spans="1:18" x14ac:dyDescent="0.2">
      <c r="A1975" s="41">
        <v>43231</v>
      </c>
      <c r="B1975" s="40">
        <v>22.32</v>
      </c>
      <c r="C1975" s="40">
        <v>23.89</v>
      </c>
      <c r="D1975" s="40">
        <v>21.42</v>
      </c>
      <c r="E1975" s="40">
        <v>21.63</v>
      </c>
      <c r="K1975" s="40"/>
      <c r="P1975" s="40"/>
      <c r="Q1975" s="40"/>
      <c r="R1975" s="40"/>
    </row>
    <row r="1976" spans="1:18" x14ac:dyDescent="0.2">
      <c r="A1976" s="41">
        <v>43262</v>
      </c>
      <c r="B1976" s="40">
        <v>22.06</v>
      </c>
      <c r="C1976" s="40">
        <v>22.93</v>
      </c>
      <c r="D1976" s="40">
        <v>21.15</v>
      </c>
      <c r="E1976" s="40">
        <v>21.62</v>
      </c>
      <c r="K1976" s="40"/>
      <c r="P1976" s="40"/>
      <c r="Q1976" s="40"/>
      <c r="R1976" s="40"/>
    </row>
    <row r="1977" spans="1:18" x14ac:dyDescent="0.2">
      <c r="A1977" s="41">
        <v>43292</v>
      </c>
      <c r="B1977" s="40">
        <v>17.39</v>
      </c>
      <c r="C1977" s="40">
        <v>18.010000000000002</v>
      </c>
      <c r="D1977" s="40">
        <v>15.49</v>
      </c>
      <c r="E1977" s="40">
        <v>15.54</v>
      </c>
      <c r="K1977" s="40"/>
      <c r="P1977" s="40"/>
      <c r="Q1977" s="40"/>
      <c r="R1977" s="40"/>
    </row>
    <row r="1978" spans="1:18" x14ac:dyDescent="0.2">
      <c r="A1978" s="41">
        <v>43323</v>
      </c>
      <c r="B1978" s="40">
        <v>15.53</v>
      </c>
      <c r="C1978" s="40">
        <v>16.62</v>
      </c>
      <c r="D1978" s="40">
        <v>15.31</v>
      </c>
      <c r="E1978" s="40">
        <v>15.56</v>
      </c>
      <c r="K1978" s="40"/>
      <c r="P1978" s="40"/>
      <c r="Q1978" s="40"/>
      <c r="R1978" s="40"/>
    </row>
    <row r="1979" spans="1:18" x14ac:dyDescent="0.2">
      <c r="A1979" s="41">
        <v>43354</v>
      </c>
      <c r="B1979" s="40">
        <v>16.28</v>
      </c>
      <c r="C1979" s="40">
        <v>17.62</v>
      </c>
      <c r="D1979" s="40">
        <v>15.17</v>
      </c>
      <c r="E1979" s="40">
        <v>15.63</v>
      </c>
      <c r="K1979" s="40"/>
      <c r="P1979" s="40"/>
      <c r="Q1979" s="40"/>
      <c r="R1979" s="40"/>
    </row>
    <row r="1980" spans="1:18" x14ac:dyDescent="0.2">
      <c r="A1980" s="41">
        <v>43445</v>
      </c>
      <c r="B1980" s="40">
        <v>16.940000000000001</v>
      </c>
      <c r="C1980" s="40">
        <v>21.39</v>
      </c>
      <c r="D1980" s="40">
        <v>16.88</v>
      </c>
      <c r="E1980" s="40">
        <v>20.69</v>
      </c>
      <c r="K1980" s="40"/>
      <c r="P1980" s="40"/>
      <c r="Q1980" s="40"/>
      <c r="R1980" s="40"/>
    </row>
    <row r="1981" spans="1:18" x14ac:dyDescent="0.2">
      <c r="A1981" s="40" t="s">
        <v>1944</v>
      </c>
      <c r="B1981" s="40">
        <v>20.190000000000001</v>
      </c>
      <c r="C1981" s="40">
        <v>21.61</v>
      </c>
      <c r="D1981" s="40">
        <v>18.23</v>
      </c>
      <c r="E1981" s="40">
        <v>19.38</v>
      </c>
      <c r="K1981" s="40"/>
      <c r="P1981" s="40"/>
      <c r="Q1981" s="40"/>
      <c r="R1981" s="40"/>
    </row>
    <row r="1982" spans="1:18" x14ac:dyDescent="0.2">
      <c r="A1982" s="40" t="s">
        <v>1945</v>
      </c>
      <c r="B1982" s="40">
        <v>18.63</v>
      </c>
      <c r="C1982" s="40">
        <v>23.39</v>
      </c>
      <c r="D1982" s="40">
        <v>18.29</v>
      </c>
      <c r="E1982" s="40">
        <v>21.39</v>
      </c>
      <c r="K1982" s="40"/>
      <c r="P1982" s="40"/>
      <c r="Q1982" s="40"/>
      <c r="R1982" s="40"/>
    </row>
    <row r="1983" spans="1:18" x14ac:dyDescent="0.2">
      <c r="A1983" s="40" t="s">
        <v>1946</v>
      </c>
      <c r="B1983" s="40">
        <v>22.32</v>
      </c>
      <c r="C1983" s="40">
        <v>24.06</v>
      </c>
      <c r="D1983" s="40">
        <v>19.38</v>
      </c>
      <c r="E1983" s="40">
        <v>19.5</v>
      </c>
      <c r="K1983" s="40"/>
      <c r="P1983" s="40"/>
      <c r="Q1983" s="40"/>
      <c r="R1983" s="40"/>
    </row>
    <row r="1984" spans="1:18" x14ac:dyDescent="0.2">
      <c r="A1984" s="40" t="s">
        <v>1947</v>
      </c>
      <c r="B1984" s="40">
        <v>20.93</v>
      </c>
      <c r="C1984" s="40">
        <v>21.2</v>
      </c>
      <c r="D1984" s="40">
        <v>16.29</v>
      </c>
      <c r="E1984" s="40">
        <v>16.350000000000001</v>
      </c>
      <c r="K1984" s="40"/>
      <c r="P1984" s="40"/>
      <c r="Q1984" s="40"/>
      <c r="R1984" s="40"/>
    </row>
    <row r="1985" spans="1:18" x14ac:dyDescent="0.2">
      <c r="A1985" s="40" t="s">
        <v>1948</v>
      </c>
      <c r="B1985" s="40">
        <v>19.170000000000002</v>
      </c>
      <c r="C1985" s="40">
        <v>21.79</v>
      </c>
      <c r="D1985" s="40">
        <v>18.5</v>
      </c>
      <c r="E1985" s="40">
        <v>20.43</v>
      </c>
      <c r="K1985" s="40"/>
      <c r="P1985" s="40"/>
      <c r="Q1985" s="40"/>
      <c r="R1985" s="40"/>
    </row>
    <row r="1986" spans="1:18" x14ac:dyDescent="0.2">
      <c r="A1986" s="40" t="s">
        <v>1949</v>
      </c>
      <c r="B1986" s="40">
        <v>24.77</v>
      </c>
      <c r="C1986" s="40">
        <v>26.66</v>
      </c>
      <c r="D1986" s="40">
        <v>22.8</v>
      </c>
      <c r="E1986" s="40">
        <v>23.63</v>
      </c>
      <c r="K1986" s="40"/>
      <c r="P1986" s="40"/>
      <c r="Q1986" s="40"/>
      <c r="R1986" s="40"/>
    </row>
    <row r="1987" spans="1:18" x14ac:dyDescent="0.2">
      <c r="A1987" s="40" t="s">
        <v>1950</v>
      </c>
      <c r="B1987" s="40">
        <v>22.53</v>
      </c>
      <c r="C1987" s="40">
        <v>22.98</v>
      </c>
      <c r="D1987" s="40">
        <v>19.190000000000001</v>
      </c>
      <c r="E1987" s="40">
        <v>19.86</v>
      </c>
      <c r="K1987" s="40"/>
      <c r="P1987" s="40"/>
      <c r="Q1987" s="40"/>
      <c r="R1987" s="40"/>
    </row>
    <row r="1988" spans="1:18" x14ac:dyDescent="0.2">
      <c r="A1988" s="40" t="s">
        <v>1951</v>
      </c>
      <c r="B1988" s="40">
        <v>22.96</v>
      </c>
      <c r="C1988" s="40">
        <v>22.97</v>
      </c>
      <c r="D1988" s="40">
        <v>20.7</v>
      </c>
      <c r="E1988" s="40">
        <v>21.42</v>
      </c>
      <c r="K1988" s="40"/>
      <c r="P1988" s="40"/>
      <c r="Q1988" s="40"/>
      <c r="R1988" s="40"/>
    </row>
    <row r="1989" spans="1:18" x14ac:dyDescent="0.2">
      <c r="A1989" s="40" t="s">
        <v>1952</v>
      </c>
      <c r="B1989" s="40">
        <v>21.69</v>
      </c>
      <c r="C1989" s="40">
        <v>21.71</v>
      </c>
      <c r="D1989" s="40">
        <v>19.55</v>
      </c>
      <c r="E1989" s="40">
        <v>20.04</v>
      </c>
      <c r="K1989" s="40"/>
      <c r="P1989" s="40"/>
      <c r="Q1989" s="40"/>
      <c r="R1989" s="40"/>
    </row>
    <row r="1990" spans="1:18" x14ac:dyDescent="0.2">
      <c r="A1990" s="40" t="s">
        <v>1953</v>
      </c>
      <c r="B1990" s="40">
        <v>21.49</v>
      </c>
      <c r="C1990" s="40">
        <v>21.72</v>
      </c>
      <c r="D1990" s="40">
        <v>20.53</v>
      </c>
      <c r="E1990" s="40">
        <v>21.08</v>
      </c>
      <c r="K1990" s="40"/>
      <c r="P1990" s="40"/>
      <c r="Q1990" s="40"/>
      <c r="R1990" s="40"/>
    </row>
    <row r="1991" spans="1:18" x14ac:dyDescent="0.2">
      <c r="A1991" s="40" t="s">
        <v>1954</v>
      </c>
      <c r="B1991" s="40">
        <v>21.27</v>
      </c>
      <c r="C1991" s="40">
        <v>22.85</v>
      </c>
      <c r="D1991" s="40">
        <v>21.11</v>
      </c>
      <c r="E1991" s="40">
        <v>21.92</v>
      </c>
      <c r="K1991" s="40"/>
      <c r="P1991" s="40"/>
      <c r="Q1991" s="40"/>
      <c r="R1991" s="40"/>
    </row>
    <row r="1992" spans="1:18" x14ac:dyDescent="0.2">
      <c r="A1992" s="40" t="s">
        <v>1955</v>
      </c>
      <c r="B1992" s="40">
        <v>22.59</v>
      </c>
      <c r="C1992" s="40">
        <v>24.91</v>
      </c>
      <c r="D1992" s="40">
        <v>21.86</v>
      </c>
      <c r="E1992" s="40">
        <v>22.38</v>
      </c>
      <c r="K1992" s="40"/>
      <c r="P1992" s="40"/>
      <c r="Q1992" s="40"/>
      <c r="R1992" s="40"/>
    </row>
    <row r="1993" spans="1:18" x14ac:dyDescent="0.2">
      <c r="A1993" s="40" t="s">
        <v>1956</v>
      </c>
      <c r="B1993" s="40">
        <v>23.15</v>
      </c>
      <c r="C1993" s="40">
        <v>23.15</v>
      </c>
      <c r="D1993" s="40">
        <v>21.94</v>
      </c>
      <c r="E1993" s="40">
        <v>22.11</v>
      </c>
      <c r="K1993" s="40"/>
      <c r="P1993" s="40"/>
      <c r="Q1993" s="40"/>
      <c r="R1993" s="40"/>
    </row>
    <row r="1994" spans="1:18" x14ac:dyDescent="0.2">
      <c r="A1994" s="41">
        <v>43171</v>
      </c>
      <c r="B1994" s="40">
        <v>18.09</v>
      </c>
      <c r="C1994" s="40">
        <v>19.48</v>
      </c>
      <c r="D1994" s="40">
        <v>17.010000000000002</v>
      </c>
      <c r="E1994" s="40">
        <v>17.21</v>
      </c>
      <c r="K1994" s="40"/>
      <c r="P1994" s="40"/>
      <c r="Q1994" s="40"/>
      <c r="R1994" s="40"/>
    </row>
    <row r="1995" spans="1:18" x14ac:dyDescent="0.2">
      <c r="A1995" s="41">
        <v>43202</v>
      </c>
      <c r="B1995" s="40">
        <v>17.739999999999998</v>
      </c>
      <c r="C1995" s="40">
        <v>26.99</v>
      </c>
      <c r="D1995" s="40">
        <v>17.07</v>
      </c>
      <c r="E1995" s="40">
        <v>25.13</v>
      </c>
      <c r="K1995" s="40"/>
      <c r="P1995" s="40"/>
      <c r="Q1995" s="40"/>
      <c r="R1995" s="40"/>
    </row>
    <row r="1996" spans="1:18" x14ac:dyDescent="0.2">
      <c r="A1996" s="41">
        <v>43263</v>
      </c>
      <c r="B1996" s="40">
        <v>31.36</v>
      </c>
      <c r="C1996" s="40">
        <v>33.479999999999997</v>
      </c>
      <c r="D1996" s="40">
        <v>24.97</v>
      </c>
      <c r="E1996" s="40">
        <v>25.06</v>
      </c>
      <c r="K1996" s="40"/>
      <c r="P1996" s="40"/>
      <c r="Q1996" s="40"/>
      <c r="R1996" s="40"/>
    </row>
    <row r="1997" spans="1:18" x14ac:dyDescent="0.2">
      <c r="A1997" s="41">
        <v>43293</v>
      </c>
      <c r="B1997" s="40">
        <v>24.77</v>
      </c>
      <c r="C1997" s="40">
        <v>30.52</v>
      </c>
      <c r="D1997" s="40">
        <v>22.6</v>
      </c>
      <c r="E1997" s="40">
        <v>27.47</v>
      </c>
      <c r="K1997" s="40"/>
      <c r="P1997" s="40"/>
      <c r="Q1997" s="40"/>
      <c r="R1997" s="40"/>
    </row>
    <row r="1998" spans="1:18" x14ac:dyDescent="0.2">
      <c r="A1998" s="41">
        <v>43385</v>
      </c>
      <c r="B1998" s="40">
        <v>28.13</v>
      </c>
      <c r="C1998" s="40">
        <v>31.83</v>
      </c>
      <c r="D1998" s="40">
        <v>25.15</v>
      </c>
      <c r="E1998" s="40">
        <v>25.24</v>
      </c>
      <c r="K1998" s="40"/>
      <c r="P1998" s="40"/>
      <c r="Q1998" s="40"/>
      <c r="R1998" s="40"/>
    </row>
    <row r="1999" spans="1:18" x14ac:dyDescent="0.2">
      <c r="A1999" s="41">
        <v>43416</v>
      </c>
      <c r="B1999" s="40">
        <v>23.95</v>
      </c>
      <c r="C1999" s="40">
        <v>26.31</v>
      </c>
      <c r="D1999" s="40">
        <v>22.72</v>
      </c>
      <c r="E1999" s="40">
        <v>23.79</v>
      </c>
      <c r="K1999" s="40"/>
      <c r="P1999" s="40"/>
      <c r="Q1999" s="40"/>
      <c r="R1999" s="40"/>
    </row>
    <row r="2000" spans="1:18" x14ac:dyDescent="0.2">
      <c r="A2000" s="41">
        <v>43446</v>
      </c>
      <c r="B2000" s="40">
        <v>22.07</v>
      </c>
      <c r="C2000" s="40">
        <v>23.06</v>
      </c>
      <c r="D2000" s="40">
        <v>21.48</v>
      </c>
      <c r="E2000" s="40">
        <v>22.64</v>
      </c>
      <c r="K2000" s="40"/>
      <c r="P2000" s="40"/>
      <c r="Q2000" s="40"/>
      <c r="R2000" s="40"/>
    </row>
    <row r="2001" spans="1:18" x14ac:dyDescent="0.2">
      <c r="A2001" s="40" t="s">
        <v>1957</v>
      </c>
      <c r="B2001" s="40">
        <v>21.53</v>
      </c>
      <c r="C2001" s="40">
        <v>21.81</v>
      </c>
      <c r="D2001" s="40">
        <v>19.98</v>
      </c>
      <c r="E2001" s="40">
        <v>20.329999999999998</v>
      </c>
      <c r="K2001" s="40"/>
      <c r="P2001" s="40"/>
      <c r="Q2001" s="40"/>
      <c r="R2001" s="40"/>
    </row>
    <row r="2002" spans="1:18" x14ac:dyDescent="0.2">
      <c r="A2002" s="40" t="s">
        <v>1958</v>
      </c>
      <c r="B2002" s="40">
        <v>21.38</v>
      </c>
      <c r="C2002" s="40">
        <v>23.46</v>
      </c>
      <c r="D2002" s="40">
        <v>20.53</v>
      </c>
      <c r="E2002" s="40">
        <v>22.08</v>
      </c>
      <c r="K2002" s="40"/>
      <c r="P2002" s="40"/>
      <c r="Q2002" s="40"/>
      <c r="R2002" s="40"/>
    </row>
    <row r="2003" spans="1:18" x14ac:dyDescent="0.2">
      <c r="A2003" s="40" t="s">
        <v>1959</v>
      </c>
      <c r="B2003" s="40">
        <v>23.85</v>
      </c>
      <c r="C2003" s="40">
        <v>29.18</v>
      </c>
      <c r="D2003" s="40">
        <v>23.11</v>
      </c>
      <c r="E2003" s="40">
        <v>28</v>
      </c>
      <c r="K2003" s="40"/>
      <c r="P2003" s="40"/>
      <c r="Q2003" s="40"/>
      <c r="R2003" s="40"/>
    </row>
    <row r="2004" spans="1:18" x14ac:dyDescent="0.2">
      <c r="A2004" s="40" t="s">
        <v>1960</v>
      </c>
      <c r="B2004" s="40">
        <v>26.45</v>
      </c>
      <c r="C2004" s="40">
        <v>29.61</v>
      </c>
      <c r="D2004" s="40">
        <v>25.74</v>
      </c>
      <c r="E2004" s="40">
        <v>28.51</v>
      </c>
      <c r="K2004" s="40"/>
      <c r="P2004" s="40"/>
      <c r="Q2004" s="40"/>
      <c r="R2004" s="40"/>
    </row>
    <row r="2005" spans="1:18" x14ac:dyDescent="0.2">
      <c r="A2005" s="40" t="s">
        <v>1961</v>
      </c>
      <c r="B2005" s="40">
        <v>28.79</v>
      </c>
      <c r="C2005" s="40">
        <v>28.9</v>
      </c>
      <c r="D2005" s="40">
        <v>23.61</v>
      </c>
      <c r="E2005" s="40">
        <v>26.16</v>
      </c>
      <c r="K2005" s="40"/>
      <c r="P2005" s="40"/>
      <c r="Q2005" s="40"/>
      <c r="R2005" s="40"/>
    </row>
    <row r="2006" spans="1:18" x14ac:dyDescent="0.2">
      <c r="A2006" s="40" t="s">
        <v>1962</v>
      </c>
      <c r="B2006" s="40">
        <v>26.96</v>
      </c>
      <c r="C2006" s="40">
        <v>33.86</v>
      </c>
      <c r="D2006" s="40">
        <v>25.92</v>
      </c>
      <c r="E2006" s="40">
        <v>31.19</v>
      </c>
      <c r="K2006" s="40"/>
      <c r="P2006" s="40"/>
      <c r="Q2006" s="40"/>
      <c r="R2006" s="40"/>
    </row>
    <row r="2007" spans="1:18" x14ac:dyDescent="0.2">
      <c r="A2007" s="40" t="s">
        <v>1963</v>
      </c>
      <c r="B2007" s="40">
        <v>30.64</v>
      </c>
      <c r="C2007" s="40">
        <v>35.43</v>
      </c>
      <c r="D2007" s="40">
        <v>27</v>
      </c>
      <c r="E2007" s="40">
        <v>33.03</v>
      </c>
      <c r="K2007" s="40"/>
      <c r="P2007" s="40"/>
      <c r="Q2007" s="40"/>
      <c r="R2007" s="40"/>
    </row>
    <row r="2008" spans="1:18" x14ac:dyDescent="0.2">
      <c r="A2008" s="40" t="s">
        <v>1964</v>
      </c>
      <c r="B2008" s="40">
        <v>37.35</v>
      </c>
      <c r="C2008" s="40">
        <v>42.5</v>
      </c>
      <c r="D2008" s="40">
        <v>35.979999999999997</v>
      </c>
      <c r="E2008" s="40">
        <v>42.4</v>
      </c>
      <c r="K2008" s="40"/>
      <c r="P2008" s="40"/>
      <c r="Q2008" s="40"/>
      <c r="R2008" s="40"/>
    </row>
    <row r="2009" spans="1:18" x14ac:dyDescent="0.2">
      <c r="A2009" s="40" t="s">
        <v>1965</v>
      </c>
      <c r="B2009" s="40">
        <v>41.09</v>
      </c>
      <c r="C2009" s="40">
        <v>42.9</v>
      </c>
      <c r="D2009" s="40">
        <v>33.33</v>
      </c>
      <c r="E2009" s="40">
        <v>33.92</v>
      </c>
      <c r="K2009" s="40"/>
      <c r="P2009" s="40"/>
      <c r="Q2009" s="40"/>
      <c r="R2009" s="40"/>
    </row>
    <row r="2010" spans="1:18" x14ac:dyDescent="0.2">
      <c r="A2010" s="40" t="s">
        <v>1966</v>
      </c>
      <c r="B2010" s="40">
        <v>37.869999999999997</v>
      </c>
      <c r="C2010" s="40">
        <v>39.64</v>
      </c>
      <c r="D2010" s="40">
        <v>34.380000000000003</v>
      </c>
      <c r="E2010" s="40">
        <v>34.380000000000003</v>
      </c>
      <c r="K2010" s="40"/>
      <c r="P2010" s="40"/>
      <c r="Q2010" s="40"/>
      <c r="R2010" s="40"/>
    </row>
    <row r="2011" spans="1:18" x14ac:dyDescent="0.2">
      <c r="A2011" s="40" t="s">
        <v>1967</v>
      </c>
      <c r="B2011" s="40">
        <v>33.700000000000003</v>
      </c>
      <c r="C2011" s="40">
        <v>35.47</v>
      </c>
      <c r="D2011" s="40">
        <v>30.84</v>
      </c>
      <c r="E2011" s="40">
        <v>31.64</v>
      </c>
      <c r="K2011" s="40"/>
      <c r="P2011" s="40"/>
      <c r="Q2011" s="40"/>
      <c r="R2011" s="40"/>
    </row>
    <row r="2012" spans="1:18" x14ac:dyDescent="0.2">
      <c r="A2012" s="40" t="s">
        <v>1968</v>
      </c>
      <c r="B2012" s="40">
        <v>31.72</v>
      </c>
      <c r="C2012" s="40">
        <v>31.74</v>
      </c>
      <c r="D2012" s="40">
        <v>28.57</v>
      </c>
      <c r="E2012" s="40">
        <v>28.57</v>
      </c>
      <c r="K2012" s="40"/>
      <c r="P2012" s="40"/>
      <c r="Q2012" s="40"/>
      <c r="R2012" s="40"/>
    </row>
    <row r="2013" spans="1:18" x14ac:dyDescent="0.2">
      <c r="A2013" s="41">
        <v>43497</v>
      </c>
      <c r="B2013" s="40">
        <v>31.46</v>
      </c>
      <c r="C2013" s="40">
        <v>31.46</v>
      </c>
      <c r="D2013" s="40">
        <v>22.82</v>
      </c>
      <c r="E2013" s="40">
        <v>22.82</v>
      </c>
      <c r="K2013" s="40"/>
      <c r="P2013" s="40"/>
      <c r="Q2013" s="40"/>
      <c r="R2013" s="40"/>
    </row>
    <row r="2014" spans="1:18" x14ac:dyDescent="0.2">
      <c r="A2014" s="41">
        <v>43525</v>
      </c>
      <c r="B2014" s="40">
        <v>25.82</v>
      </c>
      <c r="C2014" s="40">
        <v>28.95</v>
      </c>
      <c r="D2014" s="40">
        <v>24.47</v>
      </c>
      <c r="E2014" s="40">
        <v>26.59</v>
      </c>
      <c r="K2014" s="40"/>
      <c r="P2014" s="40"/>
      <c r="Q2014" s="40"/>
      <c r="R2014" s="40"/>
    </row>
    <row r="2015" spans="1:18" x14ac:dyDescent="0.2">
      <c r="A2015" s="41">
        <v>43556</v>
      </c>
      <c r="B2015" s="40">
        <v>24.04</v>
      </c>
      <c r="C2015" s="40">
        <v>24.38</v>
      </c>
      <c r="D2015" s="40">
        <v>20.84</v>
      </c>
      <c r="E2015" s="40">
        <v>20.85</v>
      </c>
      <c r="K2015" s="40"/>
      <c r="P2015" s="40"/>
      <c r="Q2015" s="40"/>
      <c r="R2015" s="40"/>
    </row>
    <row r="2016" spans="1:18" x14ac:dyDescent="0.2">
      <c r="A2016" s="41">
        <v>43647</v>
      </c>
      <c r="B2016" s="40">
        <v>23.42</v>
      </c>
      <c r="C2016" s="40">
        <v>23.42</v>
      </c>
      <c r="D2016" s="40">
        <v>21.11</v>
      </c>
      <c r="E2016" s="40">
        <v>21.47</v>
      </c>
      <c r="K2016" s="40"/>
      <c r="P2016" s="40"/>
      <c r="Q2016" s="40"/>
      <c r="R2016" s="40"/>
    </row>
    <row r="2017" spans="1:18" x14ac:dyDescent="0.2">
      <c r="A2017" s="41">
        <v>43678</v>
      </c>
      <c r="B2017" s="40">
        <v>20.88</v>
      </c>
      <c r="C2017" s="40">
        <v>22.92</v>
      </c>
      <c r="D2017" s="40">
        <v>19.850000000000001</v>
      </c>
      <c r="E2017" s="40">
        <v>20.13</v>
      </c>
      <c r="K2017" s="40"/>
      <c r="P2017" s="40"/>
      <c r="Q2017" s="40"/>
      <c r="R2017" s="40"/>
    </row>
    <row r="2018" spans="1:18" x14ac:dyDescent="0.2">
      <c r="A2018" s="41">
        <v>43709</v>
      </c>
      <c r="B2018" s="40">
        <v>20.260000000000002</v>
      </c>
      <c r="C2018" s="40">
        <v>21.04</v>
      </c>
      <c r="D2018" s="40">
        <v>18.7</v>
      </c>
      <c r="E2018" s="40">
        <v>18.88</v>
      </c>
      <c r="K2018" s="40"/>
      <c r="P2018" s="40"/>
      <c r="Q2018" s="40"/>
      <c r="R2018" s="40"/>
    </row>
    <row r="2019" spans="1:18" x14ac:dyDescent="0.2">
      <c r="A2019" s="41">
        <v>43739</v>
      </c>
      <c r="B2019" s="40">
        <v>20.46</v>
      </c>
      <c r="C2019" s="40">
        <v>21.04</v>
      </c>
      <c r="D2019" s="40">
        <v>17.66</v>
      </c>
      <c r="E2019" s="40">
        <v>17.739999999999998</v>
      </c>
      <c r="K2019" s="40"/>
      <c r="P2019" s="40"/>
      <c r="Q2019" s="40"/>
      <c r="R2019" s="40"/>
    </row>
    <row r="2020" spans="1:18" x14ac:dyDescent="0.2">
      <c r="A2020" s="41">
        <v>43770</v>
      </c>
      <c r="B2020" s="40">
        <v>18.64</v>
      </c>
      <c r="C2020" s="40">
        <v>18.760000000000002</v>
      </c>
      <c r="D2020" s="40">
        <v>15.96</v>
      </c>
      <c r="E2020" s="40">
        <v>15.96</v>
      </c>
      <c r="K2020" s="40"/>
      <c r="P2020" s="40"/>
      <c r="Q2020" s="40"/>
      <c r="R2020" s="40"/>
    </row>
    <row r="2021" spans="1:18" x14ac:dyDescent="0.2">
      <c r="A2021" s="40" t="s">
        <v>1969</v>
      </c>
      <c r="B2021" s="40">
        <v>19.43</v>
      </c>
      <c r="C2021" s="40">
        <v>19.46</v>
      </c>
      <c r="D2021" s="40">
        <v>16.899999999999999</v>
      </c>
      <c r="E2021" s="40">
        <v>17.04</v>
      </c>
      <c r="K2021" s="40"/>
      <c r="P2021" s="40"/>
      <c r="Q2021" s="40"/>
      <c r="R2021" s="40"/>
    </row>
    <row r="2022" spans="1:18" x14ac:dyDescent="0.2">
      <c r="A2022" s="40" t="s">
        <v>1970</v>
      </c>
      <c r="B2022" s="40">
        <v>17.62</v>
      </c>
      <c r="C2022" s="40">
        <v>17.68</v>
      </c>
      <c r="D2022" s="40">
        <v>16.16</v>
      </c>
      <c r="E2022" s="40">
        <v>16.5</v>
      </c>
      <c r="K2022" s="40"/>
      <c r="P2022" s="40"/>
      <c r="Q2022" s="40"/>
      <c r="R2022" s="40"/>
    </row>
    <row r="2023" spans="1:18" x14ac:dyDescent="0.2">
      <c r="A2023" s="40" t="s">
        <v>1971</v>
      </c>
      <c r="B2023" s="40">
        <v>16.600000000000001</v>
      </c>
      <c r="C2023" s="40">
        <v>16.95</v>
      </c>
      <c r="D2023" s="40">
        <v>15.98</v>
      </c>
      <c r="E2023" s="40">
        <v>16.34</v>
      </c>
      <c r="K2023" s="40"/>
      <c r="P2023" s="40"/>
      <c r="Q2023" s="40"/>
      <c r="R2023" s="40"/>
    </row>
    <row r="2024" spans="1:18" x14ac:dyDescent="0.2">
      <c r="A2024" s="40" t="s">
        <v>1972</v>
      </c>
      <c r="B2024" s="40">
        <v>17.32</v>
      </c>
      <c r="C2024" s="40">
        <v>17.32</v>
      </c>
      <c r="D2024" s="40">
        <v>15.31</v>
      </c>
      <c r="E2024" s="40">
        <v>15.67</v>
      </c>
      <c r="K2024" s="40"/>
      <c r="P2024" s="40"/>
      <c r="Q2024" s="40"/>
      <c r="R2024" s="40"/>
    </row>
    <row r="2025" spans="1:18" x14ac:dyDescent="0.2">
      <c r="A2025" s="40" t="s">
        <v>1973</v>
      </c>
      <c r="B2025" s="40">
        <v>15.7</v>
      </c>
      <c r="C2025" s="40">
        <v>16.21</v>
      </c>
      <c r="D2025" s="40">
        <v>14.98</v>
      </c>
      <c r="E2025" s="40">
        <v>15.04</v>
      </c>
      <c r="K2025" s="40"/>
      <c r="P2025" s="40"/>
      <c r="Q2025" s="40"/>
      <c r="R2025" s="40"/>
    </row>
    <row r="2026" spans="1:18" x14ac:dyDescent="0.2">
      <c r="A2026" s="40" t="s">
        <v>1974</v>
      </c>
      <c r="B2026" s="40">
        <v>18.96</v>
      </c>
      <c r="C2026" s="40">
        <v>21.96</v>
      </c>
      <c r="D2026" s="40">
        <v>18.89</v>
      </c>
      <c r="E2026" s="40">
        <v>21.24</v>
      </c>
      <c r="K2026" s="40"/>
      <c r="P2026" s="40"/>
      <c r="Q2026" s="40"/>
      <c r="R2026" s="40"/>
    </row>
    <row r="2027" spans="1:18" x14ac:dyDescent="0.2">
      <c r="A2027" s="40" t="s">
        <v>1975</v>
      </c>
      <c r="B2027" s="40">
        <v>20.75</v>
      </c>
      <c r="C2027" s="40">
        <v>22.89</v>
      </c>
      <c r="D2027" s="40">
        <v>19.399999999999999</v>
      </c>
      <c r="E2027" s="40">
        <v>19.399999999999999</v>
      </c>
      <c r="K2027" s="40"/>
      <c r="P2027" s="40"/>
      <c r="Q2027" s="40"/>
      <c r="R2027" s="40"/>
    </row>
    <row r="2028" spans="1:18" x14ac:dyDescent="0.2">
      <c r="A2028" s="40" t="s">
        <v>1976</v>
      </c>
      <c r="B2028" s="40">
        <v>20.399999999999999</v>
      </c>
      <c r="C2028" s="40">
        <v>20.63</v>
      </c>
      <c r="D2028" s="40">
        <v>17.600000000000001</v>
      </c>
      <c r="E2028" s="40">
        <v>17.64</v>
      </c>
      <c r="K2028" s="40"/>
      <c r="P2028" s="40"/>
      <c r="Q2028" s="40"/>
      <c r="R2028" s="40"/>
    </row>
    <row r="2029" spans="1:18" x14ac:dyDescent="0.2">
      <c r="A2029" s="40" t="s">
        <v>1977</v>
      </c>
      <c r="B2029" s="40">
        <v>17.53</v>
      </c>
      <c r="C2029" s="40">
        <v>17.8</v>
      </c>
      <c r="D2029" s="40">
        <v>16.239999999999998</v>
      </c>
      <c r="E2029" s="40">
        <v>16.39</v>
      </c>
      <c r="K2029" s="40"/>
      <c r="P2029" s="40"/>
      <c r="Q2029" s="40"/>
      <c r="R2029" s="40"/>
    </row>
    <row r="2030" spans="1:18" x14ac:dyDescent="0.2">
      <c r="A2030" s="40" t="s">
        <v>1978</v>
      </c>
      <c r="B2030" s="40">
        <v>20.260000000000002</v>
      </c>
      <c r="C2030" s="40">
        <v>22.07</v>
      </c>
      <c r="D2030" s="40">
        <v>19.41</v>
      </c>
      <c r="E2030" s="40">
        <v>19.489999999999998</v>
      </c>
      <c r="K2030" s="40"/>
      <c r="P2030" s="40"/>
      <c r="Q2030" s="40"/>
      <c r="R2030" s="40"/>
    </row>
    <row r="2031" spans="1:18" x14ac:dyDescent="0.2">
      <c r="A2031" s="40" t="s">
        <v>1979</v>
      </c>
      <c r="B2031" s="40">
        <v>19.45</v>
      </c>
      <c r="C2031" s="40">
        <v>21.12</v>
      </c>
      <c r="D2031" s="40">
        <v>19.38</v>
      </c>
      <c r="E2031" s="40">
        <v>19.95</v>
      </c>
      <c r="K2031" s="40"/>
      <c r="P2031" s="40"/>
      <c r="Q2031" s="40"/>
      <c r="R2031" s="40"/>
    </row>
    <row r="2032" spans="1:18" x14ac:dyDescent="0.2">
      <c r="A2032" s="40" t="s">
        <v>1980</v>
      </c>
      <c r="B2032" s="40">
        <v>19.52</v>
      </c>
      <c r="C2032" s="40">
        <v>19.97</v>
      </c>
      <c r="D2032" s="40">
        <v>17.32</v>
      </c>
      <c r="E2032" s="40">
        <v>17.37</v>
      </c>
      <c r="K2032" s="40"/>
      <c r="P2032" s="40"/>
      <c r="Q2032" s="40"/>
      <c r="R2032" s="40"/>
    </row>
    <row r="2033" spans="1:18" x14ac:dyDescent="0.2">
      <c r="A2033" s="40" t="s">
        <v>1981</v>
      </c>
      <c r="B2033" s="40">
        <v>17.23</v>
      </c>
      <c r="C2033" s="40">
        <v>17.27</v>
      </c>
      <c r="D2033" s="40">
        <v>15.42</v>
      </c>
      <c r="E2033" s="40">
        <v>15.61</v>
      </c>
      <c r="K2033" s="40"/>
      <c r="P2033" s="40"/>
      <c r="Q2033" s="40"/>
      <c r="R2033" s="40"/>
    </row>
    <row r="2034" spans="1:18" x14ac:dyDescent="0.2">
      <c r="A2034" s="41">
        <v>43467</v>
      </c>
      <c r="B2034" s="40">
        <v>15.18</v>
      </c>
      <c r="C2034" s="40">
        <v>15.35</v>
      </c>
      <c r="D2034" s="40">
        <v>14.09</v>
      </c>
      <c r="E2034" s="40">
        <v>14.09</v>
      </c>
      <c r="K2034" s="40"/>
      <c r="P2034" s="40"/>
      <c r="Q2034" s="40"/>
      <c r="R2034" s="40"/>
    </row>
    <row r="2035" spans="1:18" x14ac:dyDescent="0.2">
      <c r="A2035" s="41">
        <v>43557</v>
      </c>
      <c r="B2035" s="40">
        <v>15.94</v>
      </c>
      <c r="C2035" s="40">
        <v>15.97</v>
      </c>
      <c r="D2035" s="40">
        <v>13.59</v>
      </c>
      <c r="E2035" s="40">
        <v>13.67</v>
      </c>
      <c r="K2035" s="40"/>
      <c r="P2035" s="40"/>
      <c r="Q2035" s="40"/>
      <c r="R2035" s="40"/>
    </row>
    <row r="2036" spans="1:18" x14ac:dyDescent="0.2">
      <c r="A2036" s="41">
        <v>43587</v>
      </c>
      <c r="B2036" s="40">
        <v>13.86</v>
      </c>
      <c r="C2036" s="40">
        <v>14.4</v>
      </c>
      <c r="D2036" s="40">
        <v>13.19</v>
      </c>
      <c r="E2036" s="40">
        <v>13.46</v>
      </c>
      <c r="K2036" s="40"/>
      <c r="P2036" s="40"/>
      <c r="Q2036" s="40"/>
      <c r="R2036" s="40"/>
    </row>
    <row r="2037" spans="1:18" x14ac:dyDescent="0.2">
      <c r="A2037" s="41">
        <v>43618</v>
      </c>
      <c r="B2037" s="40">
        <v>13.51</v>
      </c>
      <c r="C2037" s="40">
        <v>14.03</v>
      </c>
      <c r="D2037" s="40">
        <v>12.69</v>
      </c>
      <c r="E2037" s="40">
        <v>12.73</v>
      </c>
      <c r="K2037" s="40"/>
      <c r="P2037" s="40"/>
      <c r="Q2037" s="40"/>
      <c r="R2037" s="40"/>
    </row>
    <row r="2038" spans="1:18" x14ac:dyDescent="0.2">
      <c r="A2038" s="41">
        <v>43648</v>
      </c>
      <c r="B2038" s="40">
        <v>14.19</v>
      </c>
      <c r="C2038" s="40">
        <v>17.45</v>
      </c>
      <c r="D2038" s="40">
        <v>13.78</v>
      </c>
      <c r="E2038" s="40">
        <v>14.89</v>
      </c>
      <c r="K2038" s="40"/>
      <c r="P2038" s="40"/>
      <c r="Q2038" s="40"/>
      <c r="R2038" s="40"/>
    </row>
    <row r="2039" spans="1:18" x14ac:dyDescent="0.2">
      <c r="A2039" s="41">
        <v>43679</v>
      </c>
      <c r="B2039" s="40">
        <v>16.100000000000001</v>
      </c>
      <c r="C2039" s="40">
        <v>17.170000000000002</v>
      </c>
      <c r="D2039" s="40">
        <v>13.44</v>
      </c>
      <c r="E2039" s="40">
        <v>13.61</v>
      </c>
      <c r="K2039" s="40"/>
      <c r="P2039" s="40"/>
      <c r="Q2039" s="40"/>
      <c r="R2039" s="40"/>
    </row>
    <row r="2040" spans="1:18" x14ac:dyDescent="0.2">
      <c r="A2040" s="41">
        <v>43771</v>
      </c>
      <c r="B2040" s="40">
        <v>14.72</v>
      </c>
      <c r="C2040" s="40">
        <v>15.47</v>
      </c>
      <c r="D2040" s="40">
        <v>14.56</v>
      </c>
      <c r="E2040" s="40">
        <v>14.67</v>
      </c>
      <c r="K2040" s="40"/>
      <c r="P2040" s="40"/>
      <c r="Q2040" s="40"/>
      <c r="R2040" s="40"/>
    </row>
    <row r="2041" spans="1:18" x14ac:dyDescent="0.2">
      <c r="A2041" s="41">
        <v>43801</v>
      </c>
      <c r="B2041" s="40">
        <v>13.95</v>
      </c>
      <c r="C2041" s="40">
        <v>14.1</v>
      </c>
      <c r="D2041" s="40">
        <v>13.38</v>
      </c>
      <c r="E2041" s="40">
        <v>13.47</v>
      </c>
      <c r="K2041" s="40"/>
      <c r="P2041" s="40"/>
      <c r="Q2041" s="40"/>
      <c r="R2041" s="40"/>
    </row>
    <row r="2042" spans="1:18" x14ac:dyDescent="0.2">
      <c r="A2042" s="40" t="s">
        <v>1982</v>
      </c>
      <c r="B2042" s="40">
        <v>13.73</v>
      </c>
      <c r="C2042" s="40">
        <v>14.14</v>
      </c>
      <c r="D2042" s="40">
        <v>12.82</v>
      </c>
      <c r="E2042" s="40">
        <v>13.49</v>
      </c>
      <c r="K2042" s="40"/>
      <c r="P2042" s="40"/>
      <c r="Q2042" s="40"/>
      <c r="R2042" s="40"/>
    </row>
    <row r="2043" spans="1:18" x14ac:dyDescent="0.2">
      <c r="A2043" s="40" t="s">
        <v>1983</v>
      </c>
      <c r="B2043" s="40">
        <v>15.11</v>
      </c>
      <c r="C2043" s="40">
        <v>15.77</v>
      </c>
      <c r="D2043" s="40">
        <v>13.66</v>
      </c>
      <c r="E2043" s="40">
        <v>14.11</v>
      </c>
      <c r="K2043" s="40"/>
      <c r="P2043" s="40"/>
      <c r="Q2043" s="40"/>
      <c r="R2043" s="40"/>
    </row>
    <row r="2044" spans="1:18" x14ac:dyDescent="0.2">
      <c r="A2044" s="40" t="s">
        <v>1984</v>
      </c>
      <c r="B2044" s="40">
        <v>13.45</v>
      </c>
      <c r="C2044" s="40">
        <v>13.61</v>
      </c>
      <c r="D2044" s="40">
        <v>12.02</v>
      </c>
      <c r="E2044" s="40">
        <v>12.18</v>
      </c>
      <c r="K2044" s="40"/>
      <c r="P2044" s="40"/>
      <c r="Q2044" s="40"/>
      <c r="R2044" s="40"/>
    </row>
    <row r="2045" spans="1:18" x14ac:dyDescent="0.2">
      <c r="A2045" s="40" t="s">
        <v>1985</v>
      </c>
      <c r="B2045" s="40">
        <v>15.2</v>
      </c>
      <c r="C2045" s="40">
        <v>15.21</v>
      </c>
      <c r="D2045" s="40">
        <v>13.19</v>
      </c>
      <c r="E2045" s="40">
        <v>13.38</v>
      </c>
      <c r="K2045" s="40"/>
      <c r="P2045" s="40"/>
      <c r="Q2045" s="40"/>
      <c r="R2045" s="40"/>
    </row>
    <row r="2046" spans="1:18" x14ac:dyDescent="0.2">
      <c r="A2046" s="40" t="s">
        <v>1986</v>
      </c>
      <c r="B2046" s="40">
        <v>13.66</v>
      </c>
      <c r="C2046" s="40">
        <v>13.89</v>
      </c>
      <c r="D2046" s="40">
        <v>12.48</v>
      </c>
      <c r="E2046" s="40">
        <v>12.6</v>
      </c>
      <c r="K2046" s="40"/>
      <c r="P2046" s="40"/>
      <c r="Q2046" s="40"/>
      <c r="R2046" s="40"/>
    </row>
    <row r="2047" spans="1:18" x14ac:dyDescent="0.2">
      <c r="A2047" s="40" t="s">
        <v>1987</v>
      </c>
      <c r="B2047" s="40">
        <v>13.53</v>
      </c>
      <c r="C2047" s="40">
        <v>14.46</v>
      </c>
      <c r="D2047" s="40">
        <v>12.68</v>
      </c>
      <c r="E2047" s="40">
        <v>13.18</v>
      </c>
      <c r="K2047" s="40"/>
      <c r="P2047" s="40"/>
      <c r="Q2047" s="40"/>
      <c r="R2047" s="40"/>
    </row>
    <row r="2048" spans="1:18" x14ac:dyDescent="0.2">
      <c r="A2048" s="40" t="s">
        <v>1988</v>
      </c>
      <c r="B2048" s="40">
        <v>13.13</v>
      </c>
      <c r="C2048" s="40">
        <v>13.18</v>
      </c>
      <c r="D2048" s="40">
        <v>11.47</v>
      </c>
      <c r="E2048" s="40">
        <v>11.49</v>
      </c>
      <c r="K2048" s="40"/>
      <c r="P2048" s="40"/>
      <c r="Q2048" s="40"/>
      <c r="R2048" s="40"/>
    </row>
    <row r="2049" spans="1:18" x14ac:dyDescent="0.2">
      <c r="A2049" s="40" t="s">
        <v>1989</v>
      </c>
      <c r="B2049" s="40">
        <v>12.85</v>
      </c>
      <c r="C2049" s="40">
        <v>14.09</v>
      </c>
      <c r="D2049" s="40">
        <v>12.57</v>
      </c>
      <c r="E2049" s="40">
        <v>14.06</v>
      </c>
      <c r="K2049" s="40"/>
      <c r="P2049" s="40"/>
      <c r="Q2049" s="40"/>
      <c r="R2049" s="40"/>
    </row>
    <row r="2050" spans="1:18" x14ac:dyDescent="0.2">
      <c r="A2050" s="40" t="s">
        <v>1990</v>
      </c>
      <c r="B2050" s="40">
        <v>14.48</v>
      </c>
      <c r="C2050" s="40">
        <v>14.61</v>
      </c>
      <c r="D2050" s="40">
        <v>13.29</v>
      </c>
      <c r="E2050" s="40">
        <v>14.2</v>
      </c>
      <c r="K2050" s="40"/>
      <c r="P2050" s="40"/>
      <c r="Q2050" s="40"/>
      <c r="R2050" s="40"/>
    </row>
    <row r="2051" spans="1:18" x14ac:dyDescent="0.2">
      <c r="A2051" s="40" t="s">
        <v>1991</v>
      </c>
      <c r="B2051" s="40">
        <v>14.57</v>
      </c>
      <c r="C2051" s="40">
        <v>15.66</v>
      </c>
      <c r="D2051" s="40">
        <v>13.14</v>
      </c>
      <c r="E2051" s="40">
        <v>13.14</v>
      </c>
      <c r="K2051" s="40"/>
      <c r="P2051" s="40"/>
      <c r="Q2051" s="40"/>
      <c r="R2051" s="40"/>
    </row>
    <row r="2052" spans="1:18" x14ac:dyDescent="0.2">
      <c r="A2052" s="40" t="s">
        <v>1992</v>
      </c>
      <c r="B2052" s="40">
        <v>13.17</v>
      </c>
      <c r="C2052" s="40">
        <v>13.74</v>
      </c>
      <c r="D2052" s="40">
        <v>12.46</v>
      </c>
      <c r="E2052" s="40">
        <v>13.18</v>
      </c>
      <c r="K2052" s="40"/>
      <c r="P2052" s="40"/>
      <c r="Q2052" s="40"/>
      <c r="R2052" s="40"/>
    </row>
    <row r="2053" spans="1:18" x14ac:dyDescent="0.2">
      <c r="A2053" s="41">
        <v>43468</v>
      </c>
      <c r="B2053" s="40">
        <v>12.39</v>
      </c>
      <c r="C2053" s="40">
        <v>13.19</v>
      </c>
      <c r="D2053" s="40">
        <v>11.08</v>
      </c>
      <c r="E2053" s="40">
        <v>11.33</v>
      </c>
      <c r="K2053" s="40"/>
      <c r="P2053" s="40"/>
      <c r="Q2053" s="40"/>
      <c r="R2053" s="40"/>
    </row>
    <row r="2054" spans="1:18" x14ac:dyDescent="0.2">
      <c r="A2054" s="41">
        <v>43558</v>
      </c>
      <c r="B2054" s="40">
        <v>12.42</v>
      </c>
      <c r="C2054" s="40">
        <v>17.649999999999999</v>
      </c>
      <c r="D2054" s="40">
        <v>11.9</v>
      </c>
      <c r="E2054" s="40">
        <v>13.4</v>
      </c>
      <c r="K2054" s="40"/>
      <c r="P2054" s="40"/>
      <c r="Q2054" s="40"/>
      <c r="R2054" s="40"/>
    </row>
    <row r="2055" spans="1:18" x14ac:dyDescent="0.2">
      <c r="A2055" s="41">
        <v>43588</v>
      </c>
      <c r="B2055" s="40">
        <v>13.54</v>
      </c>
      <c r="C2055" s="40">
        <v>14.7</v>
      </c>
      <c r="D2055" s="40">
        <v>12.74</v>
      </c>
      <c r="E2055" s="40">
        <v>13.36</v>
      </c>
      <c r="K2055" s="40"/>
      <c r="P2055" s="40"/>
      <c r="Q2055" s="40"/>
      <c r="R2055" s="40"/>
    </row>
    <row r="2056" spans="1:18" x14ac:dyDescent="0.2">
      <c r="A2056" s="41">
        <v>43619</v>
      </c>
      <c r="B2056" s="40">
        <v>13.6</v>
      </c>
      <c r="C2056" s="40">
        <v>15.65</v>
      </c>
      <c r="D2056" s="40">
        <v>13.49</v>
      </c>
      <c r="E2056" s="40">
        <v>14.99</v>
      </c>
      <c r="K2056" s="40"/>
      <c r="P2056" s="40"/>
      <c r="Q2056" s="40"/>
      <c r="R2056" s="40"/>
    </row>
    <row r="2057" spans="1:18" x14ac:dyDescent="0.2">
      <c r="A2057" s="41">
        <v>43649</v>
      </c>
      <c r="B2057" s="40">
        <v>16.09</v>
      </c>
      <c r="C2057" s="40">
        <v>18.47</v>
      </c>
      <c r="D2057" s="40">
        <v>15.17</v>
      </c>
      <c r="E2057" s="40">
        <v>16.149999999999999</v>
      </c>
      <c r="K2057" s="40"/>
      <c r="P2057" s="40"/>
      <c r="Q2057" s="40"/>
      <c r="R2057" s="40"/>
    </row>
    <row r="2058" spans="1:18" x14ac:dyDescent="0.2">
      <c r="A2058" s="41">
        <v>43680</v>
      </c>
      <c r="B2058" s="40">
        <v>18.57</v>
      </c>
      <c r="C2058" s="40">
        <v>18.79</v>
      </c>
      <c r="D2058" s="40">
        <v>14.56</v>
      </c>
      <c r="E2058" s="40">
        <v>14.63</v>
      </c>
      <c r="K2058" s="40"/>
      <c r="P2058" s="40"/>
      <c r="Q2058" s="40"/>
      <c r="R2058" s="40"/>
    </row>
    <row r="2059" spans="1:18" x14ac:dyDescent="0.2">
      <c r="A2059" s="41">
        <v>43772</v>
      </c>
      <c r="B2059" s="40">
        <v>16.07</v>
      </c>
      <c r="C2059" s="40">
        <v>16.07</v>
      </c>
      <c r="D2059" s="40">
        <v>13.36</v>
      </c>
      <c r="E2059" s="40">
        <v>13.4</v>
      </c>
      <c r="K2059" s="40"/>
      <c r="P2059" s="40"/>
      <c r="Q2059" s="40"/>
      <c r="R2059" s="40"/>
    </row>
    <row r="2060" spans="1:18" x14ac:dyDescent="0.2">
      <c r="A2060" s="41">
        <v>43802</v>
      </c>
      <c r="B2060" s="40">
        <v>13.57</v>
      </c>
      <c r="C2060" s="40">
        <v>13.61</v>
      </c>
      <c r="D2060" s="40">
        <v>12.69</v>
      </c>
      <c r="E2060" s="40">
        <v>12.73</v>
      </c>
      <c r="K2060" s="40"/>
      <c r="P2060" s="40"/>
      <c r="Q2060" s="40"/>
      <c r="R2060" s="40"/>
    </row>
    <row r="2061" spans="1:18" x14ac:dyDescent="0.2">
      <c r="A2061" s="40" t="s">
        <v>1993</v>
      </c>
      <c r="B2061" s="40">
        <v>12.41</v>
      </c>
      <c r="C2061" s="40">
        <v>13.3</v>
      </c>
      <c r="D2061" s="40">
        <v>12.17</v>
      </c>
      <c r="E2061" s="40">
        <v>12.53</v>
      </c>
      <c r="K2061" s="40"/>
      <c r="P2061" s="40"/>
      <c r="Q2061" s="40"/>
      <c r="R2061" s="40"/>
    </row>
    <row r="2062" spans="1:18" x14ac:dyDescent="0.2">
      <c r="A2062" s="40" t="s">
        <v>1994</v>
      </c>
      <c r="B2062" s="40">
        <v>12.96</v>
      </c>
      <c r="C2062" s="40">
        <v>13.2</v>
      </c>
      <c r="D2062" s="40">
        <v>12.05</v>
      </c>
      <c r="E2062" s="40">
        <v>12.52</v>
      </c>
      <c r="K2062" s="40"/>
      <c r="P2062" s="40"/>
      <c r="Q2062" s="40"/>
      <c r="R2062" s="40"/>
    </row>
    <row r="2063" spans="1:18" x14ac:dyDescent="0.2">
      <c r="A2063" s="40" t="s">
        <v>1995</v>
      </c>
      <c r="B2063" s="40">
        <v>12.39</v>
      </c>
      <c r="C2063" s="40">
        <v>12.43</v>
      </c>
      <c r="D2063" s="40">
        <v>11.18</v>
      </c>
      <c r="E2063" s="40">
        <v>11.22</v>
      </c>
      <c r="K2063" s="40"/>
      <c r="P2063" s="40"/>
      <c r="Q2063" s="40"/>
      <c r="R2063" s="40"/>
    </row>
    <row r="2064" spans="1:18" x14ac:dyDescent="0.2">
      <c r="A2064" s="40" t="s">
        <v>1996</v>
      </c>
      <c r="B2064" s="40">
        <v>12.74</v>
      </c>
      <c r="C2064" s="40">
        <v>13.61</v>
      </c>
      <c r="D2064" s="40">
        <v>12.48</v>
      </c>
      <c r="E2064" s="40">
        <v>12.53</v>
      </c>
      <c r="K2064" s="40"/>
      <c r="P2064" s="40"/>
      <c r="Q2064" s="40"/>
      <c r="R2064" s="40"/>
    </row>
    <row r="2065" spans="1:18" x14ac:dyDescent="0.2">
      <c r="A2065" s="40" t="s">
        <v>1997</v>
      </c>
      <c r="B2065" s="40">
        <v>12.24</v>
      </c>
      <c r="C2065" s="40">
        <v>13.93</v>
      </c>
      <c r="D2065" s="40">
        <v>12.22</v>
      </c>
      <c r="E2065" s="40">
        <v>13.53</v>
      </c>
      <c r="K2065" s="40"/>
      <c r="P2065" s="40"/>
      <c r="Q2065" s="40"/>
      <c r="R2065" s="40"/>
    </row>
    <row r="2066" spans="1:18" x14ac:dyDescent="0.2">
      <c r="A2066" s="40" t="s">
        <v>1998</v>
      </c>
      <c r="B2066" s="40">
        <v>14.22</v>
      </c>
      <c r="C2066" s="40">
        <v>14.73</v>
      </c>
      <c r="D2066" s="40">
        <v>12.36</v>
      </c>
      <c r="E2066" s="40">
        <v>13.49</v>
      </c>
      <c r="K2066" s="40"/>
      <c r="P2066" s="40"/>
      <c r="Q2066" s="40"/>
      <c r="R2066" s="40"/>
    </row>
    <row r="2067" spans="1:18" x14ac:dyDescent="0.2">
      <c r="A2067" s="40" t="s">
        <v>1999</v>
      </c>
      <c r="B2067" s="40">
        <v>13.98</v>
      </c>
      <c r="C2067" s="40">
        <v>13.99</v>
      </c>
      <c r="D2067" s="40">
        <v>12.62</v>
      </c>
      <c r="E2067" s="40">
        <v>13.11</v>
      </c>
      <c r="K2067" s="40"/>
      <c r="P2067" s="40"/>
      <c r="Q2067" s="40"/>
      <c r="R2067" s="40"/>
    </row>
    <row r="2068" spans="1:18" x14ac:dyDescent="0.2">
      <c r="A2068" s="40" t="s">
        <v>2000</v>
      </c>
      <c r="B2068" s="40">
        <v>13.94</v>
      </c>
      <c r="C2068" s="40">
        <v>18.47</v>
      </c>
      <c r="D2068" s="40">
        <v>13.6</v>
      </c>
      <c r="E2068" s="40">
        <v>16.850000000000001</v>
      </c>
      <c r="K2068" s="40"/>
      <c r="P2068" s="40"/>
      <c r="Q2068" s="40"/>
      <c r="R2068" s="40"/>
    </row>
    <row r="2069" spans="1:18" x14ac:dyDescent="0.2">
      <c r="A2069" s="40" t="s">
        <v>2001</v>
      </c>
      <c r="B2069" s="40">
        <v>18.89</v>
      </c>
      <c r="C2069" s="40">
        <v>19.57</v>
      </c>
      <c r="D2069" s="40">
        <v>16.38</v>
      </c>
      <c r="E2069" s="40">
        <v>16.41</v>
      </c>
      <c r="K2069" s="40"/>
      <c r="P2069" s="40"/>
      <c r="Q2069" s="40"/>
      <c r="R2069" s="40"/>
    </row>
    <row r="2070" spans="1:18" x14ac:dyDescent="0.2">
      <c r="A2070" s="40" t="s">
        <v>2002</v>
      </c>
      <c r="B2070" s="40">
        <v>15.46</v>
      </c>
      <c r="C2070" s="40">
        <v>15.63</v>
      </c>
      <c r="D2070" s="40">
        <v>13.89</v>
      </c>
      <c r="E2070" s="40">
        <v>13.95</v>
      </c>
      <c r="K2070" s="40"/>
      <c r="P2070" s="40"/>
      <c r="Q2070" s="40"/>
      <c r="R2070" s="40"/>
    </row>
    <row r="2071" spans="1:18" x14ac:dyDescent="0.2">
      <c r="A2071" s="40" t="s">
        <v>2003</v>
      </c>
      <c r="B2071" s="40">
        <v>14.41</v>
      </c>
      <c r="C2071" s="40">
        <v>17.13</v>
      </c>
      <c r="D2071" s="40">
        <v>14.18</v>
      </c>
      <c r="E2071" s="40">
        <v>14.7</v>
      </c>
      <c r="K2071" s="40"/>
      <c r="P2071" s="40"/>
      <c r="Q2071" s="40"/>
      <c r="R2071" s="40"/>
    </row>
    <row r="2072" spans="1:18" x14ac:dyDescent="0.2">
      <c r="A2072" s="40" t="s">
        <v>2004</v>
      </c>
      <c r="B2072" s="40">
        <v>14.62</v>
      </c>
      <c r="C2072" s="40">
        <v>15.57</v>
      </c>
      <c r="D2072" s="40">
        <v>13.64</v>
      </c>
      <c r="E2072" s="40">
        <v>13.7</v>
      </c>
      <c r="K2072" s="40"/>
      <c r="P2072" s="40"/>
      <c r="Q2072" s="40"/>
      <c r="R2072" s="40"/>
    </row>
    <row r="2073" spans="1:18" x14ac:dyDescent="0.2">
      <c r="A2073" s="40" t="s">
        <v>2005</v>
      </c>
      <c r="B2073" s="40">
        <v>13.16</v>
      </c>
      <c r="C2073" s="40">
        <v>13.64</v>
      </c>
      <c r="D2073" s="40">
        <v>12.06</v>
      </c>
      <c r="E2073" s="40">
        <v>12.34</v>
      </c>
      <c r="K2073" s="40"/>
      <c r="P2073" s="40"/>
      <c r="Q2073" s="40"/>
      <c r="R2073" s="40"/>
    </row>
    <row r="2074" spans="1:18" x14ac:dyDescent="0.2">
      <c r="A2074" s="41">
        <v>43469</v>
      </c>
      <c r="B2074" s="40">
        <v>13.21</v>
      </c>
      <c r="C2074" s="40">
        <v>13.34</v>
      </c>
      <c r="D2074" s="40">
        <v>11.95</v>
      </c>
      <c r="E2074" s="40">
        <v>12.11</v>
      </c>
      <c r="K2074" s="40"/>
      <c r="P2074" s="40"/>
      <c r="Q2074" s="40"/>
      <c r="R2074" s="40"/>
    </row>
    <row r="2075" spans="1:18" x14ac:dyDescent="0.2">
      <c r="A2075" s="41">
        <v>43500</v>
      </c>
      <c r="B2075" s="40">
        <v>12.26</v>
      </c>
      <c r="C2075" s="40">
        <v>12.47</v>
      </c>
      <c r="D2075" s="40">
        <v>11.51</v>
      </c>
      <c r="E2075" s="40">
        <v>11.86</v>
      </c>
      <c r="K2075" s="40"/>
      <c r="P2075" s="40"/>
      <c r="Q2075" s="40"/>
      <c r="R2075" s="40"/>
    </row>
    <row r="2076" spans="1:18" x14ac:dyDescent="0.2">
      <c r="A2076" s="41">
        <v>43528</v>
      </c>
      <c r="B2076" s="40">
        <v>11.75</v>
      </c>
      <c r="C2076" s="40">
        <v>13.12</v>
      </c>
      <c r="D2076" s="40">
        <v>11.63</v>
      </c>
      <c r="E2076" s="40">
        <v>12.29</v>
      </c>
      <c r="K2076" s="40"/>
      <c r="P2076" s="40"/>
      <c r="Q2076" s="40"/>
      <c r="R2076" s="40"/>
    </row>
    <row r="2077" spans="1:18" x14ac:dyDescent="0.2">
      <c r="A2077" s="41">
        <v>43559</v>
      </c>
      <c r="B2077" s="40">
        <v>12.44</v>
      </c>
      <c r="C2077" s="40">
        <v>12.45</v>
      </c>
      <c r="D2077" s="40">
        <v>11.31</v>
      </c>
      <c r="E2077" s="40">
        <v>11.58</v>
      </c>
      <c r="K2077" s="40"/>
      <c r="P2077" s="40"/>
      <c r="Q2077" s="40"/>
      <c r="R2077" s="40"/>
    </row>
    <row r="2078" spans="1:18" x14ac:dyDescent="0.2">
      <c r="A2078" s="41">
        <v>43589</v>
      </c>
      <c r="B2078" s="40">
        <v>11.26</v>
      </c>
      <c r="C2078" s="40">
        <v>11.26</v>
      </c>
      <c r="D2078" s="40">
        <v>9.92</v>
      </c>
      <c r="E2078" s="40">
        <v>10.119999999999999</v>
      </c>
      <c r="K2078" s="40"/>
      <c r="P2078" s="40"/>
      <c r="Q2078" s="40"/>
      <c r="R2078" s="40"/>
    </row>
    <row r="2079" spans="1:18" x14ac:dyDescent="0.2">
      <c r="A2079" s="41">
        <v>43681</v>
      </c>
      <c r="B2079" s="40">
        <v>11.63</v>
      </c>
      <c r="C2079" s="40">
        <v>11.92</v>
      </c>
      <c r="D2079" s="40">
        <v>10.65</v>
      </c>
      <c r="E2079" s="40">
        <v>10.74</v>
      </c>
      <c r="K2079" s="40"/>
      <c r="P2079" s="40"/>
      <c r="Q2079" s="40"/>
      <c r="R2079" s="40"/>
    </row>
    <row r="2080" spans="1:18" x14ac:dyDescent="0.2">
      <c r="A2080" s="41">
        <v>43712</v>
      </c>
      <c r="B2080" s="40">
        <v>11.71</v>
      </c>
      <c r="C2080" s="40">
        <v>12.21</v>
      </c>
      <c r="D2080" s="40">
        <v>11.03</v>
      </c>
      <c r="E2080" s="40">
        <v>11.78</v>
      </c>
      <c r="K2080" s="40"/>
      <c r="P2080" s="40"/>
      <c r="Q2080" s="40"/>
      <c r="R2080" s="40"/>
    </row>
    <row r="2081" spans="1:18" x14ac:dyDescent="0.2">
      <c r="A2081" s="41">
        <v>43742</v>
      </c>
      <c r="B2081" s="40">
        <v>11.45</v>
      </c>
      <c r="C2081" s="40">
        <v>11.62</v>
      </c>
      <c r="D2081" s="40">
        <v>8.77</v>
      </c>
      <c r="E2081" s="40">
        <v>10.14</v>
      </c>
      <c r="K2081" s="40"/>
      <c r="P2081" s="40"/>
      <c r="Q2081" s="40"/>
      <c r="R2081" s="40"/>
    </row>
    <row r="2082" spans="1:18" x14ac:dyDescent="0.2">
      <c r="A2082" s="41">
        <v>43773</v>
      </c>
      <c r="B2082" s="40">
        <v>10.81</v>
      </c>
      <c r="C2082" s="40">
        <v>11.05</v>
      </c>
      <c r="D2082" s="40">
        <v>10.29</v>
      </c>
      <c r="E2082" s="40">
        <v>10.52</v>
      </c>
      <c r="K2082" s="40"/>
      <c r="P2082" s="40"/>
      <c r="Q2082" s="40"/>
      <c r="R2082" s="40"/>
    </row>
    <row r="2083" spans="1:18" x14ac:dyDescent="0.2">
      <c r="A2083" s="41">
        <v>43803</v>
      </c>
      <c r="B2083" s="40">
        <v>10.44</v>
      </c>
      <c r="C2083" s="40">
        <v>10.61</v>
      </c>
      <c r="D2083" s="40">
        <v>9.65</v>
      </c>
      <c r="E2083" s="40">
        <v>9.74</v>
      </c>
      <c r="K2083" s="40"/>
      <c r="P2083" s="40"/>
      <c r="Q2083" s="40"/>
      <c r="R2083" s="40"/>
    </row>
    <row r="2084" spans="1:18" x14ac:dyDescent="0.2">
      <c r="A2084" s="40" t="s">
        <v>2006</v>
      </c>
      <c r="B2084" s="40">
        <v>10.99</v>
      </c>
      <c r="C2084" s="40">
        <v>11.77</v>
      </c>
      <c r="D2084" s="40">
        <v>10.53</v>
      </c>
      <c r="E2084" s="40">
        <v>10.61</v>
      </c>
      <c r="K2084" s="40"/>
      <c r="P2084" s="40"/>
      <c r="Q2084" s="40"/>
      <c r="R2084" s="40"/>
    </row>
    <row r="2085" spans="1:18" x14ac:dyDescent="0.2">
      <c r="A2085" s="40" t="s">
        <v>2007</v>
      </c>
      <c r="B2085" s="40">
        <v>10.39</v>
      </c>
      <c r="C2085" s="40">
        <v>11.09</v>
      </c>
      <c r="D2085" s="40">
        <v>10.23</v>
      </c>
      <c r="E2085" s="40">
        <v>10.76</v>
      </c>
      <c r="K2085" s="40"/>
      <c r="P2085" s="40"/>
      <c r="Q2085" s="40"/>
      <c r="R2085" s="40"/>
    </row>
    <row r="2086" spans="1:18" x14ac:dyDescent="0.2">
      <c r="A2086" s="40" t="s">
        <v>2008</v>
      </c>
      <c r="B2086" s="40">
        <v>10.28</v>
      </c>
      <c r="C2086" s="40">
        <v>11.83</v>
      </c>
      <c r="D2086" s="40">
        <v>10.25</v>
      </c>
      <c r="E2086" s="40">
        <v>11</v>
      </c>
      <c r="K2086" s="40"/>
      <c r="P2086" s="40"/>
      <c r="Q2086" s="40"/>
      <c r="R2086" s="40"/>
    </row>
    <row r="2087" spans="1:18" x14ac:dyDescent="0.2">
      <c r="A2087" s="40" t="s">
        <v>2009</v>
      </c>
      <c r="B2087" s="40">
        <v>10.66</v>
      </c>
      <c r="C2087" s="40">
        <v>11.13</v>
      </c>
      <c r="D2087" s="40">
        <v>9.86</v>
      </c>
      <c r="E2087" s="40">
        <v>9.93</v>
      </c>
      <c r="K2087" s="40"/>
      <c r="P2087" s="40"/>
      <c r="Q2087" s="40"/>
      <c r="R2087" s="40"/>
    </row>
    <row r="2088" spans="1:18" x14ac:dyDescent="0.2">
      <c r="A2088" s="40" t="s">
        <v>2010</v>
      </c>
      <c r="B2088" s="40">
        <v>13.16</v>
      </c>
      <c r="C2088" s="40">
        <v>13.17</v>
      </c>
      <c r="D2088" s="40">
        <v>11.57</v>
      </c>
      <c r="E2088" s="40">
        <v>11.63</v>
      </c>
      <c r="K2088" s="40"/>
      <c r="P2088" s="40"/>
      <c r="Q2088" s="40"/>
      <c r="R2088" s="40"/>
    </row>
    <row r="2089" spans="1:18" x14ac:dyDescent="0.2">
      <c r="A2089" s="40" t="s">
        <v>2011</v>
      </c>
      <c r="B2089" s="40">
        <v>11.71</v>
      </c>
      <c r="C2089" s="40">
        <v>12.16</v>
      </c>
      <c r="D2089" s="40">
        <v>11.48</v>
      </c>
      <c r="E2089" s="40">
        <v>11.64</v>
      </c>
      <c r="K2089" s="40"/>
      <c r="P2089" s="40"/>
      <c r="Q2089" s="40"/>
      <c r="R2089" s="40"/>
    </row>
    <row r="2090" spans="1:18" x14ac:dyDescent="0.2">
      <c r="A2090" s="40" t="s">
        <v>2012</v>
      </c>
      <c r="B2090" s="40">
        <v>11.91</v>
      </c>
      <c r="C2090" s="40">
        <v>12.73</v>
      </c>
      <c r="D2090" s="40">
        <v>11.65</v>
      </c>
      <c r="E2090" s="40">
        <v>12.54</v>
      </c>
      <c r="K2090" s="40"/>
      <c r="P2090" s="40"/>
      <c r="Q2090" s="40"/>
      <c r="R2090" s="40"/>
    </row>
    <row r="2091" spans="1:18" x14ac:dyDescent="0.2">
      <c r="A2091" s="40" t="s">
        <v>2013</v>
      </c>
      <c r="B2091" s="40">
        <v>13.18</v>
      </c>
      <c r="C2091" s="40">
        <v>14.12</v>
      </c>
      <c r="D2091" s="40">
        <v>11.82</v>
      </c>
      <c r="E2091" s="40">
        <v>12.36</v>
      </c>
      <c r="K2091" s="40"/>
      <c r="P2091" s="40"/>
      <c r="Q2091" s="40"/>
      <c r="R2091" s="40"/>
    </row>
    <row r="2092" spans="1:18" x14ac:dyDescent="0.2">
      <c r="A2092" s="40" t="s">
        <v>2014</v>
      </c>
      <c r="B2092" s="40">
        <v>12.48</v>
      </c>
      <c r="C2092" s="40">
        <v>12.77</v>
      </c>
      <c r="D2092" s="40">
        <v>11.32</v>
      </c>
      <c r="E2092" s="40">
        <v>11.81</v>
      </c>
      <c r="K2092" s="40"/>
      <c r="P2092" s="40"/>
      <c r="Q2092" s="40"/>
      <c r="R2092" s="40"/>
    </row>
    <row r="2093" spans="1:18" x14ac:dyDescent="0.2">
      <c r="A2093" s="40" t="s">
        <v>2015</v>
      </c>
      <c r="B2093" s="40">
        <v>13</v>
      </c>
      <c r="C2093" s="40">
        <v>13</v>
      </c>
      <c r="D2093" s="40">
        <v>12.29</v>
      </c>
      <c r="E2093" s="40">
        <v>12.52</v>
      </c>
      <c r="K2093" s="40"/>
      <c r="P2093" s="40"/>
      <c r="Q2093" s="40"/>
      <c r="R2093" s="40"/>
    </row>
    <row r="2094" spans="1:18" x14ac:dyDescent="0.2">
      <c r="A2094" s="40" t="s">
        <v>2016</v>
      </c>
      <c r="B2094" s="40">
        <v>13.02</v>
      </c>
      <c r="C2094" s="40">
        <v>13.82</v>
      </c>
      <c r="D2094" s="40">
        <v>12.34</v>
      </c>
      <c r="E2094" s="40">
        <v>12.44</v>
      </c>
      <c r="K2094" s="40"/>
      <c r="P2094" s="40"/>
      <c r="Q2094" s="40"/>
      <c r="R2094" s="40"/>
    </row>
    <row r="2095" spans="1:18" x14ac:dyDescent="0.2">
      <c r="A2095" s="41">
        <v>43470</v>
      </c>
      <c r="B2095" s="40">
        <v>12.51</v>
      </c>
      <c r="C2095" s="40">
        <v>15.09</v>
      </c>
      <c r="D2095" s="40">
        <v>12.06</v>
      </c>
      <c r="E2095" s="40">
        <v>14.95</v>
      </c>
      <c r="K2095" s="40"/>
      <c r="P2095" s="40"/>
      <c r="Q2095" s="40"/>
      <c r="R2095" s="40"/>
    </row>
    <row r="2096" spans="1:18" x14ac:dyDescent="0.2">
      <c r="A2096" s="41">
        <v>43501</v>
      </c>
      <c r="B2096" s="40">
        <v>14.75</v>
      </c>
      <c r="C2096" s="40">
        <v>16.61</v>
      </c>
      <c r="D2096" s="40">
        <v>13.47</v>
      </c>
      <c r="E2096" s="40">
        <v>13.92</v>
      </c>
      <c r="K2096" s="40"/>
      <c r="P2096" s="40"/>
      <c r="Q2096" s="40"/>
      <c r="R2096" s="40"/>
    </row>
    <row r="2097" spans="1:18" x14ac:dyDescent="0.2">
      <c r="A2097" s="41">
        <v>43529</v>
      </c>
      <c r="B2097" s="40">
        <v>12.5</v>
      </c>
      <c r="C2097" s="40">
        <v>12.5</v>
      </c>
      <c r="D2097" s="40">
        <v>10.96</v>
      </c>
      <c r="E2097" s="40">
        <v>10.96</v>
      </c>
      <c r="K2097" s="40"/>
      <c r="P2097" s="40"/>
      <c r="Q2097" s="40"/>
      <c r="R2097" s="40"/>
    </row>
    <row r="2098" spans="1:18" x14ac:dyDescent="0.2">
      <c r="A2098" s="41">
        <v>43621</v>
      </c>
      <c r="B2098" s="40">
        <v>20.36</v>
      </c>
      <c r="C2098" s="40">
        <v>20.36</v>
      </c>
      <c r="D2098" s="40">
        <v>14.92</v>
      </c>
      <c r="E2098" s="40">
        <v>15.45</v>
      </c>
      <c r="K2098" s="40"/>
      <c r="P2098" s="40"/>
      <c r="Q2098" s="40"/>
      <c r="R2098" s="40"/>
    </row>
    <row r="2099" spans="1:18" x14ac:dyDescent="0.2">
      <c r="A2099" s="41">
        <v>43651</v>
      </c>
      <c r="B2099" s="40">
        <v>18.54</v>
      </c>
      <c r="C2099" s="40">
        <v>24.88</v>
      </c>
      <c r="D2099" s="40">
        <v>18.36</v>
      </c>
      <c r="E2099" s="40">
        <v>20.74</v>
      </c>
      <c r="K2099" s="40"/>
      <c r="P2099" s="40"/>
      <c r="Q2099" s="40"/>
      <c r="R2099" s="40"/>
    </row>
    <row r="2100" spans="1:18" x14ac:dyDescent="0.2">
      <c r="A2100" s="41">
        <v>43682</v>
      </c>
      <c r="B2100" s="40">
        <v>21.96</v>
      </c>
      <c r="C2100" s="40">
        <v>23.21</v>
      </c>
      <c r="D2100" s="40">
        <v>19.350000000000001</v>
      </c>
      <c r="E2100" s="40">
        <v>21.33</v>
      </c>
      <c r="K2100" s="40"/>
      <c r="P2100" s="40"/>
      <c r="Q2100" s="40"/>
      <c r="R2100" s="40"/>
    </row>
    <row r="2101" spans="1:18" x14ac:dyDescent="0.2">
      <c r="A2101" s="41">
        <v>43713</v>
      </c>
      <c r="B2101" s="40">
        <v>26.44</v>
      </c>
      <c r="C2101" s="40">
        <v>27.26</v>
      </c>
      <c r="D2101" s="40">
        <v>20.88</v>
      </c>
      <c r="E2101" s="40">
        <v>21.86</v>
      </c>
      <c r="K2101" s="40"/>
      <c r="P2101" s="40"/>
      <c r="Q2101" s="40"/>
      <c r="R2101" s="40"/>
    </row>
    <row r="2102" spans="1:18" x14ac:dyDescent="0.2">
      <c r="A2102" s="41">
        <v>43743</v>
      </c>
      <c r="B2102" s="40">
        <v>20.69</v>
      </c>
      <c r="C2102" s="40">
        <v>23.08</v>
      </c>
      <c r="D2102" s="40">
        <v>15.84</v>
      </c>
      <c r="E2102" s="40">
        <v>16.57</v>
      </c>
      <c r="K2102" s="40"/>
      <c r="P2102" s="40"/>
      <c r="Q2102" s="40"/>
      <c r="R2102" s="40"/>
    </row>
    <row r="2103" spans="1:18" x14ac:dyDescent="0.2">
      <c r="A2103" s="40" t="s">
        <v>2017</v>
      </c>
      <c r="B2103" s="40">
        <v>22.85</v>
      </c>
      <c r="C2103" s="40">
        <v>24.36</v>
      </c>
      <c r="D2103" s="40">
        <v>21.48</v>
      </c>
      <c r="E2103" s="40">
        <v>22.76</v>
      </c>
      <c r="K2103" s="40"/>
      <c r="P2103" s="40"/>
      <c r="Q2103" s="40"/>
      <c r="R2103" s="40"/>
    </row>
    <row r="2104" spans="1:18" x14ac:dyDescent="0.2">
      <c r="A2104" s="40" t="s">
        <v>2018</v>
      </c>
      <c r="B2104" s="40">
        <v>22.76</v>
      </c>
      <c r="C2104" s="40">
        <v>22.76</v>
      </c>
      <c r="D2104" s="40">
        <v>18.420000000000002</v>
      </c>
      <c r="E2104" s="40">
        <v>18.760000000000002</v>
      </c>
      <c r="K2104" s="40"/>
      <c r="P2104" s="40"/>
      <c r="Q2104" s="40"/>
      <c r="R2104" s="40"/>
    </row>
    <row r="2105" spans="1:18" x14ac:dyDescent="0.2">
      <c r="A2105" s="40" t="s">
        <v>2019</v>
      </c>
      <c r="B2105" s="40">
        <v>20.350000000000001</v>
      </c>
      <c r="C2105" s="40">
        <v>20.399999999999999</v>
      </c>
      <c r="D2105" s="40">
        <v>16.12</v>
      </c>
      <c r="E2105" s="40">
        <v>16.309999999999999</v>
      </c>
      <c r="K2105" s="40"/>
      <c r="P2105" s="40"/>
      <c r="Q2105" s="40"/>
      <c r="R2105" s="40"/>
    </row>
    <row r="2106" spans="1:18" x14ac:dyDescent="0.2">
      <c r="A2106" s="40" t="s">
        <v>2020</v>
      </c>
      <c r="B2106" s="40">
        <v>16.14</v>
      </c>
      <c r="C2106" s="40">
        <v>16.14</v>
      </c>
      <c r="D2106" s="40">
        <v>14.71</v>
      </c>
      <c r="E2106" s="40">
        <v>15.06</v>
      </c>
      <c r="K2106" s="40"/>
      <c r="P2106" s="40"/>
      <c r="Q2106" s="40"/>
      <c r="R2106" s="40"/>
    </row>
    <row r="2107" spans="1:18" x14ac:dyDescent="0.2">
      <c r="A2107" s="40" t="s">
        <v>2021</v>
      </c>
      <c r="B2107" s="40">
        <v>17.11</v>
      </c>
      <c r="C2107" s="40">
        <v>17.11</v>
      </c>
      <c r="D2107" s="40">
        <v>14.48</v>
      </c>
      <c r="E2107" s="40">
        <v>16.260000000000002</v>
      </c>
      <c r="K2107" s="40"/>
      <c r="P2107" s="40"/>
      <c r="Q2107" s="40"/>
      <c r="R2107" s="40"/>
    </row>
    <row r="2108" spans="1:18" x14ac:dyDescent="0.2">
      <c r="A2108" s="40" t="s">
        <v>2022</v>
      </c>
      <c r="B2108" s="40">
        <v>18.77</v>
      </c>
      <c r="C2108" s="40">
        <v>19.41</v>
      </c>
      <c r="D2108" s="40">
        <v>16.61</v>
      </c>
      <c r="E2108" s="40">
        <v>16.82</v>
      </c>
      <c r="K2108" s="40"/>
      <c r="P2108" s="40"/>
      <c r="Q2108" s="40"/>
      <c r="R2108" s="40"/>
    </row>
    <row r="2109" spans="1:18" x14ac:dyDescent="0.2">
      <c r="A2109" s="40" t="s">
        <v>2023</v>
      </c>
      <c r="B2109" s="40">
        <v>15.81</v>
      </c>
      <c r="C2109" s="40">
        <v>15.81</v>
      </c>
      <c r="D2109" s="40">
        <v>13.98</v>
      </c>
      <c r="E2109" s="40">
        <v>14.5</v>
      </c>
      <c r="K2109" s="40"/>
      <c r="P2109" s="40"/>
      <c r="Q2109" s="40"/>
      <c r="R2109" s="40"/>
    </row>
    <row r="2110" spans="1:18" x14ac:dyDescent="0.2">
      <c r="A2110" s="40" t="s">
        <v>2024</v>
      </c>
      <c r="B2110" s="40">
        <v>14.5</v>
      </c>
      <c r="C2110" s="40">
        <v>14.94</v>
      </c>
      <c r="D2110" s="40">
        <v>13.48</v>
      </c>
      <c r="E2110" s="40">
        <v>13.92</v>
      </c>
      <c r="K2110" s="40"/>
      <c r="P2110" s="40"/>
      <c r="Q2110" s="40"/>
      <c r="R2110" s="40"/>
    </row>
    <row r="2111" spans="1:18" x14ac:dyDescent="0.2">
      <c r="A2111" s="40" t="s">
        <v>2025</v>
      </c>
      <c r="B2111" s="40">
        <v>16.440000000000001</v>
      </c>
      <c r="C2111" s="40">
        <v>18.989999999999998</v>
      </c>
      <c r="D2111" s="40">
        <v>16.420000000000002</v>
      </c>
      <c r="E2111" s="40">
        <v>17.399999999999999</v>
      </c>
      <c r="K2111" s="40"/>
      <c r="P2111" s="40"/>
      <c r="Q2111" s="40"/>
      <c r="R2111" s="40"/>
    </row>
    <row r="2112" spans="1:18" x14ac:dyDescent="0.2">
      <c r="A2112" s="40" t="s">
        <v>2026</v>
      </c>
      <c r="B2112" s="40">
        <v>15.78</v>
      </c>
      <c r="C2112" s="40">
        <v>16.489999999999998</v>
      </c>
      <c r="D2112" s="40">
        <v>15.23</v>
      </c>
      <c r="E2112" s="40">
        <v>15.36</v>
      </c>
      <c r="K2112" s="40"/>
      <c r="P2112" s="40"/>
      <c r="Q2112" s="40"/>
      <c r="R2112" s="40"/>
    </row>
    <row r="2113" spans="1:18" x14ac:dyDescent="0.2">
      <c r="A2113" s="40" t="s">
        <v>2027</v>
      </c>
      <c r="B2113" s="40">
        <v>16.84</v>
      </c>
      <c r="C2113" s="40">
        <v>18.53</v>
      </c>
      <c r="D2113" s="40">
        <v>15.92</v>
      </c>
      <c r="E2113" s="40">
        <v>17.98</v>
      </c>
      <c r="K2113" s="40"/>
      <c r="P2113" s="40"/>
      <c r="Q2113" s="40"/>
      <c r="R2113" s="40"/>
    </row>
    <row r="2114" spans="1:18" x14ac:dyDescent="0.2">
      <c r="A2114" s="40" t="s">
        <v>2028</v>
      </c>
      <c r="B2114" s="40">
        <v>19.04</v>
      </c>
      <c r="C2114" s="40">
        <v>19.91</v>
      </c>
      <c r="D2114" s="40">
        <v>18.04</v>
      </c>
      <c r="E2114" s="40">
        <v>18.34</v>
      </c>
      <c r="K2114" s="40"/>
      <c r="P2114" s="40"/>
      <c r="Q2114" s="40"/>
      <c r="R2114" s="40"/>
    </row>
    <row r="2115" spans="1:18" x14ac:dyDescent="0.2">
      <c r="A2115" s="40" t="s">
        <v>2029</v>
      </c>
      <c r="B2115" s="40">
        <v>17.18</v>
      </c>
      <c r="C2115" s="40">
        <v>18.37</v>
      </c>
      <c r="D2115" s="40">
        <v>16.350000000000001</v>
      </c>
      <c r="E2115" s="40">
        <v>17.12</v>
      </c>
      <c r="K2115" s="40"/>
      <c r="P2115" s="40"/>
      <c r="Q2115" s="40"/>
      <c r="R2115" s="40"/>
    </row>
    <row r="2116" spans="1:18" x14ac:dyDescent="0.2">
      <c r="A2116" s="40" t="s">
        <v>2030</v>
      </c>
      <c r="B2116" s="40">
        <v>19.72</v>
      </c>
      <c r="C2116" s="40">
        <v>19.93</v>
      </c>
      <c r="D2116" s="40">
        <v>18.04</v>
      </c>
      <c r="E2116" s="40">
        <v>19</v>
      </c>
      <c r="K2116" s="40"/>
      <c r="P2116" s="40"/>
      <c r="Q2116" s="40"/>
      <c r="R2116" s="40"/>
    </row>
    <row r="2117" spans="1:18" x14ac:dyDescent="0.2">
      <c r="A2117" s="41">
        <v>43530</v>
      </c>
      <c r="B2117" s="40">
        <v>19.3</v>
      </c>
      <c r="C2117" s="40">
        <v>20.46</v>
      </c>
      <c r="D2117" s="40">
        <v>18.59</v>
      </c>
      <c r="E2117" s="40">
        <v>19.260000000000002</v>
      </c>
      <c r="K2117" s="40"/>
      <c r="P2117" s="40"/>
      <c r="Q2117" s="40"/>
      <c r="R2117" s="40"/>
    </row>
    <row r="2118" spans="1:18" x14ac:dyDescent="0.2">
      <c r="A2118" s="41">
        <v>43561</v>
      </c>
      <c r="B2118" s="40">
        <v>18.52</v>
      </c>
      <c r="C2118" s="40">
        <v>18.89</v>
      </c>
      <c r="D2118" s="40">
        <v>16.649999999999999</v>
      </c>
      <c r="E2118" s="40">
        <v>16.649999999999999</v>
      </c>
      <c r="K2118" s="40"/>
      <c r="P2118" s="40"/>
      <c r="Q2118" s="40"/>
      <c r="R2118" s="40"/>
    </row>
    <row r="2119" spans="1:18" x14ac:dyDescent="0.2">
      <c r="A2119" s="41">
        <v>43591</v>
      </c>
      <c r="B2119" s="40">
        <v>16.45</v>
      </c>
      <c r="C2119" s="40">
        <v>17.52</v>
      </c>
      <c r="D2119" s="40">
        <v>14.79</v>
      </c>
      <c r="E2119" s="40">
        <v>14.9</v>
      </c>
      <c r="K2119" s="40"/>
      <c r="P2119" s="40"/>
      <c r="Q2119" s="40"/>
      <c r="R2119" s="40"/>
    </row>
    <row r="2120" spans="1:18" x14ac:dyDescent="0.2">
      <c r="A2120" s="41">
        <v>43622</v>
      </c>
      <c r="B2120" s="40">
        <v>15.24</v>
      </c>
      <c r="C2120" s="40">
        <v>15.4</v>
      </c>
      <c r="D2120" s="40">
        <v>14.22</v>
      </c>
      <c r="E2120" s="40">
        <v>14.88</v>
      </c>
      <c r="K2120" s="40"/>
      <c r="P2120" s="40"/>
      <c r="Q2120" s="40"/>
      <c r="R2120" s="40"/>
    </row>
    <row r="2121" spans="1:18" x14ac:dyDescent="0.2">
      <c r="A2121" s="41">
        <v>43652</v>
      </c>
      <c r="B2121" s="40">
        <v>14.44</v>
      </c>
      <c r="C2121" s="40">
        <v>15.41</v>
      </c>
      <c r="D2121" s="40">
        <v>14.31</v>
      </c>
      <c r="E2121" s="40">
        <v>15.02</v>
      </c>
      <c r="K2121" s="40"/>
      <c r="P2121" s="40"/>
      <c r="Q2121" s="40"/>
      <c r="R2121" s="40"/>
    </row>
    <row r="2122" spans="1:18" x14ac:dyDescent="0.2">
      <c r="A2122" s="41">
        <v>43744</v>
      </c>
      <c r="B2122" s="40">
        <v>15.5</v>
      </c>
      <c r="C2122" s="40">
        <v>16.05</v>
      </c>
      <c r="D2122" s="40">
        <v>15.25</v>
      </c>
      <c r="E2122" s="40">
        <v>15.25</v>
      </c>
      <c r="K2122" s="40"/>
      <c r="P2122" s="40"/>
      <c r="Q2122" s="40"/>
      <c r="R2122" s="40"/>
    </row>
    <row r="2123" spans="1:18" x14ac:dyDescent="0.2">
      <c r="A2123" s="41">
        <v>43775</v>
      </c>
      <c r="B2123" s="40">
        <v>14.85</v>
      </c>
      <c r="C2123" s="40">
        <v>16.190000000000001</v>
      </c>
      <c r="D2123" s="40">
        <v>14.85</v>
      </c>
      <c r="E2123" s="40">
        <v>15.15</v>
      </c>
      <c r="K2123" s="40"/>
      <c r="P2123" s="40"/>
      <c r="Q2123" s="40"/>
      <c r="R2123" s="40"/>
    </row>
    <row r="2124" spans="1:18" x14ac:dyDescent="0.2">
      <c r="A2124" s="41">
        <v>43805</v>
      </c>
      <c r="B2124" s="40">
        <v>15.29</v>
      </c>
      <c r="C2124" s="40">
        <v>15.49</v>
      </c>
      <c r="D2124" s="40">
        <v>14.64</v>
      </c>
      <c r="E2124" s="40">
        <v>14.66</v>
      </c>
      <c r="K2124" s="40"/>
      <c r="P2124" s="40"/>
      <c r="Q2124" s="40"/>
      <c r="R2124" s="40"/>
    </row>
    <row r="2125" spans="1:18" x14ac:dyDescent="0.2">
      <c r="A2125" s="40" t="s">
        <v>2031</v>
      </c>
      <c r="B2125" s="40">
        <v>14.85</v>
      </c>
      <c r="C2125" s="40">
        <v>15.01</v>
      </c>
      <c r="D2125" s="40">
        <v>14.37</v>
      </c>
      <c r="E2125" s="40">
        <v>14.59</v>
      </c>
      <c r="K2125" s="40"/>
      <c r="P2125" s="40"/>
      <c r="Q2125" s="40"/>
      <c r="R2125" s="40"/>
    </row>
    <row r="2126" spans="1:18" x14ac:dyDescent="0.2">
      <c r="A2126" s="40" t="s">
        <v>2032</v>
      </c>
      <c r="B2126" s="40">
        <v>15.16</v>
      </c>
      <c r="C2126" s="40">
        <v>15.52</v>
      </c>
      <c r="D2126" s="40">
        <v>13.5</v>
      </c>
      <c r="E2126" s="40">
        <v>13.56</v>
      </c>
      <c r="K2126" s="40"/>
      <c r="P2126" s="40"/>
      <c r="Q2126" s="40"/>
      <c r="R2126" s="40"/>
    </row>
    <row r="2127" spans="1:18" x14ac:dyDescent="0.2">
      <c r="A2127" s="40" t="s">
        <v>2033</v>
      </c>
      <c r="B2127" s="40">
        <v>15.36</v>
      </c>
      <c r="C2127" s="40">
        <v>15.5</v>
      </c>
      <c r="D2127" s="40">
        <v>14.6</v>
      </c>
      <c r="E2127" s="40">
        <v>14.99</v>
      </c>
      <c r="K2127" s="40"/>
      <c r="P2127" s="40"/>
      <c r="Q2127" s="40"/>
      <c r="R2127" s="40"/>
    </row>
    <row r="2128" spans="1:18" x14ac:dyDescent="0.2">
      <c r="A2128" s="40" t="s">
        <v>2034</v>
      </c>
      <c r="B2128" s="40">
        <v>15.07</v>
      </c>
      <c r="C2128" s="40">
        <v>15.64</v>
      </c>
      <c r="D2128" s="40">
        <v>14.15</v>
      </c>
      <c r="E2128" s="40">
        <v>15.29</v>
      </c>
      <c r="K2128" s="40"/>
      <c r="P2128" s="40"/>
      <c r="Q2128" s="40"/>
      <c r="R2128" s="40"/>
    </row>
    <row r="2129" spans="1:18" x14ac:dyDescent="0.2">
      <c r="A2129" s="40" t="s">
        <v>2035</v>
      </c>
      <c r="B2129" s="40">
        <v>15.32</v>
      </c>
      <c r="C2129" s="40">
        <v>17.010000000000002</v>
      </c>
      <c r="D2129" s="40">
        <v>13.7</v>
      </c>
      <c r="E2129" s="40">
        <v>13.87</v>
      </c>
      <c r="K2129" s="40"/>
      <c r="P2129" s="40"/>
      <c r="Q2129" s="40"/>
      <c r="R2129" s="40"/>
    </row>
    <row r="2130" spans="1:18" x14ac:dyDescent="0.2">
      <c r="A2130" s="40" t="s">
        <v>2036</v>
      </c>
      <c r="B2130" s="40">
        <v>13.54</v>
      </c>
      <c r="C2130" s="40">
        <v>16.55</v>
      </c>
      <c r="D2130" s="40">
        <v>13.12</v>
      </c>
      <c r="E2130" s="40">
        <v>14.77</v>
      </c>
      <c r="K2130" s="40"/>
      <c r="P2130" s="40"/>
      <c r="Q2130" s="40"/>
      <c r="R2130" s="40"/>
    </row>
    <row r="2131" spans="1:18" x14ac:dyDescent="0.2">
      <c r="A2131" s="40" t="s">
        <v>2037</v>
      </c>
      <c r="B2131" s="40">
        <v>14.68</v>
      </c>
      <c r="C2131" s="40">
        <v>14.83</v>
      </c>
      <c r="D2131" s="40">
        <v>13.94</v>
      </c>
      <c r="E2131" s="40">
        <v>14.83</v>
      </c>
      <c r="K2131" s="40"/>
      <c r="P2131" s="40"/>
      <c r="Q2131" s="40"/>
      <c r="R2131" s="40"/>
    </row>
    <row r="2132" spans="1:18" x14ac:dyDescent="0.2">
      <c r="A2132" s="40" t="s">
        <v>2038</v>
      </c>
      <c r="B2132" s="40">
        <v>16.22</v>
      </c>
      <c r="C2132" s="40">
        <v>16.39</v>
      </c>
      <c r="D2132" s="40">
        <v>15.8</v>
      </c>
      <c r="E2132" s="40">
        <v>15.8</v>
      </c>
      <c r="K2132" s="40"/>
      <c r="P2132" s="40"/>
      <c r="Q2132" s="40"/>
      <c r="R2132" s="40"/>
    </row>
    <row r="2133" spans="1:18" x14ac:dyDescent="0.2">
      <c r="A2133" s="40" t="s">
        <v>2039</v>
      </c>
      <c r="B2133" s="40">
        <v>15.8</v>
      </c>
      <c r="C2133" s="40">
        <v>17.739999999999998</v>
      </c>
      <c r="D2133" s="40">
        <v>15.78</v>
      </c>
      <c r="E2133" s="40">
        <v>17.010000000000002</v>
      </c>
      <c r="K2133" s="40"/>
      <c r="P2133" s="40"/>
      <c r="Q2133" s="40"/>
      <c r="R2133" s="40"/>
    </row>
    <row r="2134" spans="1:18" x14ac:dyDescent="0.2">
      <c r="A2134" s="40" t="s">
        <v>2040</v>
      </c>
      <c r="B2134" s="40">
        <v>17.03</v>
      </c>
      <c r="C2134" s="40">
        <v>17.329999999999998</v>
      </c>
      <c r="D2134" s="40">
        <v>16.28</v>
      </c>
      <c r="E2134" s="40">
        <v>16.8</v>
      </c>
      <c r="K2134" s="40"/>
      <c r="P2134" s="40"/>
      <c r="Q2134" s="40"/>
      <c r="R2134" s="40"/>
    </row>
    <row r="2135" spans="1:18" x14ac:dyDescent="0.2">
      <c r="A2135" s="40" t="s">
        <v>2041</v>
      </c>
      <c r="B2135" s="40">
        <v>16.850000000000001</v>
      </c>
      <c r="C2135" s="40">
        <v>17.100000000000001</v>
      </c>
      <c r="D2135" s="40">
        <v>16.239999999999998</v>
      </c>
      <c r="E2135" s="40">
        <v>16.34</v>
      </c>
      <c r="K2135" s="40"/>
      <c r="P2135" s="40"/>
      <c r="Q2135" s="40"/>
      <c r="R2135" s="40"/>
    </row>
    <row r="2136" spans="1:18" x14ac:dyDescent="0.2">
      <c r="A2136" s="40" t="s">
        <v>2042</v>
      </c>
      <c r="B2136" s="40">
        <v>16.64</v>
      </c>
      <c r="C2136" s="40">
        <v>17.059999999999999</v>
      </c>
      <c r="D2136" s="40">
        <v>15.67</v>
      </c>
      <c r="E2136" s="40">
        <v>15.67</v>
      </c>
      <c r="K2136" s="40"/>
      <c r="P2136" s="40"/>
      <c r="Q2136" s="40"/>
      <c r="R2136" s="40"/>
    </row>
    <row r="2137" spans="1:18" x14ac:dyDescent="0.2">
      <c r="A2137" s="41">
        <v>43472</v>
      </c>
      <c r="B2137" s="40">
        <v>13.2</v>
      </c>
      <c r="C2137" s="40">
        <v>13.41</v>
      </c>
      <c r="D2137" s="40">
        <v>12.32</v>
      </c>
      <c r="E2137" s="40">
        <v>12.51</v>
      </c>
      <c r="K2137" s="40"/>
      <c r="P2137" s="40"/>
      <c r="Q2137" s="40"/>
      <c r="R2137" s="40"/>
    </row>
    <row r="2138" spans="1:18" x14ac:dyDescent="0.2">
      <c r="A2138" s="41">
        <v>43503</v>
      </c>
      <c r="B2138" s="40">
        <v>12.31</v>
      </c>
      <c r="C2138" s="40">
        <v>12.49</v>
      </c>
      <c r="D2138" s="40">
        <v>10.38</v>
      </c>
      <c r="E2138" s="40">
        <v>10.42</v>
      </c>
      <c r="K2138" s="40"/>
      <c r="P2138" s="40"/>
      <c r="Q2138" s="40"/>
      <c r="R2138" s="40"/>
    </row>
    <row r="2139" spans="1:18" x14ac:dyDescent="0.2">
      <c r="A2139" s="41">
        <v>43531</v>
      </c>
      <c r="B2139" s="40">
        <v>10.53</v>
      </c>
      <c r="C2139" s="40">
        <v>10.53</v>
      </c>
      <c r="D2139" s="40">
        <v>9.8699999999999992</v>
      </c>
      <c r="E2139" s="40">
        <v>9.91</v>
      </c>
      <c r="K2139" s="40"/>
      <c r="P2139" s="40"/>
      <c r="Q2139" s="40"/>
      <c r="R2139" s="40"/>
    </row>
    <row r="2140" spans="1:18" x14ac:dyDescent="0.2">
      <c r="A2140" s="41">
        <v>43592</v>
      </c>
      <c r="B2140" s="40">
        <v>11.4</v>
      </c>
      <c r="C2140" s="40">
        <v>12.38</v>
      </c>
      <c r="D2140" s="40">
        <v>10.34</v>
      </c>
      <c r="E2140" s="40">
        <v>10.57</v>
      </c>
      <c r="K2140" s="40"/>
      <c r="P2140" s="40"/>
      <c r="Q2140" s="40"/>
      <c r="R2140" s="40"/>
    </row>
    <row r="2141" spans="1:18" x14ac:dyDescent="0.2">
      <c r="A2141" s="41">
        <v>43684</v>
      </c>
      <c r="B2141" s="40">
        <v>12.31</v>
      </c>
      <c r="C2141" s="40">
        <v>12.53</v>
      </c>
      <c r="D2141" s="40">
        <v>11.02</v>
      </c>
      <c r="E2141" s="40">
        <v>11.12</v>
      </c>
      <c r="K2141" s="40"/>
      <c r="P2141" s="40"/>
      <c r="Q2141" s="40"/>
      <c r="R2141" s="40"/>
    </row>
    <row r="2142" spans="1:18" x14ac:dyDescent="0.2">
      <c r="A2142" s="41">
        <v>43715</v>
      </c>
      <c r="B2142" s="40">
        <v>12.05</v>
      </c>
      <c r="C2142" s="40">
        <v>12.05</v>
      </c>
      <c r="D2142" s="40">
        <v>10.87</v>
      </c>
      <c r="E2142" s="40">
        <v>11.08</v>
      </c>
      <c r="K2142" s="40"/>
      <c r="P2142" s="40"/>
      <c r="Q2142" s="40"/>
      <c r="R2142" s="40"/>
    </row>
    <row r="2143" spans="1:18" x14ac:dyDescent="0.2">
      <c r="A2143" s="41">
        <v>43745</v>
      </c>
      <c r="B2143" s="40">
        <v>10.65</v>
      </c>
      <c r="C2143" s="40">
        <v>10.65</v>
      </c>
      <c r="D2143" s="40">
        <v>9.8800000000000008</v>
      </c>
      <c r="E2143" s="40">
        <v>9.94</v>
      </c>
      <c r="K2143" s="40"/>
      <c r="P2143" s="40"/>
      <c r="Q2143" s="40"/>
      <c r="R2143" s="40"/>
    </row>
    <row r="2144" spans="1:18" x14ac:dyDescent="0.2">
      <c r="A2144" s="41">
        <v>43776</v>
      </c>
      <c r="B2144" s="40">
        <v>10.09</v>
      </c>
      <c r="C2144" s="40">
        <v>10.57</v>
      </c>
      <c r="D2144" s="40">
        <v>9.74</v>
      </c>
      <c r="E2144" s="40">
        <v>10.08</v>
      </c>
      <c r="K2144" s="40"/>
      <c r="P2144" s="40"/>
      <c r="Q2144" s="40"/>
      <c r="R2144" s="40"/>
    </row>
    <row r="2145" spans="1:18" x14ac:dyDescent="0.2">
      <c r="A2145" s="41">
        <v>43806</v>
      </c>
      <c r="B2145" s="40">
        <v>9.9</v>
      </c>
      <c r="C2145" s="40">
        <v>9.93</v>
      </c>
      <c r="D2145" s="40">
        <v>9.48</v>
      </c>
      <c r="E2145" s="40">
        <v>9.8800000000000008</v>
      </c>
      <c r="K2145" s="40"/>
      <c r="P2145" s="40"/>
      <c r="Q2145" s="40"/>
      <c r="R2145" s="40"/>
    </row>
    <row r="2146" spans="1:18" x14ac:dyDescent="0.2">
      <c r="A2146" s="40" t="s">
        <v>2043</v>
      </c>
      <c r="B2146" s="40">
        <v>10.95</v>
      </c>
      <c r="C2146" s="40">
        <v>11.25</v>
      </c>
      <c r="D2146" s="40">
        <v>10.79</v>
      </c>
      <c r="E2146" s="40">
        <v>11.01</v>
      </c>
      <c r="K2146" s="40"/>
      <c r="P2146" s="40"/>
      <c r="Q2146" s="40"/>
      <c r="R2146" s="40"/>
    </row>
    <row r="2147" spans="1:18" x14ac:dyDescent="0.2">
      <c r="A2147" s="40" t="s">
        <v>2044</v>
      </c>
      <c r="B2147" s="40">
        <v>10.98</v>
      </c>
      <c r="C2147" s="40">
        <v>12.1</v>
      </c>
      <c r="D2147" s="40">
        <v>10.34</v>
      </c>
      <c r="E2147" s="40">
        <v>11.71</v>
      </c>
      <c r="K2147" s="40"/>
      <c r="P2147" s="40"/>
      <c r="Q2147" s="40"/>
      <c r="R2147" s="40"/>
    </row>
    <row r="2148" spans="1:18" x14ac:dyDescent="0.2">
      <c r="A2148" s="40" t="s">
        <v>2045</v>
      </c>
      <c r="B2148" s="40">
        <v>11.59</v>
      </c>
      <c r="C2148" s="40">
        <v>13.42</v>
      </c>
      <c r="D2148" s="40">
        <v>11.46</v>
      </c>
      <c r="E2148" s="40">
        <v>13.42</v>
      </c>
      <c r="K2148" s="40"/>
      <c r="P2148" s="40"/>
      <c r="Q2148" s="40"/>
      <c r="R2148" s="40"/>
    </row>
    <row r="2149" spans="1:18" x14ac:dyDescent="0.2">
      <c r="A2149" s="40" t="s">
        <v>2046</v>
      </c>
      <c r="B2149" s="40">
        <v>13.4</v>
      </c>
      <c r="C2149" s="40">
        <v>14.29</v>
      </c>
      <c r="D2149" s="40">
        <v>12.1</v>
      </c>
      <c r="E2149" s="40">
        <v>12.68</v>
      </c>
      <c r="K2149" s="40"/>
      <c r="P2149" s="40"/>
      <c r="Q2149" s="40"/>
      <c r="R2149" s="40"/>
    </row>
    <row r="2150" spans="1:18" x14ac:dyDescent="0.2">
      <c r="A2150" s="40" t="s">
        <v>2047</v>
      </c>
      <c r="B2150" s="40">
        <v>12.68</v>
      </c>
      <c r="C2150" s="40">
        <v>13.56</v>
      </c>
      <c r="D2150" s="40">
        <v>12.22</v>
      </c>
      <c r="E2150" s="40">
        <v>13.56</v>
      </c>
      <c r="K2150" s="40"/>
      <c r="P2150" s="40"/>
      <c r="Q2150" s="40"/>
      <c r="R2150" s="40"/>
    </row>
    <row r="2151" spans="1:18" x14ac:dyDescent="0.2">
      <c r="A2151" s="40" t="s">
        <v>2048</v>
      </c>
      <c r="B2151" s="40">
        <v>15.05</v>
      </c>
      <c r="C2151" s="40">
        <v>15.24</v>
      </c>
      <c r="D2151" s="40">
        <v>13.46</v>
      </c>
      <c r="E2151" s="40">
        <v>13.64</v>
      </c>
      <c r="K2151" s="40"/>
      <c r="P2151" s="40"/>
      <c r="Q2151" s="40"/>
      <c r="R2151" s="40"/>
    </row>
    <row r="2152" spans="1:18" x14ac:dyDescent="0.2">
      <c r="A2152" s="40" t="s">
        <v>2049</v>
      </c>
      <c r="B2152" s="40">
        <v>13.59</v>
      </c>
      <c r="C2152" s="40">
        <v>13.85</v>
      </c>
      <c r="D2152" s="40">
        <v>12.3</v>
      </c>
      <c r="E2152" s="40">
        <v>12.82</v>
      </c>
      <c r="K2152" s="40"/>
      <c r="P2152" s="40"/>
      <c r="Q2152" s="40"/>
      <c r="R2152" s="40"/>
    </row>
    <row r="2153" spans="1:18" x14ac:dyDescent="0.2">
      <c r="A2153" s="40" t="s">
        <v>2050</v>
      </c>
      <c r="B2153" s="40">
        <v>13.39</v>
      </c>
      <c r="C2153" s="40">
        <v>13.39</v>
      </c>
      <c r="D2153" s="40">
        <v>12.13</v>
      </c>
      <c r="E2153" s="40">
        <v>12.19</v>
      </c>
      <c r="K2153" s="40"/>
      <c r="P2153" s="40"/>
      <c r="Q2153" s="40"/>
      <c r="R2153" s="40"/>
    </row>
    <row r="2154" spans="1:18" x14ac:dyDescent="0.2">
      <c r="A2154" s="40" t="s">
        <v>2051</v>
      </c>
      <c r="B2154" s="40">
        <v>12.78</v>
      </c>
      <c r="C2154" s="40">
        <v>13.92</v>
      </c>
      <c r="D2154" s="40">
        <v>12.45</v>
      </c>
      <c r="E2154" s="40">
        <v>12.53</v>
      </c>
      <c r="K2154" s="40"/>
      <c r="P2154" s="40"/>
      <c r="Q2154" s="40"/>
      <c r="R2154" s="40"/>
    </row>
    <row r="2155" spans="1:18" x14ac:dyDescent="0.2">
      <c r="A2155" s="40" t="s">
        <v>2052</v>
      </c>
      <c r="B2155" s="40">
        <v>12.23</v>
      </c>
      <c r="C2155" s="40">
        <v>12.29</v>
      </c>
      <c r="D2155" s="40">
        <v>11.5</v>
      </c>
      <c r="E2155" s="40">
        <v>11.54</v>
      </c>
      <c r="K2155" s="40"/>
      <c r="P2155" s="40"/>
      <c r="Q2155" s="40"/>
      <c r="R2155" s="40"/>
    </row>
    <row r="2156" spans="1:18" x14ac:dyDescent="0.2">
      <c r="A2156" s="40" t="s">
        <v>2053</v>
      </c>
      <c r="B2156" s="40">
        <v>12.69</v>
      </c>
      <c r="C2156" s="40">
        <v>13.4</v>
      </c>
      <c r="D2156" s="40">
        <v>12.56</v>
      </c>
      <c r="E2156" s="40">
        <v>12.67</v>
      </c>
      <c r="K2156" s="40"/>
      <c r="P2156" s="40"/>
      <c r="Q2156" s="40"/>
      <c r="R2156" s="40"/>
    </row>
    <row r="2157" spans="1:18" x14ac:dyDescent="0.2">
      <c r="A2157" s="40" t="s">
        <v>2054</v>
      </c>
      <c r="B2157" s="40">
        <v>14.33</v>
      </c>
      <c r="C2157" s="40">
        <v>14.61</v>
      </c>
      <c r="D2157" s="40">
        <v>13.61</v>
      </c>
      <c r="E2157" s="40">
        <v>14.46</v>
      </c>
      <c r="K2157" s="40"/>
      <c r="P2157" s="40"/>
      <c r="Q2157" s="40"/>
      <c r="R2157" s="40"/>
    </row>
    <row r="2158" spans="1:18" x14ac:dyDescent="0.2">
      <c r="A2158" s="40" t="s">
        <v>2055</v>
      </c>
      <c r="B2158" s="40">
        <v>14.44</v>
      </c>
      <c r="C2158" s="40">
        <v>18.41</v>
      </c>
      <c r="D2158" s="40">
        <v>12.36</v>
      </c>
      <c r="E2158" s="40">
        <v>18.41</v>
      </c>
      <c r="K2158" s="40"/>
      <c r="P2158" s="40"/>
      <c r="Q2158" s="40"/>
      <c r="R2158" s="40"/>
    </row>
    <row r="2159" spans="1:18" x14ac:dyDescent="0.2">
      <c r="A2159" s="41">
        <v>43473</v>
      </c>
      <c r="B2159" s="40">
        <v>15.57</v>
      </c>
      <c r="C2159" s="40">
        <v>22.44</v>
      </c>
      <c r="D2159" s="40">
        <v>13.1</v>
      </c>
      <c r="E2159" s="40">
        <v>19.32</v>
      </c>
      <c r="K2159" s="40"/>
      <c r="P2159" s="40"/>
      <c r="Q2159" s="40"/>
      <c r="R2159" s="40"/>
    </row>
    <row r="2160" spans="1:18" x14ac:dyDescent="0.2">
      <c r="A2160" s="41">
        <v>43504</v>
      </c>
      <c r="B2160" s="40">
        <v>19.5</v>
      </c>
      <c r="C2160" s="40">
        <v>22.31</v>
      </c>
      <c r="D2160" s="40">
        <v>17.690000000000001</v>
      </c>
      <c r="E2160" s="40">
        <v>17.690000000000001</v>
      </c>
      <c r="K2160" s="40"/>
      <c r="P2160" s="40"/>
      <c r="Q2160" s="40"/>
      <c r="R2160" s="40"/>
    </row>
    <row r="2161" spans="1:18" x14ac:dyDescent="0.2">
      <c r="A2161" s="41">
        <v>43593</v>
      </c>
      <c r="B2161" s="40">
        <v>24.12</v>
      </c>
      <c r="C2161" s="40">
        <v>30.16</v>
      </c>
      <c r="D2161" s="40">
        <v>23.73</v>
      </c>
      <c r="E2161" s="40">
        <v>29.14</v>
      </c>
      <c r="K2161" s="40"/>
      <c r="P2161" s="40"/>
      <c r="Q2161" s="40"/>
      <c r="R2161" s="40"/>
    </row>
    <row r="2162" spans="1:18" x14ac:dyDescent="0.2">
      <c r="A2162" s="41">
        <v>43624</v>
      </c>
      <c r="B2162" s="40">
        <v>24.32</v>
      </c>
      <c r="C2162" s="40">
        <v>25.46</v>
      </c>
      <c r="D2162" s="40">
        <v>21.24</v>
      </c>
      <c r="E2162" s="40">
        <v>21.84</v>
      </c>
      <c r="K2162" s="40"/>
      <c r="P2162" s="40"/>
      <c r="Q2162" s="40"/>
      <c r="R2162" s="40"/>
    </row>
    <row r="2163" spans="1:18" x14ac:dyDescent="0.2">
      <c r="A2163" s="41">
        <v>43654</v>
      </c>
      <c r="B2163" s="40">
        <v>25.56</v>
      </c>
      <c r="C2163" s="40">
        <v>27.65</v>
      </c>
      <c r="D2163" s="40">
        <v>19.98</v>
      </c>
      <c r="E2163" s="40">
        <v>20.95</v>
      </c>
      <c r="K2163" s="40"/>
      <c r="P2163" s="40"/>
      <c r="Q2163" s="40"/>
      <c r="R2163" s="40"/>
    </row>
    <row r="2164" spans="1:18" x14ac:dyDescent="0.2">
      <c r="A2164" s="41">
        <v>43685</v>
      </c>
      <c r="B2164" s="40">
        <v>19.66</v>
      </c>
      <c r="C2164" s="40">
        <v>19.760000000000002</v>
      </c>
      <c r="D2164" s="40">
        <v>16.46</v>
      </c>
      <c r="E2164" s="40">
        <v>16.77</v>
      </c>
      <c r="K2164" s="40"/>
      <c r="P2164" s="40"/>
      <c r="Q2164" s="40"/>
      <c r="R2164" s="40"/>
    </row>
    <row r="2165" spans="1:18" x14ac:dyDescent="0.2">
      <c r="A2165" s="41">
        <v>43716</v>
      </c>
      <c r="B2165" s="40">
        <v>16.760000000000002</v>
      </c>
      <c r="C2165" s="40">
        <v>20.2</v>
      </c>
      <c r="D2165" s="40">
        <v>16.760000000000002</v>
      </c>
      <c r="E2165" s="40">
        <v>17.75</v>
      </c>
      <c r="K2165" s="40"/>
      <c r="P2165" s="40"/>
      <c r="Q2165" s="40"/>
      <c r="R2165" s="40"/>
    </row>
    <row r="2166" spans="1:18" x14ac:dyDescent="0.2">
      <c r="A2166" s="41">
        <v>43807</v>
      </c>
      <c r="B2166" s="40">
        <v>21.47</v>
      </c>
      <c r="C2166" s="40">
        <v>23.13</v>
      </c>
      <c r="D2166" s="40">
        <v>19.87</v>
      </c>
      <c r="E2166" s="40">
        <v>22.45</v>
      </c>
      <c r="K2166" s="40"/>
      <c r="P2166" s="40"/>
      <c r="Q2166" s="40"/>
      <c r="R2166" s="40"/>
    </row>
    <row r="2167" spans="1:18" x14ac:dyDescent="0.2">
      <c r="A2167" s="40" t="s">
        <v>2056</v>
      </c>
      <c r="B2167" s="40">
        <v>22.08</v>
      </c>
      <c r="C2167" s="40">
        <v>22.29</v>
      </c>
      <c r="D2167" s="40">
        <v>17.489999999999998</v>
      </c>
      <c r="E2167" s="40">
        <v>17.489999999999998</v>
      </c>
      <c r="K2167" s="40"/>
      <c r="P2167" s="40"/>
      <c r="Q2167" s="40"/>
      <c r="R2167" s="40"/>
    </row>
    <row r="2168" spans="1:18" x14ac:dyDescent="0.2">
      <c r="A2168" s="40" t="s">
        <v>2057</v>
      </c>
      <c r="B2168" s="40">
        <v>17.62</v>
      </c>
      <c r="C2168" s="40">
        <v>25.27</v>
      </c>
      <c r="D2168" s="40">
        <v>17.62</v>
      </c>
      <c r="E2168" s="40">
        <v>24.42</v>
      </c>
      <c r="K2168" s="40"/>
      <c r="P2168" s="40"/>
      <c r="Q2168" s="40"/>
      <c r="R2168" s="40"/>
    </row>
    <row r="2169" spans="1:18" x14ac:dyDescent="0.2">
      <c r="A2169" s="40" t="s">
        <v>2058</v>
      </c>
      <c r="B2169" s="40">
        <v>24.19</v>
      </c>
      <c r="C2169" s="40">
        <v>25.86</v>
      </c>
      <c r="D2169" s="40">
        <v>22.04</v>
      </c>
      <c r="E2169" s="40">
        <v>22.45</v>
      </c>
      <c r="K2169" s="40"/>
      <c r="P2169" s="40"/>
      <c r="Q2169" s="40"/>
      <c r="R2169" s="40"/>
    </row>
    <row r="2170" spans="1:18" x14ac:dyDescent="0.2">
      <c r="A2170" s="40" t="s">
        <v>2059</v>
      </c>
      <c r="B2170" s="40">
        <v>22.5</v>
      </c>
      <c r="C2170" s="40">
        <v>22.5</v>
      </c>
      <c r="D2170" s="40">
        <v>18.14</v>
      </c>
      <c r="E2170" s="40">
        <v>18.36</v>
      </c>
      <c r="K2170" s="40"/>
      <c r="P2170" s="40"/>
      <c r="Q2170" s="40"/>
      <c r="R2170" s="40"/>
    </row>
    <row r="2171" spans="1:18" x14ac:dyDescent="0.2">
      <c r="A2171" s="40" t="s">
        <v>2060</v>
      </c>
      <c r="B2171" s="40">
        <v>17.48</v>
      </c>
      <c r="C2171" s="40">
        <v>17.760000000000002</v>
      </c>
      <c r="D2171" s="40">
        <v>16.489999999999998</v>
      </c>
      <c r="E2171" s="40">
        <v>17.2</v>
      </c>
      <c r="K2171" s="40"/>
      <c r="P2171" s="40"/>
      <c r="Q2171" s="40"/>
      <c r="R2171" s="40"/>
    </row>
    <row r="2172" spans="1:18" x14ac:dyDescent="0.2">
      <c r="A2172" s="40" t="s">
        <v>2061</v>
      </c>
      <c r="B2172" s="40">
        <v>17.64</v>
      </c>
      <c r="C2172" s="40">
        <v>18.940000000000001</v>
      </c>
      <c r="D2172" s="40">
        <v>16.77</v>
      </c>
      <c r="E2172" s="40">
        <v>18.43</v>
      </c>
      <c r="K2172" s="40"/>
      <c r="P2172" s="40"/>
      <c r="Q2172" s="40"/>
      <c r="R2172" s="40"/>
    </row>
    <row r="2173" spans="1:18" x14ac:dyDescent="0.2">
      <c r="A2173" s="40" t="s">
        <v>2062</v>
      </c>
      <c r="B2173" s="40">
        <v>16.25</v>
      </c>
      <c r="C2173" s="40">
        <v>16.86</v>
      </c>
      <c r="D2173" s="40">
        <v>15.86</v>
      </c>
      <c r="E2173" s="40">
        <v>16.09</v>
      </c>
      <c r="K2173" s="40"/>
      <c r="P2173" s="40"/>
      <c r="Q2173" s="40"/>
      <c r="R2173" s="40"/>
    </row>
    <row r="2174" spans="1:18" x14ac:dyDescent="0.2">
      <c r="A2174" s="40" t="s">
        <v>2063</v>
      </c>
      <c r="B2174" s="40">
        <v>15.81</v>
      </c>
      <c r="C2174" s="40">
        <v>18.41</v>
      </c>
      <c r="D2174" s="40">
        <v>15.63</v>
      </c>
      <c r="E2174" s="40">
        <v>16.71</v>
      </c>
      <c r="K2174" s="40"/>
      <c r="P2174" s="40"/>
      <c r="Q2174" s="40"/>
      <c r="R2174" s="40"/>
    </row>
    <row r="2175" spans="1:18" x14ac:dyDescent="0.2">
      <c r="A2175" s="40" t="s">
        <v>2064</v>
      </c>
      <c r="B2175" s="40">
        <v>19.010000000000002</v>
      </c>
      <c r="C2175" s="40">
        <v>24.16</v>
      </c>
      <c r="D2175" s="40">
        <v>16.11</v>
      </c>
      <c r="E2175" s="40">
        <v>21.55</v>
      </c>
      <c r="K2175" s="40"/>
      <c r="P2175" s="40"/>
      <c r="Q2175" s="40"/>
      <c r="R2175" s="40"/>
    </row>
    <row r="2176" spans="1:18" x14ac:dyDescent="0.2">
      <c r="A2176" s="40" t="s">
        <v>2065</v>
      </c>
      <c r="B2176" s="40">
        <v>22.28</v>
      </c>
      <c r="C2176" s="40">
        <v>23.51</v>
      </c>
      <c r="D2176" s="40">
        <v>19.47</v>
      </c>
      <c r="E2176" s="40">
        <v>19.82</v>
      </c>
      <c r="K2176" s="40"/>
      <c r="P2176" s="40"/>
      <c r="Q2176" s="40"/>
      <c r="R2176" s="40"/>
    </row>
    <row r="2177" spans="1:18" x14ac:dyDescent="0.2">
      <c r="A2177" s="40" t="s">
        <v>2066</v>
      </c>
      <c r="B2177" s="40">
        <v>19.12</v>
      </c>
      <c r="C2177" s="40">
        <v>21.99</v>
      </c>
      <c r="D2177" s="40">
        <v>18.399999999999999</v>
      </c>
      <c r="E2177" s="40">
        <v>20.81</v>
      </c>
      <c r="K2177" s="40"/>
      <c r="P2177" s="40"/>
      <c r="Q2177" s="40"/>
      <c r="R2177" s="40"/>
    </row>
    <row r="2178" spans="1:18" x14ac:dyDescent="0.2">
      <c r="A2178" s="40" t="s">
        <v>2067</v>
      </c>
      <c r="B2178" s="40">
        <v>22</v>
      </c>
      <c r="C2178" s="40">
        <v>22.67</v>
      </c>
      <c r="D2178" s="40">
        <v>18.899999999999999</v>
      </c>
      <c r="E2178" s="40">
        <v>19.16</v>
      </c>
      <c r="K2178" s="40"/>
      <c r="P2178" s="40"/>
      <c r="Q2178" s="40"/>
      <c r="R2178" s="40"/>
    </row>
    <row r="2179" spans="1:18" x14ac:dyDescent="0.2">
      <c r="A2179" s="40" t="s">
        <v>2068</v>
      </c>
      <c r="B2179" s="40">
        <v>17.440000000000001</v>
      </c>
      <c r="C2179" s="40">
        <v>18.57</v>
      </c>
      <c r="D2179" s="40">
        <v>16.760000000000002</v>
      </c>
      <c r="E2179" s="40">
        <v>16.850000000000001</v>
      </c>
      <c r="K2179" s="40"/>
      <c r="P2179" s="40"/>
      <c r="Q2179" s="40"/>
      <c r="R2179" s="40"/>
    </row>
    <row r="2180" spans="1:18" x14ac:dyDescent="0.2">
      <c r="A2180" s="40" t="s">
        <v>2069</v>
      </c>
      <c r="B2180" s="40">
        <v>16.809999999999999</v>
      </c>
      <c r="C2180" s="40">
        <v>18.86</v>
      </c>
      <c r="D2180" s="40">
        <v>16.21</v>
      </c>
      <c r="E2180" s="40">
        <v>18.600000000000001</v>
      </c>
      <c r="K2180" s="40"/>
      <c r="P2180" s="40"/>
      <c r="Q2180" s="40"/>
      <c r="R2180" s="40"/>
    </row>
    <row r="2181" spans="1:18" x14ac:dyDescent="0.2">
      <c r="A2181" s="41">
        <v>43533</v>
      </c>
      <c r="B2181" s="40">
        <v>20.76</v>
      </c>
      <c r="C2181" s="40">
        <v>21.59</v>
      </c>
      <c r="D2181" s="40">
        <v>18.940000000000001</v>
      </c>
      <c r="E2181" s="40">
        <v>19.07</v>
      </c>
      <c r="K2181" s="40"/>
      <c r="P2181" s="40"/>
      <c r="Q2181" s="40"/>
      <c r="R2181" s="40"/>
    </row>
    <row r="2182" spans="1:18" x14ac:dyDescent="0.2">
      <c r="A2182" s="41">
        <v>43564</v>
      </c>
      <c r="B2182" s="40">
        <v>16.87</v>
      </c>
      <c r="C2182" s="40">
        <v>17.649999999999999</v>
      </c>
      <c r="D2182" s="40">
        <v>15.46</v>
      </c>
      <c r="E2182" s="40">
        <v>15.6</v>
      </c>
      <c r="K2182" s="40"/>
      <c r="P2182" s="40"/>
      <c r="Q2182" s="40"/>
      <c r="R2182" s="40"/>
    </row>
    <row r="2183" spans="1:18" x14ac:dyDescent="0.2">
      <c r="A2183" s="41">
        <v>43594</v>
      </c>
      <c r="B2183" s="40">
        <v>14.91</v>
      </c>
      <c r="C2183" s="40">
        <v>14.93</v>
      </c>
      <c r="D2183" s="40">
        <v>13.01</v>
      </c>
      <c r="E2183" s="40">
        <v>14.59</v>
      </c>
      <c r="K2183" s="40"/>
      <c r="P2183" s="40"/>
      <c r="Q2183" s="40"/>
      <c r="R2183" s="40"/>
    </row>
    <row r="2184" spans="1:18" x14ac:dyDescent="0.2">
      <c r="A2184" s="41">
        <v>43625</v>
      </c>
      <c r="B2184" s="40">
        <v>14.16</v>
      </c>
      <c r="C2184" s="40">
        <v>14.29</v>
      </c>
      <c r="D2184" s="40">
        <v>12.34</v>
      </c>
      <c r="E2184" s="40">
        <v>12.39</v>
      </c>
      <c r="K2184" s="40"/>
      <c r="P2184" s="40"/>
      <c r="Q2184" s="40"/>
      <c r="R2184" s="40"/>
    </row>
    <row r="2185" spans="1:18" x14ac:dyDescent="0.2">
      <c r="A2185" s="41">
        <v>43717</v>
      </c>
      <c r="B2185" s="40">
        <v>13.73</v>
      </c>
      <c r="C2185" s="40">
        <v>14.98</v>
      </c>
      <c r="D2185" s="40">
        <v>13.52</v>
      </c>
      <c r="E2185" s="40">
        <v>13.66</v>
      </c>
      <c r="K2185" s="40"/>
      <c r="P2185" s="40"/>
      <c r="Q2185" s="40"/>
      <c r="R2185" s="40"/>
    </row>
    <row r="2186" spans="1:18" x14ac:dyDescent="0.2">
      <c r="A2186" s="41">
        <v>43747</v>
      </c>
      <c r="B2186" s="40">
        <v>14.59</v>
      </c>
      <c r="C2186" s="40">
        <v>15.65</v>
      </c>
      <c r="D2186" s="40">
        <v>13.34</v>
      </c>
      <c r="E2186" s="40">
        <v>13.76</v>
      </c>
      <c r="K2186" s="40"/>
      <c r="P2186" s="40"/>
      <c r="Q2186" s="40"/>
      <c r="R2186" s="40"/>
    </row>
    <row r="2187" spans="1:18" x14ac:dyDescent="0.2">
      <c r="A2187" s="41">
        <v>43778</v>
      </c>
      <c r="B2187" s="40">
        <v>14.1</v>
      </c>
      <c r="C2187" s="40">
        <v>14.13</v>
      </c>
      <c r="D2187" s="40">
        <v>13.09</v>
      </c>
      <c r="E2187" s="40">
        <v>13.13</v>
      </c>
      <c r="K2187" s="40"/>
      <c r="P2187" s="40"/>
      <c r="Q2187" s="40"/>
      <c r="R2187" s="40"/>
    </row>
    <row r="2188" spans="1:18" x14ac:dyDescent="0.2">
      <c r="A2188" s="41">
        <v>43808</v>
      </c>
      <c r="B2188" s="40">
        <v>13.24</v>
      </c>
      <c r="C2188" s="40">
        <v>13.79</v>
      </c>
      <c r="D2188" s="40">
        <v>11.2</v>
      </c>
      <c r="E2188" s="40">
        <v>13.1</v>
      </c>
      <c r="K2188" s="40"/>
      <c r="P2188" s="40"/>
      <c r="Q2188" s="40"/>
      <c r="R2188" s="40"/>
    </row>
    <row r="2189" spans="1:18" x14ac:dyDescent="0.2">
      <c r="A2189" s="40" t="s">
        <v>2070</v>
      </c>
      <c r="B2189" s="40">
        <v>13.06</v>
      </c>
      <c r="C2189" s="40">
        <v>13.43</v>
      </c>
      <c r="D2189" s="40">
        <v>12.26</v>
      </c>
      <c r="E2189" s="40">
        <v>12.62</v>
      </c>
      <c r="K2189" s="40"/>
      <c r="P2189" s="40"/>
      <c r="Q2189" s="40"/>
      <c r="R2189" s="40"/>
    </row>
    <row r="2190" spans="1:18" x14ac:dyDescent="0.2">
      <c r="A2190" s="40" t="s">
        <v>2071</v>
      </c>
      <c r="B2190" s="40">
        <v>15.04</v>
      </c>
      <c r="C2190" s="40">
        <v>15.18</v>
      </c>
      <c r="D2190" s="40">
        <v>14.14</v>
      </c>
      <c r="E2190" s="40">
        <v>14.6</v>
      </c>
      <c r="K2190" s="40"/>
      <c r="P2190" s="40"/>
      <c r="Q2190" s="40"/>
      <c r="R2190" s="40"/>
    </row>
    <row r="2191" spans="1:18" x14ac:dyDescent="0.2">
      <c r="A2191" s="40" t="s">
        <v>2072</v>
      </c>
      <c r="B2191" s="40">
        <v>14.95</v>
      </c>
      <c r="C2191" s="40">
        <v>15.25</v>
      </c>
      <c r="D2191" s="40">
        <v>14.43</v>
      </c>
      <c r="E2191" s="40">
        <v>14.54</v>
      </c>
      <c r="K2191" s="40"/>
      <c r="P2191" s="40"/>
      <c r="Q2191" s="40"/>
      <c r="R2191" s="40"/>
    </row>
    <row r="2192" spans="1:18" x14ac:dyDescent="0.2">
      <c r="A2192" s="40" t="s">
        <v>2073</v>
      </c>
      <c r="B2192" s="40">
        <v>15.15</v>
      </c>
      <c r="C2192" s="40">
        <v>17.309999999999999</v>
      </c>
      <c r="D2192" s="40">
        <v>13.71</v>
      </c>
      <c r="E2192" s="40">
        <v>14.13</v>
      </c>
      <c r="K2192" s="40"/>
      <c r="P2192" s="40"/>
      <c r="Q2192" s="40"/>
      <c r="R2192" s="40"/>
    </row>
    <row r="2193" spans="1:18" x14ac:dyDescent="0.2">
      <c r="A2193" s="40" t="s">
        <v>2074</v>
      </c>
      <c r="B2193" s="40">
        <v>14.1</v>
      </c>
      <c r="C2193" s="40">
        <v>14.1</v>
      </c>
      <c r="D2193" s="40">
        <v>12.18</v>
      </c>
      <c r="E2193" s="40">
        <v>13.18</v>
      </c>
      <c r="K2193" s="40"/>
      <c r="P2193" s="40"/>
      <c r="Q2193" s="40"/>
      <c r="R2193" s="40"/>
    </row>
    <row r="2194" spans="1:18" x14ac:dyDescent="0.2">
      <c r="A2194" s="40" t="s">
        <v>2075</v>
      </c>
      <c r="B2194" s="40">
        <v>12.2</v>
      </c>
      <c r="C2194" s="40">
        <v>15.67</v>
      </c>
      <c r="D2194" s="40">
        <v>11.78</v>
      </c>
      <c r="E2194" s="40">
        <v>14.68</v>
      </c>
      <c r="K2194" s="40"/>
      <c r="P2194" s="40"/>
      <c r="Q2194" s="40"/>
      <c r="R2194" s="40"/>
    </row>
    <row r="2195" spans="1:18" x14ac:dyDescent="0.2">
      <c r="A2195" s="40" t="s">
        <v>2076</v>
      </c>
      <c r="B2195" s="40">
        <v>12.43</v>
      </c>
      <c r="C2195" s="40">
        <v>15.43</v>
      </c>
      <c r="D2195" s="40">
        <v>8.8800000000000008</v>
      </c>
      <c r="E2195" s="40">
        <v>9.83</v>
      </c>
      <c r="K2195" s="40"/>
      <c r="P2195" s="40"/>
      <c r="Q2195" s="40"/>
      <c r="R2195" s="40"/>
    </row>
    <row r="2196" spans="1:18" x14ac:dyDescent="0.2">
      <c r="A2196" s="40" t="s">
        <v>2077</v>
      </c>
      <c r="B2196" s="40">
        <v>13.49</v>
      </c>
      <c r="C2196" s="40">
        <v>18.690000000000001</v>
      </c>
      <c r="D2196" s="40">
        <v>13.12</v>
      </c>
      <c r="E2196" s="40">
        <v>17.73</v>
      </c>
      <c r="K2196" s="40"/>
      <c r="P2196" s="40"/>
      <c r="Q2196" s="40"/>
      <c r="R2196" s="40"/>
    </row>
    <row r="2197" spans="1:18" x14ac:dyDescent="0.2">
      <c r="A2197" s="40" t="s">
        <v>2078</v>
      </c>
      <c r="B2197" s="40">
        <v>17.77</v>
      </c>
      <c r="C2197" s="40">
        <v>19.66</v>
      </c>
      <c r="D2197" s="40">
        <v>14.93</v>
      </c>
      <c r="E2197" s="40">
        <v>15.3</v>
      </c>
      <c r="K2197" s="40"/>
      <c r="P2197" s="40"/>
      <c r="Q2197" s="40"/>
      <c r="R2197" s="40"/>
    </row>
    <row r="2198" spans="1:18" x14ac:dyDescent="0.2">
      <c r="A2198" s="40" t="s">
        <v>2079</v>
      </c>
      <c r="B2198" s="40">
        <v>15.51</v>
      </c>
      <c r="C2198" s="40">
        <v>17.399999999999999</v>
      </c>
      <c r="D2198" s="40">
        <v>14.57</v>
      </c>
      <c r="E2198" s="40">
        <v>15.2</v>
      </c>
      <c r="K2198" s="40"/>
      <c r="P2198" s="40"/>
      <c r="Q2198" s="40"/>
      <c r="R2198" s="40"/>
    </row>
    <row r="2199" spans="1:18" x14ac:dyDescent="0.2">
      <c r="A2199" s="40" t="s">
        <v>2080</v>
      </c>
      <c r="B2199" s="40">
        <v>15.14</v>
      </c>
      <c r="C2199" s="40">
        <v>19.41</v>
      </c>
      <c r="D2199" s="40">
        <v>13.44</v>
      </c>
      <c r="E2199" s="40">
        <v>16.77</v>
      </c>
      <c r="K2199" s="40"/>
      <c r="P2199" s="40"/>
      <c r="Q2199" s="40"/>
      <c r="R2199" s="40"/>
    </row>
    <row r="2200" spans="1:18" x14ac:dyDescent="0.2">
      <c r="A2200" s="40" t="s">
        <v>2081</v>
      </c>
      <c r="B2200" s="40">
        <v>16.97</v>
      </c>
      <c r="C2200" s="40">
        <v>17.03</v>
      </c>
      <c r="D2200" s="40">
        <v>15.2</v>
      </c>
      <c r="E2200" s="40">
        <v>15.28</v>
      </c>
      <c r="K2200" s="40"/>
      <c r="P2200" s="40"/>
      <c r="Q2200" s="40"/>
      <c r="R2200" s="40"/>
    </row>
    <row r="2201" spans="1:18" x14ac:dyDescent="0.2">
      <c r="A2201" s="41">
        <v>43475</v>
      </c>
      <c r="B2201" s="40">
        <v>15.26</v>
      </c>
      <c r="C2201" s="40">
        <v>19.29</v>
      </c>
      <c r="D2201" s="40">
        <v>14.65</v>
      </c>
      <c r="E2201" s="40">
        <v>18.940000000000001</v>
      </c>
      <c r="K2201" s="40"/>
      <c r="P2201" s="40"/>
      <c r="Q2201" s="40"/>
      <c r="R2201" s="40"/>
    </row>
    <row r="2202" spans="1:18" x14ac:dyDescent="0.2">
      <c r="A2202" s="41">
        <v>43506</v>
      </c>
      <c r="B2202" s="40">
        <v>20.309999999999999</v>
      </c>
      <c r="C2202" s="40">
        <v>23.43</v>
      </c>
      <c r="D2202" s="40">
        <v>20.239999999999998</v>
      </c>
      <c r="E2202" s="40">
        <v>21.71</v>
      </c>
      <c r="K2202" s="40"/>
      <c r="P2202" s="40"/>
      <c r="Q2202" s="40"/>
      <c r="R2202" s="40"/>
    </row>
    <row r="2203" spans="1:18" x14ac:dyDescent="0.2">
      <c r="A2203" s="41">
        <v>43534</v>
      </c>
      <c r="B2203" s="40">
        <v>21.01</v>
      </c>
      <c r="C2203" s="40">
        <v>23.04</v>
      </c>
      <c r="D2203" s="40">
        <v>19.23</v>
      </c>
      <c r="E2203" s="40">
        <v>19.48</v>
      </c>
      <c r="K2203" s="40"/>
      <c r="P2203" s="40"/>
      <c r="Q2203" s="40"/>
      <c r="R2203" s="40"/>
    </row>
    <row r="2204" spans="1:18" x14ac:dyDescent="0.2">
      <c r="A2204" s="41">
        <v>43565</v>
      </c>
      <c r="B2204" s="40">
        <v>18.7</v>
      </c>
      <c r="C2204" s="40">
        <v>18.7</v>
      </c>
      <c r="D2204" s="40">
        <v>16.02</v>
      </c>
      <c r="E2204" s="40">
        <v>16.27</v>
      </c>
      <c r="K2204" s="40"/>
      <c r="P2204" s="40"/>
      <c r="Q2204" s="40"/>
      <c r="R2204" s="40"/>
    </row>
    <row r="2205" spans="1:18" x14ac:dyDescent="0.2">
      <c r="A2205" s="41">
        <v>43656</v>
      </c>
      <c r="B2205" s="40">
        <v>18.43</v>
      </c>
      <c r="C2205" s="40">
        <v>18.649999999999999</v>
      </c>
      <c r="D2205" s="40">
        <v>16.32</v>
      </c>
      <c r="E2205" s="40">
        <v>17.7</v>
      </c>
      <c r="K2205" s="40"/>
      <c r="P2205" s="40"/>
      <c r="Q2205" s="40"/>
      <c r="R2205" s="40"/>
    </row>
    <row r="2206" spans="1:18" x14ac:dyDescent="0.2">
      <c r="A2206" s="41">
        <v>43687</v>
      </c>
      <c r="B2206" s="40">
        <v>19.89</v>
      </c>
      <c r="C2206" s="40">
        <v>20.74</v>
      </c>
      <c r="D2206" s="40">
        <v>18.32</v>
      </c>
      <c r="E2206" s="40">
        <v>20.29</v>
      </c>
      <c r="K2206" s="40"/>
      <c r="P2206" s="40"/>
      <c r="Q2206" s="40"/>
      <c r="R2206" s="40"/>
    </row>
    <row r="2207" spans="1:18" x14ac:dyDescent="0.2">
      <c r="A2207" s="41">
        <v>43718</v>
      </c>
      <c r="B2207" s="40">
        <v>19.39</v>
      </c>
      <c r="C2207" s="40">
        <v>19.93</v>
      </c>
      <c r="D2207" s="40">
        <v>16.86</v>
      </c>
      <c r="E2207" s="40">
        <v>18.260000000000002</v>
      </c>
      <c r="K2207" s="40"/>
      <c r="P2207" s="40"/>
      <c r="Q2207" s="40"/>
      <c r="R2207" s="40"/>
    </row>
    <row r="2208" spans="1:18" x14ac:dyDescent="0.2">
      <c r="A2208" s="41">
        <v>43748</v>
      </c>
      <c r="B2208" s="40">
        <v>19.899999999999999</v>
      </c>
      <c r="C2208" s="40">
        <v>19.940000000000001</v>
      </c>
      <c r="D2208" s="40">
        <v>17.600000000000001</v>
      </c>
      <c r="E2208" s="40">
        <v>17.78</v>
      </c>
      <c r="K2208" s="40"/>
      <c r="P2208" s="40"/>
      <c r="Q2208" s="40"/>
      <c r="R2208" s="40"/>
    </row>
    <row r="2209" spans="1:18" x14ac:dyDescent="0.2">
      <c r="A2209" s="41">
        <v>43779</v>
      </c>
      <c r="B2209" s="40">
        <v>16.93</v>
      </c>
      <c r="C2209" s="40">
        <v>17.75</v>
      </c>
      <c r="D2209" s="40">
        <v>14.59</v>
      </c>
      <c r="E2209" s="40">
        <v>15.28</v>
      </c>
      <c r="K2209" s="40"/>
      <c r="P2209" s="40"/>
      <c r="Q2209" s="40"/>
      <c r="R2209" s="40"/>
    </row>
    <row r="2210" spans="1:18" x14ac:dyDescent="0.2">
      <c r="A2210" s="40" t="s">
        <v>2082</v>
      </c>
      <c r="B2210" s="40">
        <v>16.09</v>
      </c>
      <c r="C2210" s="40">
        <v>16.09</v>
      </c>
      <c r="D2210" s="40">
        <v>13.88</v>
      </c>
      <c r="E2210" s="40">
        <v>14.01</v>
      </c>
      <c r="K2210" s="40"/>
      <c r="P2210" s="40"/>
      <c r="Q2210" s="40"/>
      <c r="R2210" s="40"/>
    </row>
    <row r="2211" spans="1:18" x14ac:dyDescent="0.2">
      <c r="A2211" s="40" t="s">
        <v>2083</v>
      </c>
      <c r="B2211" s="40">
        <v>13.44</v>
      </c>
      <c r="C2211" s="40">
        <v>13.44</v>
      </c>
      <c r="D2211" s="40">
        <v>12.25</v>
      </c>
      <c r="E2211" s="40">
        <v>12.3</v>
      </c>
      <c r="K2211" s="40"/>
      <c r="P2211" s="40"/>
      <c r="Q2211" s="40"/>
      <c r="R2211" s="40"/>
    </row>
    <row r="2212" spans="1:18" x14ac:dyDescent="0.2">
      <c r="A2212" s="40" t="s">
        <v>2084</v>
      </c>
      <c r="B2212" s="40">
        <v>13.05</v>
      </c>
      <c r="C2212" s="40">
        <v>13.44</v>
      </c>
      <c r="D2212" s="40">
        <v>11.8</v>
      </c>
      <c r="E2212" s="40">
        <v>11.92</v>
      </c>
      <c r="K2212" s="40"/>
      <c r="P2212" s="40"/>
      <c r="Q2212" s="40"/>
      <c r="R2212" s="40"/>
    </row>
    <row r="2213" spans="1:18" x14ac:dyDescent="0.2">
      <c r="A2213" s="40" t="s">
        <v>2085</v>
      </c>
      <c r="B2213" s="40">
        <v>12.12</v>
      </c>
      <c r="C2213" s="40">
        <v>12.73</v>
      </c>
      <c r="D2213" s="40">
        <v>11.62</v>
      </c>
      <c r="E2213" s="40">
        <v>11.9</v>
      </c>
      <c r="K2213" s="40"/>
      <c r="P2213" s="40"/>
      <c r="Q2213" s="40"/>
      <c r="R2213" s="40"/>
    </row>
    <row r="2214" spans="1:18" x14ac:dyDescent="0.2">
      <c r="A2214" s="40" t="s">
        <v>2086</v>
      </c>
      <c r="B2214" s="40">
        <v>12.89</v>
      </c>
      <c r="C2214" s="40">
        <v>13.86</v>
      </c>
      <c r="D2214" s="40">
        <v>12.26</v>
      </c>
      <c r="E2214" s="40">
        <v>12.35</v>
      </c>
      <c r="K2214" s="40"/>
      <c r="P2214" s="40"/>
      <c r="Q2214" s="40"/>
      <c r="R2214" s="40"/>
    </row>
    <row r="2215" spans="1:18" x14ac:dyDescent="0.2">
      <c r="A2215" s="40" t="s">
        <v>2087</v>
      </c>
      <c r="B2215" s="40">
        <v>13.46</v>
      </c>
      <c r="C2215" s="40">
        <v>13.72</v>
      </c>
      <c r="D2215" s="40">
        <v>12.61</v>
      </c>
      <c r="E2215" s="40">
        <v>12.61</v>
      </c>
      <c r="K2215" s="40"/>
      <c r="P2215" s="40"/>
      <c r="Q2215" s="40"/>
      <c r="R2215" s="40"/>
    </row>
    <row r="2216" spans="1:18" x14ac:dyDescent="0.2">
      <c r="A2216" s="40" t="s">
        <v>2088</v>
      </c>
      <c r="B2216" s="40">
        <v>12.53</v>
      </c>
      <c r="C2216" s="40">
        <v>13.52</v>
      </c>
      <c r="D2216" s="40">
        <v>12.05</v>
      </c>
      <c r="E2216" s="40">
        <v>13.3</v>
      </c>
      <c r="K2216" s="40"/>
      <c r="P2216" s="40"/>
      <c r="Q2216" s="40"/>
      <c r="R2216" s="40"/>
    </row>
    <row r="2217" spans="1:18" x14ac:dyDescent="0.2">
      <c r="A2217" s="40" t="s">
        <v>2089</v>
      </c>
      <c r="B2217" s="40">
        <v>13.46</v>
      </c>
      <c r="C2217" s="40">
        <v>13.66</v>
      </c>
      <c r="D2217" s="40">
        <v>12.27</v>
      </c>
      <c r="E2217" s="40">
        <v>12.27</v>
      </c>
      <c r="K2217" s="40"/>
      <c r="P2217" s="40"/>
      <c r="Q2217" s="40"/>
      <c r="R2217" s="40"/>
    </row>
    <row r="2218" spans="1:18" x14ac:dyDescent="0.2">
      <c r="A2218" s="40" t="s">
        <v>2090</v>
      </c>
      <c r="B2218" s="40">
        <v>12.17</v>
      </c>
      <c r="C2218" s="40">
        <v>12.92</v>
      </c>
      <c r="D2218" s="40">
        <v>11.4</v>
      </c>
      <c r="E2218" s="40">
        <v>11.89</v>
      </c>
      <c r="K2218" s="40"/>
      <c r="P2218" s="40"/>
      <c r="Q2218" s="40"/>
      <c r="R2218" s="40"/>
    </row>
    <row r="2219" spans="1:18" x14ac:dyDescent="0.2">
      <c r="A2219" s="40" t="s">
        <v>2091</v>
      </c>
      <c r="B2219" s="40">
        <v>12.07</v>
      </c>
      <c r="C2219" s="40">
        <v>12.07</v>
      </c>
      <c r="D2219" s="40">
        <v>10.33</v>
      </c>
      <c r="E2219" s="40">
        <v>10.33</v>
      </c>
      <c r="K2219" s="40"/>
      <c r="P2219" s="40"/>
      <c r="Q2219" s="40"/>
      <c r="R2219" s="40"/>
    </row>
    <row r="2220" spans="1:18" x14ac:dyDescent="0.2">
      <c r="A2220" s="40" t="s">
        <v>2092</v>
      </c>
      <c r="B2220" s="40">
        <v>11.54</v>
      </c>
      <c r="C2220" s="40">
        <v>11.76</v>
      </c>
      <c r="D2220" s="40">
        <v>11.29</v>
      </c>
      <c r="E2220" s="40">
        <v>11.7</v>
      </c>
      <c r="K2220" s="40"/>
      <c r="P2220" s="40"/>
      <c r="Q2220" s="40"/>
      <c r="R2220" s="40"/>
    </row>
    <row r="2221" spans="1:18" x14ac:dyDescent="0.2">
      <c r="A2221" s="40" t="s">
        <v>2093</v>
      </c>
      <c r="B2221" s="40">
        <v>12.19</v>
      </c>
      <c r="C2221" s="40">
        <v>12.3</v>
      </c>
      <c r="D2221" s="40">
        <v>11.6</v>
      </c>
      <c r="E2221" s="40">
        <v>11.75</v>
      </c>
      <c r="K2221" s="40"/>
      <c r="P2221" s="40"/>
      <c r="Q2221" s="40"/>
      <c r="R2221" s="40"/>
    </row>
    <row r="2222" spans="1:18" x14ac:dyDescent="0.2">
      <c r="A2222" s="40" t="s">
        <v>2094</v>
      </c>
      <c r="B2222" s="40">
        <v>12.21</v>
      </c>
      <c r="C2222" s="40">
        <v>13.03</v>
      </c>
      <c r="D2222" s="40">
        <v>10.6</v>
      </c>
      <c r="E2222" s="40">
        <v>10.67</v>
      </c>
      <c r="K2222" s="40"/>
      <c r="P2222" s="40"/>
      <c r="Q2222" s="40"/>
      <c r="R2222" s="40"/>
    </row>
    <row r="2223" spans="1:18" x14ac:dyDescent="0.2">
      <c r="A2223" s="40" t="s">
        <v>2095</v>
      </c>
      <c r="B2223" s="40">
        <v>11.67</v>
      </c>
      <c r="C2223" s="40">
        <v>12.97</v>
      </c>
      <c r="D2223" s="40">
        <v>11.41</v>
      </c>
      <c r="E2223" s="40">
        <v>11.58</v>
      </c>
      <c r="K2223" s="40"/>
      <c r="P2223" s="40"/>
      <c r="Q2223" s="40"/>
      <c r="R2223" s="40"/>
    </row>
    <row r="2224" spans="1:18" x14ac:dyDescent="0.2">
      <c r="A2224" s="41">
        <v>43476</v>
      </c>
      <c r="B2224" s="40">
        <v>10.81</v>
      </c>
      <c r="C2224" s="40">
        <v>11.56</v>
      </c>
      <c r="D2224" s="40">
        <v>9.7899999999999991</v>
      </c>
      <c r="E2224" s="40">
        <v>9.84</v>
      </c>
      <c r="K2224" s="40"/>
      <c r="P2224" s="40"/>
      <c r="Q2224" s="40"/>
      <c r="R2224" s="40"/>
    </row>
    <row r="2225" spans="1:18" x14ac:dyDescent="0.2">
      <c r="A2225" s="41">
        <v>43566</v>
      </c>
      <c r="B2225" s="40">
        <v>11.17</v>
      </c>
      <c r="C2225" s="40">
        <v>11.71</v>
      </c>
      <c r="D2225" s="40">
        <v>10.76</v>
      </c>
      <c r="E2225" s="40">
        <v>11.08</v>
      </c>
      <c r="K2225" s="40"/>
      <c r="P2225" s="40"/>
      <c r="Q2225" s="40"/>
      <c r="R2225" s="40"/>
    </row>
    <row r="2226" spans="1:18" x14ac:dyDescent="0.2">
      <c r="A2226" s="41">
        <v>43596</v>
      </c>
      <c r="B2226" s="40">
        <v>11.58</v>
      </c>
      <c r="C2226" s="40">
        <v>11.58</v>
      </c>
      <c r="D2226" s="40">
        <v>10.64</v>
      </c>
      <c r="E2226" s="40">
        <v>10.99</v>
      </c>
      <c r="K2226" s="40"/>
      <c r="P2226" s="40"/>
      <c r="Q2226" s="40"/>
      <c r="R2226" s="40"/>
    </row>
    <row r="2227" spans="1:18" x14ac:dyDescent="0.2">
      <c r="A2227" s="41">
        <v>43627</v>
      </c>
      <c r="B2227" s="40">
        <v>11.14</v>
      </c>
      <c r="C2227" s="40">
        <v>11.86</v>
      </c>
      <c r="D2227" s="40">
        <v>9.4700000000000006</v>
      </c>
      <c r="E2227" s="40">
        <v>9.4700000000000006</v>
      </c>
      <c r="K2227" s="40"/>
      <c r="P2227" s="40"/>
      <c r="Q2227" s="40"/>
      <c r="R2227" s="40"/>
    </row>
    <row r="2228" spans="1:18" x14ac:dyDescent="0.2">
      <c r="A2228" s="41">
        <v>43657</v>
      </c>
      <c r="B2228" s="40">
        <v>10.039999999999999</v>
      </c>
      <c r="C2228" s="40">
        <v>10.3</v>
      </c>
      <c r="D2228" s="40">
        <v>9.68</v>
      </c>
      <c r="E2228" s="40">
        <v>10.16</v>
      </c>
      <c r="K2228" s="40"/>
      <c r="P2228" s="40"/>
      <c r="Q2228" s="40"/>
      <c r="R2228" s="40"/>
    </row>
    <row r="2229" spans="1:18" x14ac:dyDescent="0.2">
      <c r="A2229" s="41">
        <v>43688</v>
      </c>
      <c r="B2229" s="40">
        <v>10.15</v>
      </c>
      <c r="C2229" s="40">
        <v>10.76</v>
      </c>
      <c r="D2229" s="40">
        <v>9.3000000000000007</v>
      </c>
      <c r="E2229" s="40">
        <v>9.32</v>
      </c>
      <c r="K2229" s="40"/>
      <c r="P2229" s="40"/>
      <c r="Q2229" s="40"/>
      <c r="R2229" s="40"/>
    </row>
    <row r="2230" spans="1:18" x14ac:dyDescent="0.2">
      <c r="A2230" s="41">
        <v>43780</v>
      </c>
      <c r="B2230" s="40">
        <v>9.3000000000000007</v>
      </c>
      <c r="C2230" s="40">
        <v>11.8</v>
      </c>
      <c r="D2230" s="40">
        <v>9.3000000000000007</v>
      </c>
      <c r="E2230" s="40">
        <v>10.69</v>
      </c>
      <c r="K2230" s="40"/>
      <c r="P2230" s="40"/>
      <c r="Q2230" s="40"/>
      <c r="R2230" s="40"/>
    </row>
    <row r="2231" spans="1:18" x14ac:dyDescent="0.2">
      <c r="A2231" s="41">
        <v>43810</v>
      </c>
      <c r="B2231" s="40">
        <v>10.87</v>
      </c>
      <c r="C2231" s="40">
        <v>11.34</v>
      </c>
      <c r="D2231" s="40">
        <v>10.44</v>
      </c>
      <c r="E2231" s="40">
        <v>10.8</v>
      </c>
      <c r="K2231" s="40"/>
      <c r="P2231" s="40"/>
      <c r="Q2231" s="40"/>
      <c r="R2231" s="40"/>
    </row>
    <row r="2232" spans="1:18" x14ac:dyDescent="0.2">
      <c r="A2232" s="40" t="s">
        <v>2096</v>
      </c>
      <c r="B2232" s="40">
        <v>11.93</v>
      </c>
      <c r="C2232" s="40">
        <v>11.97</v>
      </c>
      <c r="D2232" s="40">
        <v>10.92</v>
      </c>
      <c r="E2232" s="40">
        <v>10.97</v>
      </c>
      <c r="K2232" s="40"/>
      <c r="P2232" s="40"/>
      <c r="Q2232" s="40"/>
      <c r="R2232" s="40"/>
    </row>
    <row r="2233" spans="1:18" x14ac:dyDescent="0.2">
      <c r="A2233" s="40" t="s">
        <v>2097</v>
      </c>
      <c r="B2233" s="40">
        <v>11.46</v>
      </c>
      <c r="C2233" s="40">
        <v>12.03</v>
      </c>
      <c r="D2233" s="40">
        <v>10.91</v>
      </c>
      <c r="E2233" s="40">
        <v>11.23</v>
      </c>
      <c r="K2233" s="40"/>
      <c r="P2233" s="40"/>
      <c r="Q2233" s="40"/>
      <c r="R2233" s="40"/>
    </row>
    <row r="2234" spans="1:18" x14ac:dyDescent="0.2">
      <c r="A2234" s="40" t="s">
        <v>2098</v>
      </c>
      <c r="B2234" s="40">
        <v>10.86</v>
      </c>
      <c r="C2234" s="40">
        <v>11.07</v>
      </c>
      <c r="D2234" s="40">
        <v>9.57</v>
      </c>
      <c r="E2234" s="40">
        <v>9.67</v>
      </c>
      <c r="K2234" s="40"/>
      <c r="P2234" s="40"/>
      <c r="Q2234" s="40"/>
      <c r="R2234" s="40"/>
    </row>
    <row r="2235" spans="1:18" x14ac:dyDescent="0.2">
      <c r="A2235" s="40" t="s">
        <v>2099</v>
      </c>
      <c r="B2235" s="40">
        <v>9.67</v>
      </c>
      <c r="C2235" s="40">
        <v>11.62</v>
      </c>
      <c r="D2235" s="40">
        <v>9.67</v>
      </c>
      <c r="E2235" s="40">
        <v>10.18</v>
      </c>
      <c r="K2235" s="40"/>
      <c r="P2235" s="40"/>
      <c r="Q2235" s="40"/>
      <c r="R2235" s="40"/>
    </row>
    <row r="2236" spans="1:18" x14ac:dyDescent="0.2">
      <c r="A2236" s="40" t="s">
        <v>2100</v>
      </c>
      <c r="B2236" s="40">
        <v>10.119999999999999</v>
      </c>
      <c r="C2236" s="40">
        <v>10.7</v>
      </c>
      <c r="D2236" s="40">
        <v>9.69</v>
      </c>
      <c r="E2236" s="40">
        <v>10.25</v>
      </c>
      <c r="K2236" s="40"/>
      <c r="P2236" s="40"/>
      <c r="Q2236" s="40"/>
      <c r="R2236" s="40"/>
    </row>
    <row r="2237" spans="1:18" x14ac:dyDescent="0.2">
      <c r="A2237" s="40" t="s">
        <v>2101</v>
      </c>
      <c r="B2237" s="40">
        <v>10.66</v>
      </c>
      <c r="C2237" s="40">
        <v>12.91</v>
      </c>
      <c r="D2237" s="40">
        <v>9.84</v>
      </c>
      <c r="E2237" s="40">
        <v>10.199999999999999</v>
      </c>
      <c r="K2237" s="40"/>
      <c r="P2237" s="40"/>
      <c r="Q2237" s="40"/>
      <c r="R2237" s="40"/>
    </row>
    <row r="2238" spans="1:18" x14ac:dyDescent="0.2">
      <c r="A2238" s="40" t="s">
        <v>2102</v>
      </c>
      <c r="B2238" s="40">
        <v>10.75</v>
      </c>
      <c r="C2238" s="40">
        <v>11.76</v>
      </c>
      <c r="D2238" s="40">
        <v>10.32</v>
      </c>
      <c r="E2238" s="40">
        <v>10.56</v>
      </c>
      <c r="K2238" s="40"/>
      <c r="P2238" s="40"/>
      <c r="Q2238" s="40"/>
      <c r="R2238" s="40"/>
    </row>
    <row r="2239" spans="1:18" x14ac:dyDescent="0.2">
      <c r="A2239" s="40" t="s">
        <v>2103</v>
      </c>
      <c r="B2239" s="40">
        <v>10.53</v>
      </c>
      <c r="C2239" s="40">
        <v>10.88</v>
      </c>
      <c r="D2239" s="40">
        <v>9.2200000000000006</v>
      </c>
      <c r="E2239" s="40">
        <v>9.2200000000000006</v>
      </c>
      <c r="K2239" s="40"/>
      <c r="P2239" s="40"/>
      <c r="Q2239" s="40"/>
      <c r="R2239" s="40"/>
    </row>
    <row r="2240" spans="1:18" x14ac:dyDescent="0.2">
      <c r="A2240" s="40" t="s">
        <v>2104</v>
      </c>
      <c r="B2240" s="40">
        <v>10.36</v>
      </c>
      <c r="C2240" s="40">
        <v>10.38</v>
      </c>
      <c r="D2240" s="40">
        <v>9.64</v>
      </c>
      <c r="E2240" s="40">
        <v>9.76</v>
      </c>
      <c r="K2240" s="40"/>
      <c r="P2240" s="40"/>
      <c r="Q2240" s="40"/>
      <c r="R2240" s="40"/>
    </row>
    <row r="2241" spans="1:18" x14ac:dyDescent="0.2">
      <c r="A2241" s="40" t="s">
        <v>2105</v>
      </c>
      <c r="B2241" s="40">
        <v>9.92</v>
      </c>
      <c r="C2241" s="40">
        <v>10.039999999999999</v>
      </c>
      <c r="D2241" s="40">
        <v>9.4499999999999993</v>
      </c>
      <c r="E2241" s="40">
        <v>9.5</v>
      </c>
      <c r="K2241" s="40"/>
      <c r="P2241" s="40"/>
      <c r="Q2241" s="40"/>
      <c r="R2241" s="40"/>
    </row>
    <row r="2242" spans="1:18" x14ac:dyDescent="0.2">
      <c r="A2242" s="40" t="s">
        <v>2106</v>
      </c>
      <c r="B2242" s="40">
        <v>9.69</v>
      </c>
      <c r="C2242" s="40">
        <v>9.93</v>
      </c>
      <c r="D2242" s="40">
        <v>9.06</v>
      </c>
      <c r="E2242" s="40">
        <v>9.9</v>
      </c>
      <c r="K2242" s="40"/>
      <c r="P2242" s="40"/>
      <c r="Q2242" s="40"/>
      <c r="R2242" s="40"/>
    </row>
    <row r="2243" spans="1:18" x14ac:dyDescent="0.2">
      <c r="A2243" s="40" t="s">
        <v>2107</v>
      </c>
      <c r="B2243" s="40">
        <v>11.36</v>
      </c>
      <c r="C2243" s="40">
        <v>11.68</v>
      </c>
      <c r="D2243" s="40">
        <v>10.97</v>
      </c>
      <c r="E2243" s="40">
        <v>11.36</v>
      </c>
      <c r="K2243" s="40"/>
      <c r="P2243" s="40"/>
      <c r="Q2243" s="40"/>
      <c r="R2243" s="40"/>
    </row>
    <row r="2244" spans="1:18" x14ac:dyDescent="0.2">
      <c r="A2244" s="41">
        <v>43508</v>
      </c>
      <c r="B2244" s="40">
        <v>13.29</v>
      </c>
      <c r="C2244" s="40">
        <v>16.2</v>
      </c>
      <c r="D2244" s="40">
        <v>13.29</v>
      </c>
      <c r="E2244" s="40">
        <v>15.3</v>
      </c>
      <c r="K2244" s="40"/>
      <c r="P2244" s="40"/>
      <c r="Q2244" s="40"/>
      <c r="R2244" s="40"/>
    </row>
    <row r="2245" spans="1:18" x14ac:dyDescent="0.2">
      <c r="A2245" s="41">
        <v>43536</v>
      </c>
      <c r="B2245" s="40">
        <v>19.350000000000001</v>
      </c>
      <c r="C2245" s="40">
        <v>20.59</v>
      </c>
      <c r="D2245" s="40">
        <v>16.47</v>
      </c>
      <c r="E2245" s="40">
        <v>16.86</v>
      </c>
      <c r="K2245" s="40"/>
      <c r="P2245" s="40"/>
      <c r="Q2245" s="40"/>
      <c r="R2245" s="40"/>
    </row>
    <row r="2246" spans="1:18" x14ac:dyDescent="0.2">
      <c r="A2246" s="41">
        <v>43567</v>
      </c>
      <c r="B2246" s="40">
        <v>15.88</v>
      </c>
      <c r="C2246" s="40">
        <v>16.010000000000002</v>
      </c>
      <c r="D2246" s="40">
        <v>14.03</v>
      </c>
      <c r="E2246" s="40">
        <v>14.92</v>
      </c>
      <c r="K2246" s="40"/>
      <c r="P2246" s="40"/>
      <c r="Q2246" s="40"/>
      <c r="R2246" s="40"/>
    </row>
    <row r="2247" spans="1:18" x14ac:dyDescent="0.2">
      <c r="A2247" s="41">
        <v>43597</v>
      </c>
      <c r="B2247" s="40">
        <v>14.54</v>
      </c>
      <c r="C2247" s="40">
        <v>15.63</v>
      </c>
      <c r="D2247" s="40">
        <v>13.69</v>
      </c>
      <c r="E2247" s="40">
        <v>13.94</v>
      </c>
      <c r="K2247" s="40"/>
      <c r="P2247" s="40"/>
      <c r="Q2247" s="40"/>
      <c r="R2247" s="40"/>
    </row>
    <row r="2248" spans="1:18" x14ac:dyDescent="0.2">
      <c r="A2248" s="41">
        <v>43628</v>
      </c>
      <c r="B2248" s="40">
        <v>12.47</v>
      </c>
      <c r="C2248" s="40">
        <v>12.85</v>
      </c>
      <c r="D2248" s="40">
        <v>12.2</v>
      </c>
      <c r="E2248" s="40">
        <v>12.81</v>
      </c>
      <c r="K2248" s="40"/>
      <c r="P2248" s="40"/>
      <c r="Q2248" s="40"/>
      <c r="R2248" s="40"/>
    </row>
    <row r="2249" spans="1:18" x14ac:dyDescent="0.2">
      <c r="A2249" s="41">
        <v>43720</v>
      </c>
      <c r="B2249" s="40">
        <v>14.7</v>
      </c>
      <c r="C2249" s="40">
        <v>17.41</v>
      </c>
      <c r="D2249" s="40">
        <v>14.27</v>
      </c>
      <c r="E2249" s="40">
        <v>17.059999999999999</v>
      </c>
      <c r="K2249" s="40"/>
      <c r="P2249" s="40"/>
      <c r="Q2249" s="40"/>
      <c r="R2249" s="40"/>
    </row>
    <row r="2250" spans="1:18" x14ac:dyDescent="0.2">
      <c r="A2250" s="41">
        <v>43750</v>
      </c>
      <c r="B2250" s="40">
        <v>16.579999999999998</v>
      </c>
      <c r="C2250" s="40">
        <v>17.89</v>
      </c>
      <c r="D2250" s="40">
        <v>15.97</v>
      </c>
      <c r="E2250" s="40">
        <v>16.239999999999998</v>
      </c>
      <c r="K2250" s="40"/>
      <c r="P2250" s="40"/>
      <c r="Q2250" s="40"/>
      <c r="R2250" s="40"/>
    </row>
    <row r="2251" spans="1:18" x14ac:dyDescent="0.2">
      <c r="A2251" s="41">
        <v>43781</v>
      </c>
      <c r="B2251" s="40">
        <v>16.73</v>
      </c>
      <c r="C2251" s="40">
        <v>17.03</v>
      </c>
      <c r="D2251" s="40">
        <v>14.36</v>
      </c>
      <c r="E2251" s="40">
        <v>15.27</v>
      </c>
      <c r="K2251" s="40"/>
      <c r="P2251" s="40"/>
      <c r="Q2251" s="40"/>
      <c r="R2251" s="40"/>
    </row>
    <row r="2252" spans="1:18" x14ac:dyDescent="0.2">
      <c r="A2252" s="41">
        <v>43811</v>
      </c>
      <c r="B2252" s="40">
        <v>16.25</v>
      </c>
      <c r="C2252" s="40">
        <v>16.7</v>
      </c>
      <c r="D2252" s="40">
        <v>13.81</v>
      </c>
      <c r="E2252" s="40">
        <v>14.67</v>
      </c>
      <c r="K2252" s="40"/>
      <c r="P2252" s="40"/>
      <c r="Q2252" s="40"/>
      <c r="R2252" s="40"/>
    </row>
    <row r="2253" spans="1:18" x14ac:dyDescent="0.2">
      <c r="A2253" s="40" t="s">
        <v>2108</v>
      </c>
      <c r="B2253" s="40">
        <v>14.94</v>
      </c>
      <c r="C2253" s="40">
        <v>15.35</v>
      </c>
      <c r="D2253" s="40">
        <v>11.84</v>
      </c>
      <c r="E2253" s="40">
        <v>12.41</v>
      </c>
      <c r="K2253" s="40"/>
      <c r="P2253" s="40"/>
      <c r="Q2253" s="40"/>
      <c r="R2253" s="40"/>
    </row>
    <row r="2254" spans="1:18" x14ac:dyDescent="0.2">
      <c r="A2254" s="40" t="s">
        <v>2109</v>
      </c>
      <c r="B2254" s="40">
        <v>11.01</v>
      </c>
      <c r="C2254" s="40">
        <v>12.08</v>
      </c>
      <c r="D2254" s="40">
        <v>10.58</v>
      </c>
      <c r="E2254" s="40">
        <v>11.63</v>
      </c>
      <c r="K2254" s="40"/>
      <c r="P2254" s="40"/>
      <c r="Q2254" s="40"/>
      <c r="R2254" s="40"/>
    </row>
    <row r="2255" spans="1:18" x14ac:dyDescent="0.2">
      <c r="A2255" s="40" t="s">
        <v>2110</v>
      </c>
      <c r="B2255" s="40">
        <v>11.35</v>
      </c>
      <c r="C2255" s="40">
        <v>11.6</v>
      </c>
      <c r="D2255" s="40">
        <v>10.87</v>
      </c>
      <c r="E2255" s="40">
        <v>11.16</v>
      </c>
      <c r="K2255" s="40"/>
      <c r="P2255" s="40"/>
      <c r="Q2255" s="40"/>
      <c r="R2255" s="40"/>
    </row>
    <row r="2256" spans="1:18" x14ac:dyDescent="0.2">
      <c r="A2256" s="40" t="s">
        <v>2111</v>
      </c>
      <c r="B2256" s="40">
        <v>10.71</v>
      </c>
      <c r="C2256" s="40">
        <v>10.88</v>
      </c>
      <c r="D2256" s="40">
        <v>9.9</v>
      </c>
      <c r="E2256" s="40">
        <v>10.3</v>
      </c>
      <c r="K2256" s="40"/>
      <c r="P2256" s="40"/>
      <c r="Q2256" s="40"/>
      <c r="R2256" s="40"/>
    </row>
    <row r="2257" spans="1:18" x14ac:dyDescent="0.2">
      <c r="A2257" s="40" t="s">
        <v>2112</v>
      </c>
      <c r="B2257" s="40">
        <v>10.26</v>
      </c>
      <c r="C2257" s="40">
        <v>10.29</v>
      </c>
      <c r="D2257" s="40">
        <v>9.33</v>
      </c>
      <c r="E2257" s="40">
        <v>9.39</v>
      </c>
      <c r="K2257" s="40"/>
      <c r="P2257" s="40"/>
      <c r="Q2257" s="40"/>
      <c r="R2257" s="40"/>
    </row>
    <row r="2258" spans="1:18" x14ac:dyDescent="0.2">
      <c r="A2258" s="40" t="s">
        <v>2113</v>
      </c>
      <c r="B2258" s="40">
        <v>8.82</v>
      </c>
      <c r="C2258" s="40">
        <v>9.36</v>
      </c>
      <c r="D2258" s="40">
        <v>8.5500000000000007</v>
      </c>
      <c r="E2258" s="40">
        <v>9.27</v>
      </c>
      <c r="K2258" s="40"/>
      <c r="P2258" s="40"/>
      <c r="Q2258" s="40"/>
      <c r="R2258" s="40"/>
    </row>
    <row r="2259" spans="1:18" x14ac:dyDescent="0.2">
      <c r="A2259" s="40" t="s">
        <v>2114</v>
      </c>
      <c r="B2259" s="40">
        <v>10.37</v>
      </c>
      <c r="C2259" s="40">
        <v>10.48</v>
      </c>
      <c r="D2259" s="40">
        <v>9.59</v>
      </c>
      <c r="E2259" s="40">
        <v>9.83</v>
      </c>
      <c r="K2259" s="40"/>
      <c r="P2259" s="40"/>
      <c r="Q2259" s="40"/>
      <c r="R2259" s="40"/>
    </row>
    <row r="2260" spans="1:18" x14ac:dyDescent="0.2">
      <c r="A2260" s="40" t="s">
        <v>2115</v>
      </c>
      <c r="B2260" s="40">
        <v>9.84</v>
      </c>
      <c r="C2260" s="40">
        <v>10.08</v>
      </c>
      <c r="D2260" s="40">
        <v>9.49</v>
      </c>
      <c r="E2260" s="40">
        <v>9.56</v>
      </c>
      <c r="K2260" s="40"/>
      <c r="P2260" s="40"/>
      <c r="Q2260" s="40"/>
      <c r="R2260" s="40"/>
    </row>
    <row r="2261" spans="1:18" x14ac:dyDescent="0.2">
      <c r="A2261" s="40" t="s">
        <v>2116</v>
      </c>
      <c r="B2261" s="40">
        <v>10.11</v>
      </c>
      <c r="C2261" s="40">
        <v>10.16</v>
      </c>
      <c r="D2261" s="40">
        <v>9.7100000000000009</v>
      </c>
      <c r="E2261" s="40">
        <v>9.94</v>
      </c>
      <c r="K2261" s="40"/>
      <c r="P2261" s="40"/>
      <c r="Q2261" s="40"/>
      <c r="R2261" s="40"/>
    </row>
    <row r="2262" spans="1:18" x14ac:dyDescent="0.2">
      <c r="A2262" s="40" t="s">
        <v>2117</v>
      </c>
      <c r="B2262" s="40">
        <v>10.32</v>
      </c>
      <c r="C2262" s="40">
        <v>11.58</v>
      </c>
      <c r="D2262" s="40">
        <v>10.3</v>
      </c>
      <c r="E2262" s="40">
        <v>11</v>
      </c>
      <c r="K2262" s="40"/>
      <c r="P2262" s="40"/>
      <c r="Q2262" s="40"/>
      <c r="R2262" s="40"/>
    </row>
    <row r="2263" spans="1:18" x14ac:dyDescent="0.2">
      <c r="A2263" s="40" t="s">
        <v>2118</v>
      </c>
      <c r="B2263" s="40">
        <v>10.99</v>
      </c>
      <c r="C2263" s="40">
        <v>14.46</v>
      </c>
      <c r="D2263" s="40">
        <v>10.99</v>
      </c>
      <c r="E2263" s="40">
        <v>13.77</v>
      </c>
      <c r="K2263" s="40"/>
      <c r="P2263" s="40"/>
      <c r="Q2263" s="40"/>
      <c r="R2263" s="40"/>
    </row>
    <row r="2264" spans="1:18" x14ac:dyDescent="0.2">
      <c r="A2264" s="40" t="s">
        <v>2119</v>
      </c>
      <c r="B2264" s="40">
        <v>14.47</v>
      </c>
      <c r="C2264" s="40">
        <v>14.69</v>
      </c>
      <c r="D2264" s="40">
        <v>13.16</v>
      </c>
      <c r="E2264" s="40">
        <v>13.26</v>
      </c>
      <c r="K2264" s="40"/>
      <c r="P2264" s="40"/>
      <c r="Q2264" s="40"/>
      <c r="R2264" s="40"/>
    </row>
    <row r="2265" spans="1:18" x14ac:dyDescent="0.2">
      <c r="A2265" s="41">
        <v>43862</v>
      </c>
      <c r="B2265" s="40">
        <v>12.44</v>
      </c>
      <c r="C2265" s="40">
        <v>12.75</v>
      </c>
      <c r="D2265" s="40">
        <v>10.43</v>
      </c>
      <c r="E2265" s="40">
        <v>10.6</v>
      </c>
      <c r="K2265" s="40"/>
      <c r="P2265" s="40"/>
      <c r="Q2265" s="40"/>
      <c r="R2265" s="40"/>
    </row>
    <row r="2266" spans="1:18" x14ac:dyDescent="0.2">
      <c r="A2266" s="41">
        <v>43891</v>
      </c>
      <c r="B2266" s="40">
        <v>14.88</v>
      </c>
      <c r="C2266" s="40">
        <v>14.88</v>
      </c>
      <c r="D2266" s="40">
        <v>11.91</v>
      </c>
      <c r="E2266" s="40">
        <v>12.78</v>
      </c>
      <c r="K2266" s="40"/>
      <c r="P2266" s="40"/>
      <c r="Q2266" s="40"/>
      <c r="R2266" s="40"/>
    </row>
    <row r="2267" spans="1:18" x14ac:dyDescent="0.2">
      <c r="A2267" s="41">
        <v>43983</v>
      </c>
      <c r="B2267" s="40">
        <v>15.89</v>
      </c>
      <c r="C2267" s="40">
        <v>15.89</v>
      </c>
      <c r="D2267" s="40">
        <v>12.11</v>
      </c>
      <c r="E2267" s="40">
        <v>12.42</v>
      </c>
      <c r="K2267" s="40"/>
      <c r="P2267" s="40"/>
      <c r="Q2267" s="40"/>
      <c r="R2267" s="40"/>
    </row>
    <row r="2268" spans="1:18" x14ac:dyDescent="0.2">
      <c r="A2268" s="41">
        <v>44013</v>
      </c>
      <c r="B2268" s="40">
        <v>13.2</v>
      </c>
      <c r="C2268" s="40">
        <v>13.56</v>
      </c>
      <c r="D2268" s="40">
        <v>11.73</v>
      </c>
      <c r="E2268" s="40">
        <v>12.34</v>
      </c>
      <c r="K2268" s="40"/>
      <c r="P2268" s="40"/>
      <c r="Q2268" s="40"/>
      <c r="R2268" s="40"/>
    </row>
    <row r="2269" spans="1:18" x14ac:dyDescent="0.2">
      <c r="A2269" s="41">
        <v>44044</v>
      </c>
      <c r="B2269" s="40">
        <v>13.43</v>
      </c>
      <c r="C2269" s="40">
        <v>13.45</v>
      </c>
      <c r="D2269" s="40">
        <v>10.81</v>
      </c>
      <c r="E2269" s="40">
        <v>12.22</v>
      </c>
      <c r="K2269" s="40"/>
      <c r="P2269" s="40"/>
      <c r="Q2269" s="40"/>
      <c r="R2269" s="40"/>
    </row>
    <row r="2270" spans="1:18" x14ac:dyDescent="0.2">
      <c r="A2270" s="41">
        <v>44075</v>
      </c>
      <c r="B2270" s="40">
        <v>11.65</v>
      </c>
      <c r="C2270" s="40">
        <v>11.77</v>
      </c>
      <c r="D2270" s="40">
        <v>10.83</v>
      </c>
      <c r="E2270" s="40">
        <v>10.86</v>
      </c>
      <c r="K2270" s="40"/>
      <c r="P2270" s="40"/>
      <c r="Q2270" s="40"/>
      <c r="R2270" s="40"/>
    </row>
    <row r="2271" spans="1:18" x14ac:dyDescent="0.2">
      <c r="A2271" s="41">
        <v>44105</v>
      </c>
      <c r="B2271" s="40">
        <v>10.51</v>
      </c>
      <c r="C2271" s="40">
        <v>11.08</v>
      </c>
      <c r="D2271" s="40">
        <v>9.8000000000000007</v>
      </c>
      <c r="E2271" s="40">
        <v>10.57</v>
      </c>
      <c r="K2271" s="40"/>
      <c r="P2271" s="40"/>
      <c r="Q2271" s="40"/>
      <c r="R2271" s="40"/>
    </row>
    <row r="2272" spans="1:18" x14ac:dyDescent="0.2">
      <c r="A2272" s="40" t="s">
        <v>2120</v>
      </c>
      <c r="B2272" s="40">
        <v>11.39</v>
      </c>
      <c r="C2272" s="40">
        <v>11.67</v>
      </c>
      <c r="D2272" s="40">
        <v>10.050000000000001</v>
      </c>
      <c r="E2272" s="40">
        <v>10.050000000000001</v>
      </c>
      <c r="K2272" s="40"/>
      <c r="P2272" s="40"/>
      <c r="Q2272" s="40"/>
      <c r="R2272" s="40"/>
    </row>
    <row r="2273" spans="1:18" x14ac:dyDescent="0.2">
      <c r="A2273" s="40" t="s">
        <v>2121</v>
      </c>
      <c r="B2273" s="40">
        <v>10.29</v>
      </c>
      <c r="C2273" s="40">
        <v>11.11</v>
      </c>
      <c r="D2273" s="40">
        <v>9.49</v>
      </c>
      <c r="E2273" s="40">
        <v>10.18</v>
      </c>
      <c r="K2273" s="40"/>
      <c r="P2273" s="40"/>
      <c r="Q2273" s="40"/>
      <c r="R2273" s="40"/>
    </row>
    <row r="2274" spans="1:18" x14ac:dyDescent="0.2">
      <c r="A2274" s="40" t="s">
        <v>2122</v>
      </c>
      <c r="B2274" s="40">
        <v>10.35</v>
      </c>
      <c r="C2274" s="40">
        <v>10.43</v>
      </c>
      <c r="D2274" s="40">
        <v>9.68</v>
      </c>
      <c r="E2274" s="40">
        <v>9.69</v>
      </c>
      <c r="K2274" s="40"/>
      <c r="P2274" s="40"/>
      <c r="Q2274" s="40"/>
      <c r="R2274" s="40"/>
    </row>
    <row r="2275" spans="1:18" x14ac:dyDescent="0.2">
      <c r="A2275" s="40" t="s">
        <v>2123</v>
      </c>
      <c r="B2275" s="40">
        <v>9.49</v>
      </c>
      <c r="C2275" s="40">
        <v>9.83</v>
      </c>
      <c r="D2275" s="40">
        <v>9.24</v>
      </c>
      <c r="E2275" s="40">
        <v>9.7100000000000009</v>
      </c>
      <c r="K2275" s="40"/>
      <c r="P2275" s="40"/>
      <c r="Q2275" s="40"/>
      <c r="R2275" s="40"/>
    </row>
    <row r="2276" spans="1:18" x14ac:dyDescent="0.2">
      <c r="A2276" s="40" t="s">
        <v>2124</v>
      </c>
      <c r="B2276" s="40">
        <v>9.73</v>
      </c>
      <c r="C2276" s="40">
        <v>9.84</v>
      </c>
      <c r="D2276" s="40">
        <v>8.98</v>
      </c>
      <c r="E2276" s="40">
        <v>9.0399999999999991</v>
      </c>
      <c r="K2276" s="40"/>
      <c r="P2276" s="40"/>
      <c r="Q2276" s="40"/>
      <c r="R2276" s="40"/>
    </row>
    <row r="2277" spans="1:18" x14ac:dyDescent="0.2">
      <c r="A2277" s="40" t="s">
        <v>2125</v>
      </c>
      <c r="B2277" s="40">
        <v>11.82</v>
      </c>
      <c r="C2277" s="40">
        <v>12.17</v>
      </c>
      <c r="D2277" s="40">
        <v>11.01</v>
      </c>
      <c r="E2277" s="40">
        <v>11.38</v>
      </c>
      <c r="K2277" s="40"/>
      <c r="P2277" s="40"/>
      <c r="Q2277" s="40"/>
      <c r="R2277" s="40"/>
    </row>
    <row r="2278" spans="1:18" x14ac:dyDescent="0.2">
      <c r="A2278" s="40" t="s">
        <v>2126</v>
      </c>
      <c r="B2278" s="40">
        <v>11.25</v>
      </c>
      <c r="C2278" s="40">
        <v>11.28</v>
      </c>
      <c r="D2278" s="40">
        <v>10.41</v>
      </c>
      <c r="E2278" s="40">
        <v>11.03</v>
      </c>
      <c r="K2278" s="40"/>
      <c r="P2278" s="40"/>
      <c r="Q2278" s="40"/>
      <c r="R2278" s="40"/>
    </row>
    <row r="2279" spans="1:18" x14ac:dyDescent="0.2">
      <c r="A2279" s="40" t="s">
        <v>2127</v>
      </c>
      <c r="B2279" s="40">
        <v>11</v>
      </c>
      <c r="C2279" s="40">
        <v>13.01</v>
      </c>
      <c r="D2279" s="40">
        <v>11</v>
      </c>
      <c r="E2279" s="40">
        <v>11.4</v>
      </c>
      <c r="K2279" s="40"/>
      <c r="P2279" s="40"/>
      <c r="Q2279" s="40"/>
      <c r="R2279" s="40"/>
    </row>
    <row r="2280" spans="1:18" x14ac:dyDescent="0.2">
      <c r="A2280" s="40" t="s">
        <v>2128</v>
      </c>
      <c r="B2280" s="40">
        <v>11.39</v>
      </c>
      <c r="C2280" s="40">
        <v>17.8</v>
      </c>
      <c r="D2280" s="40">
        <v>11.27</v>
      </c>
      <c r="E2280" s="40">
        <v>14.65</v>
      </c>
      <c r="K2280" s="40"/>
      <c r="P2280" s="40"/>
      <c r="Q2280" s="40"/>
      <c r="R2280" s="40"/>
    </row>
    <row r="2281" spans="1:18" x14ac:dyDescent="0.2">
      <c r="A2281" s="40" t="s">
        <v>2129</v>
      </c>
      <c r="B2281" s="40">
        <v>14.58</v>
      </c>
      <c r="C2281" s="40">
        <v>22.15</v>
      </c>
      <c r="D2281" s="40">
        <v>14.58</v>
      </c>
      <c r="E2281" s="40">
        <v>21.3</v>
      </c>
      <c r="K2281" s="40"/>
      <c r="P2281" s="40"/>
      <c r="Q2281" s="40"/>
      <c r="R2281" s="40"/>
    </row>
    <row r="2282" spans="1:18" x14ac:dyDescent="0.2">
      <c r="A2282" s="40" t="s">
        <v>2130</v>
      </c>
      <c r="B2282" s="40">
        <v>19.12</v>
      </c>
      <c r="C2282" s="40">
        <v>19.88</v>
      </c>
      <c r="D2282" s="40">
        <v>17.350000000000001</v>
      </c>
      <c r="E2282" s="40">
        <v>18.34</v>
      </c>
      <c r="K2282" s="40"/>
      <c r="P2282" s="40"/>
      <c r="Q2282" s="40"/>
      <c r="R2282" s="40"/>
    </row>
    <row r="2283" spans="1:18" x14ac:dyDescent="0.2">
      <c r="A2283" s="40" t="s">
        <v>2131</v>
      </c>
      <c r="B2283" s="40">
        <v>16.88</v>
      </c>
      <c r="C2283" s="40">
        <v>19.2</v>
      </c>
      <c r="D2283" s="40">
        <v>16.239999999999998</v>
      </c>
      <c r="E2283" s="40">
        <v>18.12</v>
      </c>
      <c r="K2283" s="40"/>
      <c r="P2283" s="40"/>
      <c r="Q2283" s="40"/>
      <c r="R2283" s="40"/>
    </row>
    <row r="2284" spans="1:18" x14ac:dyDescent="0.2">
      <c r="A2284" s="40" t="s">
        <v>2132</v>
      </c>
      <c r="B2284" s="40">
        <v>20.190000000000001</v>
      </c>
      <c r="C2284" s="40">
        <v>21.23</v>
      </c>
      <c r="D2284" s="40">
        <v>16.11</v>
      </c>
      <c r="E2284" s="40">
        <v>16.41</v>
      </c>
      <c r="K2284" s="40"/>
      <c r="P2284" s="40"/>
      <c r="Q2284" s="40"/>
      <c r="R2284" s="40"/>
    </row>
    <row r="2285" spans="1:18" x14ac:dyDescent="0.2">
      <c r="A2285" s="40" t="s">
        <v>2133</v>
      </c>
      <c r="B2285" s="40">
        <v>18.23</v>
      </c>
      <c r="C2285" s="40">
        <v>23.33</v>
      </c>
      <c r="D2285" s="40">
        <v>18.07</v>
      </c>
      <c r="E2285" s="40">
        <v>21.66</v>
      </c>
      <c r="K2285" s="40"/>
      <c r="P2285" s="40"/>
      <c r="Q2285" s="40"/>
      <c r="R2285" s="40"/>
    </row>
    <row r="2286" spans="1:18" x14ac:dyDescent="0.2">
      <c r="A2286" s="41">
        <v>43892</v>
      </c>
      <c r="B2286" s="40">
        <v>20.09</v>
      </c>
      <c r="C2286" s="40">
        <v>20.309999999999999</v>
      </c>
      <c r="D2286" s="40">
        <v>18.29</v>
      </c>
      <c r="E2286" s="40">
        <v>19.23</v>
      </c>
      <c r="K2286" s="40"/>
      <c r="P2286" s="40"/>
      <c r="Q2286" s="40"/>
      <c r="R2286" s="40"/>
    </row>
    <row r="2287" spans="1:18" x14ac:dyDescent="0.2">
      <c r="A2287" s="41">
        <v>43923</v>
      </c>
      <c r="B2287" s="40">
        <v>16.29</v>
      </c>
      <c r="C2287" s="40">
        <v>16.61</v>
      </c>
      <c r="D2287" s="40">
        <v>15.68</v>
      </c>
      <c r="E2287" s="40">
        <v>15.81</v>
      </c>
      <c r="K2287" s="40"/>
      <c r="P2287" s="40"/>
      <c r="Q2287" s="40"/>
      <c r="R2287" s="40"/>
    </row>
    <row r="2288" spans="1:18" x14ac:dyDescent="0.2">
      <c r="A2288" s="41">
        <v>43953</v>
      </c>
      <c r="B2288" s="40">
        <v>14.74</v>
      </c>
      <c r="C2288" s="40">
        <v>15.75</v>
      </c>
      <c r="D2288" s="40">
        <v>13.52</v>
      </c>
      <c r="E2288" s="40">
        <v>13.69</v>
      </c>
      <c r="K2288" s="40"/>
      <c r="P2288" s="40"/>
      <c r="Q2288" s="40"/>
      <c r="R2288" s="40"/>
    </row>
    <row r="2289" spans="1:18" x14ac:dyDescent="0.2">
      <c r="A2289" s="41">
        <v>43984</v>
      </c>
      <c r="B2289" s="40">
        <v>13.95</v>
      </c>
      <c r="C2289" s="40">
        <v>14.57</v>
      </c>
      <c r="D2289" s="40">
        <v>12.8</v>
      </c>
      <c r="E2289" s="40">
        <v>12.98</v>
      </c>
      <c r="K2289" s="40"/>
      <c r="P2289" s="40"/>
      <c r="Q2289" s="40"/>
      <c r="R2289" s="40"/>
    </row>
    <row r="2290" spans="1:18" x14ac:dyDescent="0.2">
      <c r="A2290" s="41">
        <v>44014</v>
      </c>
      <c r="B2290" s="40">
        <v>14.38</v>
      </c>
      <c r="C2290" s="40">
        <v>15.21</v>
      </c>
      <c r="D2290" s="40">
        <v>12.9</v>
      </c>
      <c r="E2290" s="40">
        <v>13.73</v>
      </c>
      <c r="K2290" s="40"/>
      <c r="P2290" s="40"/>
      <c r="Q2290" s="40"/>
      <c r="R2290" s="40"/>
    </row>
    <row r="2291" spans="1:18" x14ac:dyDescent="0.2">
      <c r="A2291" s="41">
        <v>44106</v>
      </c>
      <c r="B2291" s="40">
        <v>15.54</v>
      </c>
      <c r="C2291" s="40">
        <v>15.54</v>
      </c>
      <c r="D2291" s="40">
        <v>12.85</v>
      </c>
      <c r="E2291" s="40">
        <v>12.89</v>
      </c>
      <c r="K2291" s="40"/>
      <c r="P2291" s="40"/>
      <c r="Q2291" s="40"/>
      <c r="R2291" s="40"/>
    </row>
    <row r="2292" spans="1:18" x14ac:dyDescent="0.2">
      <c r="A2292" s="41">
        <v>44137</v>
      </c>
      <c r="B2292" s="40">
        <v>12.3</v>
      </c>
      <c r="C2292" s="40">
        <v>13.23</v>
      </c>
      <c r="D2292" s="40">
        <v>11.94</v>
      </c>
      <c r="E2292" s="40">
        <v>13.04</v>
      </c>
      <c r="K2292" s="40"/>
      <c r="P2292" s="40"/>
      <c r="Q2292" s="40"/>
      <c r="R2292" s="40"/>
    </row>
    <row r="2293" spans="1:18" x14ac:dyDescent="0.2">
      <c r="A2293" s="41">
        <v>44167</v>
      </c>
      <c r="B2293" s="40">
        <v>11.97</v>
      </c>
      <c r="C2293" s="40">
        <v>11.97</v>
      </c>
      <c r="D2293" s="40">
        <v>10.76</v>
      </c>
      <c r="E2293" s="40">
        <v>10.84</v>
      </c>
      <c r="K2293" s="40"/>
      <c r="P2293" s="40"/>
      <c r="Q2293" s="40"/>
      <c r="R2293" s="40"/>
    </row>
    <row r="2294" spans="1:18" x14ac:dyDescent="0.2">
      <c r="A2294" s="40" t="s">
        <v>2134</v>
      </c>
      <c r="B2294" s="40">
        <v>12.9</v>
      </c>
      <c r="C2294" s="40">
        <v>13.06</v>
      </c>
      <c r="D2294" s="40">
        <v>11.55</v>
      </c>
      <c r="E2294" s="40">
        <v>11.83</v>
      </c>
      <c r="K2294" s="40"/>
      <c r="P2294" s="40"/>
      <c r="Q2294" s="40"/>
      <c r="R2294" s="40"/>
    </row>
    <row r="2295" spans="1:18" x14ac:dyDescent="0.2">
      <c r="A2295" s="40" t="s">
        <v>2135</v>
      </c>
      <c r="B2295" s="40">
        <v>11.85</v>
      </c>
      <c r="C2295" s="40">
        <v>12.31</v>
      </c>
      <c r="D2295" s="40">
        <v>10.95</v>
      </c>
      <c r="E2295" s="40">
        <v>10.98</v>
      </c>
      <c r="K2295" s="40"/>
      <c r="P2295" s="40"/>
      <c r="Q2295" s="40"/>
      <c r="R2295" s="40"/>
    </row>
    <row r="2296" spans="1:18" x14ac:dyDescent="0.2">
      <c r="A2296" s="40" t="s">
        <v>2136</v>
      </c>
      <c r="B2296" s="40">
        <v>13.94</v>
      </c>
      <c r="C2296" s="40">
        <v>14.7</v>
      </c>
      <c r="D2296" s="40">
        <v>12.91</v>
      </c>
      <c r="E2296" s="40">
        <v>13.02</v>
      </c>
      <c r="K2296" s="40"/>
      <c r="P2296" s="40"/>
      <c r="Q2296" s="40"/>
      <c r="R2296" s="40"/>
    </row>
    <row r="2297" spans="1:18" x14ac:dyDescent="0.2">
      <c r="A2297" s="40" t="s">
        <v>2137</v>
      </c>
      <c r="B2297" s="40">
        <v>12.27</v>
      </c>
      <c r="C2297" s="40">
        <v>12.48</v>
      </c>
      <c r="D2297" s="40">
        <v>11.81</v>
      </c>
      <c r="E2297" s="40">
        <v>11.88</v>
      </c>
      <c r="K2297" s="40"/>
      <c r="P2297" s="40"/>
      <c r="Q2297" s="40"/>
      <c r="R2297" s="40"/>
    </row>
    <row r="2298" spans="1:18" x14ac:dyDescent="0.2">
      <c r="A2298" s="40" t="s">
        <v>2138</v>
      </c>
      <c r="B2298" s="40">
        <v>12.91</v>
      </c>
      <c r="C2298" s="40">
        <v>16.809999999999999</v>
      </c>
      <c r="D2298" s="40">
        <v>12.31</v>
      </c>
      <c r="E2298" s="40">
        <v>13.86</v>
      </c>
      <c r="K2298" s="40"/>
      <c r="P2298" s="40"/>
      <c r="Q2298" s="40"/>
      <c r="R2298" s="40"/>
    </row>
    <row r="2299" spans="1:18" x14ac:dyDescent="0.2">
      <c r="A2299" s="40" t="s">
        <v>2139</v>
      </c>
      <c r="B2299" s="40">
        <v>15.93</v>
      </c>
      <c r="C2299" s="40">
        <v>18.16</v>
      </c>
      <c r="D2299" s="40">
        <v>15.48</v>
      </c>
      <c r="E2299" s="40">
        <v>15.77</v>
      </c>
      <c r="K2299" s="40"/>
      <c r="P2299" s="40"/>
      <c r="Q2299" s="40"/>
      <c r="R2299" s="40"/>
    </row>
    <row r="2300" spans="1:18" x14ac:dyDescent="0.2">
      <c r="A2300" s="40" t="s">
        <v>2140</v>
      </c>
      <c r="B2300" s="40">
        <v>27.46</v>
      </c>
      <c r="C2300" s="40">
        <v>33.450000000000003</v>
      </c>
      <c r="D2300" s="40">
        <v>24.77</v>
      </c>
      <c r="E2300" s="40">
        <v>31.9</v>
      </c>
      <c r="K2300" s="40"/>
      <c r="P2300" s="40"/>
      <c r="Q2300" s="40"/>
      <c r="R2300" s="40"/>
    </row>
    <row r="2301" spans="1:18" x14ac:dyDescent="0.2">
      <c r="A2301" s="40" t="s">
        <v>2141</v>
      </c>
      <c r="B2301" s="40">
        <v>26.81</v>
      </c>
      <c r="C2301" s="40">
        <v>39.450000000000003</v>
      </c>
      <c r="D2301" s="40">
        <v>26.81</v>
      </c>
      <c r="E2301" s="40">
        <v>36.35</v>
      </c>
      <c r="K2301" s="40"/>
      <c r="P2301" s="40"/>
      <c r="Q2301" s="40"/>
      <c r="R2301" s="40"/>
    </row>
    <row r="2302" spans="1:18" x14ac:dyDescent="0.2">
      <c r="A2302" s="40" t="s">
        <v>2142</v>
      </c>
      <c r="B2302" s="40">
        <v>33.119999999999997</v>
      </c>
      <c r="C2302" s="40">
        <v>36.85</v>
      </c>
      <c r="D2302" s="40">
        <v>29.9</v>
      </c>
      <c r="E2302" s="40">
        <v>34.840000000000003</v>
      </c>
      <c r="K2302" s="40"/>
      <c r="P2302" s="40"/>
      <c r="Q2302" s="40"/>
      <c r="R2302" s="40"/>
    </row>
    <row r="2303" spans="1:18" x14ac:dyDescent="0.2">
      <c r="A2303" s="40" t="s">
        <v>2143</v>
      </c>
      <c r="B2303" s="40">
        <v>40.94</v>
      </c>
      <c r="C2303" s="40">
        <v>54.9</v>
      </c>
      <c r="D2303" s="40">
        <v>37.5</v>
      </c>
      <c r="E2303" s="40">
        <v>54.74</v>
      </c>
      <c r="K2303" s="40"/>
      <c r="P2303" s="40"/>
      <c r="Q2303" s="40"/>
      <c r="R2303" s="40"/>
    </row>
    <row r="2304" spans="1:18" x14ac:dyDescent="0.2">
      <c r="A2304" s="40" t="s">
        <v>2144</v>
      </c>
      <c r="B2304" s="40">
        <v>60.19</v>
      </c>
      <c r="C2304" s="40">
        <v>70.48</v>
      </c>
      <c r="D2304" s="40">
        <v>52.12</v>
      </c>
      <c r="E2304" s="40">
        <v>52.9</v>
      </c>
      <c r="K2304" s="40"/>
      <c r="P2304" s="40"/>
      <c r="Q2304" s="40"/>
      <c r="R2304" s="40"/>
    </row>
    <row r="2305" spans="1:18" x14ac:dyDescent="0.2">
      <c r="A2305" s="41">
        <v>43864</v>
      </c>
      <c r="B2305" s="40">
        <v>49.32</v>
      </c>
      <c r="C2305" s="40">
        <v>53.55</v>
      </c>
      <c r="D2305" s="40">
        <v>36.409999999999997</v>
      </c>
      <c r="E2305" s="40">
        <v>42.17</v>
      </c>
      <c r="K2305" s="40"/>
      <c r="P2305" s="40"/>
      <c r="Q2305" s="40"/>
      <c r="R2305" s="40"/>
    </row>
    <row r="2306" spans="1:18" x14ac:dyDescent="0.2">
      <c r="A2306" s="41">
        <v>43893</v>
      </c>
      <c r="B2306" s="40">
        <v>42.37</v>
      </c>
      <c r="C2306" s="40">
        <v>53.72</v>
      </c>
      <c r="D2306" s="40">
        <v>31.43</v>
      </c>
      <c r="E2306" s="40">
        <v>47.34</v>
      </c>
      <c r="K2306" s="40"/>
      <c r="P2306" s="40"/>
      <c r="Q2306" s="40"/>
      <c r="R2306" s="40"/>
    </row>
    <row r="2307" spans="1:18" x14ac:dyDescent="0.2">
      <c r="A2307" s="41">
        <v>43924</v>
      </c>
      <c r="B2307" s="40">
        <v>38.69</v>
      </c>
      <c r="C2307" s="40">
        <v>42.81</v>
      </c>
      <c r="D2307" s="40">
        <v>34.57</v>
      </c>
      <c r="E2307" s="40">
        <v>37.06</v>
      </c>
      <c r="K2307" s="40"/>
      <c r="P2307" s="40"/>
      <c r="Q2307" s="40"/>
      <c r="R2307" s="40"/>
    </row>
    <row r="2308" spans="1:18" x14ac:dyDescent="0.2">
      <c r="A2308" s="41">
        <v>43954</v>
      </c>
      <c r="B2308" s="40">
        <v>45</v>
      </c>
      <c r="C2308" s="40">
        <v>55.09</v>
      </c>
      <c r="D2308" s="40">
        <v>40.85</v>
      </c>
      <c r="E2308" s="40">
        <v>48.63</v>
      </c>
      <c r="K2308" s="40"/>
      <c r="P2308" s="40"/>
      <c r="Q2308" s="40"/>
      <c r="R2308" s="40"/>
    </row>
    <row r="2309" spans="1:18" x14ac:dyDescent="0.2">
      <c r="A2309" s="41">
        <v>43985</v>
      </c>
      <c r="B2309" s="40">
        <v>59.81</v>
      </c>
      <c r="C2309" s="40">
        <v>68.91</v>
      </c>
      <c r="D2309" s="40">
        <v>46.1</v>
      </c>
      <c r="E2309" s="40">
        <v>48.55</v>
      </c>
      <c r="K2309" s="40"/>
      <c r="P2309" s="40"/>
      <c r="Q2309" s="40"/>
      <c r="R2309" s="40"/>
    </row>
    <row r="2310" spans="1:18" x14ac:dyDescent="0.2">
      <c r="A2310" s="41">
        <v>44077</v>
      </c>
      <c r="B2310" s="40">
        <v>48.62</v>
      </c>
      <c r="C2310" s="40">
        <v>76.77</v>
      </c>
      <c r="D2310" s="40">
        <v>48.62</v>
      </c>
      <c r="E2310" s="40">
        <v>70.3</v>
      </c>
      <c r="K2310" s="40"/>
      <c r="P2310" s="40"/>
      <c r="Q2310" s="40"/>
      <c r="R2310" s="40"/>
    </row>
    <row r="2311" spans="1:18" x14ac:dyDescent="0.2">
      <c r="A2311" s="41">
        <v>44107</v>
      </c>
      <c r="B2311" s="40">
        <v>60.23</v>
      </c>
      <c r="C2311" s="40">
        <v>69.680000000000007</v>
      </c>
      <c r="D2311" s="40">
        <v>55.31</v>
      </c>
      <c r="E2311" s="40">
        <v>57.39</v>
      </c>
      <c r="K2311" s="40"/>
      <c r="P2311" s="40"/>
      <c r="Q2311" s="40"/>
      <c r="R2311" s="40"/>
    </row>
    <row r="2312" spans="1:18" x14ac:dyDescent="0.2">
      <c r="A2312" s="41">
        <v>44138</v>
      </c>
      <c r="B2312" s="40">
        <v>64.489999999999995</v>
      </c>
      <c r="C2312" s="40">
        <v>70.94</v>
      </c>
      <c r="D2312" s="40">
        <v>60.23</v>
      </c>
      <c r="E2312" s="40">
        <v>68.209999999999994</v>
      </c>
      <c r="K2312" s="40"/>
      <c r="P2312" s="40"/>
      <c r="Q2312" s="40"/>
      <c r="R2312" s="40"/>
    </row>
    <row r="2313" spans="1:18" x14ac:dyDescent="0.2">
      <c r="A2313" s="41">
        <v>44168</v>
      </c>
      <c r="B2313" s="40">
        <v>68</v>
      </c>
      <c r="C2313" s="40">
        <v>103.58</v>
      </c>
      <c r="D2313" s="40">
        <v>68</v>
      </c>
      <c r="E2313" s="40">
        <v>103.56</v>
      </c>
      <c r="K2313" s="40"/>
      <c r="P2313" s="40"/>
      <c r="Q2313" s="40"/>
      <c r="R2313" s="40"/>
    </row>
    <row r="2314" spans="1:18" x14ac:dyDescent="0.2">
      <c r="A2314" s="40" t="s">
        <v>2145</v>
      </c>
      <c r="B2314" s="40">
        <v>80.569999999999993</v>
      </c>
      <c r="C2314" s="40">
        <v>102.31</v>
      </c>
      <c r="D2314" s="40">
        <v>65.05</v>
      </c>
      <c r="E2314" s="40">
        <v>69.87</v>
      </c>
      <c r="K2314" s="40"/>
      <c r="P2314" s="40"/>
      <c r="Q2314" s="40"/>
      <c r="R2314" s="40"/>
    </row>
    <row r="2315" spans="1:18" x14ac:dyDescent="0.2">
      <c r="A2315" s="40" t="s">
        <v>2146</v>
      </c>
      <c r="B2315" s="40">
        <v>69.87</v>
      </c>
      <c r="C2315" s="40">
        <v>109.46</v>
      </c>
      <c r="D2315" s="40">
        <v>69.87</v>
      </c>
      <c r="E2315" s="40">
        <v>106.66</v>
      </c>
      <c r="K2315" s="40"/>
      <c r="P2315" s="40"/>
      <c r="Q2315" s="40"/>
      <c r="R2315" s="40"/>
    </row>
    <row r="2316" spans="1:18" x14ac:dyDescent="0.2">
      <c r="A2316" s="40" t="s">
        <v>2147</v>
      </c>
      <c r="B2316" s="40">
        <v>103.09</v>
      </c>
      <c r="C2316" s="40">
        <v>110.92</v>
      </c>
      <c r="D2316" s="40">
        <v>85.08</v>
      </c>
      <c r="E2316" s="40">
        <v>92.93</v>
      </c>
      <c r="K2316" s="40"/>
      <c r="P2316" s="40"/>
      <c r="Q2316" s="40"/>
      <c r="R2316" s="40"/>
    </row>
    <row r="2317" spans="1:18" x14ac:dyDescent="0.2">
      <c r="A2317" s="40" t="s">
        <v>2148</v>
      </c>
      <c r="B2317" s="40">
        <v>92.46</v>
      </c>
      <c r="C2317" s="40">
        <v>111.68</v>
      </c>
      <c r="D2317" s="40">
        <v>86.8</v>
      </c>
      <c r="E2317" s="40">
        <v>97.22</v>
      </c>
      <c r="K2317" s="40"/>
      <c r="P2317" s="40"/>
      <c r="Q2317" s="40"/>
      <c r="R2317" s="40"/>
    </row>
    <row r="2318" spans="1:18" x14ac:dyDescent="0.2">
      <c r="A2318" s="40" t="s">
        <v>2149</v>
      </c>
      <c r="B2318" s="40">
        <v>98.77</v>
      </c>
      <c r="C2318" s="40">
        <v>107.42</v>
      </c>
      <c r="D2318" s="40">
        <v>87.38</v>
      </c>
      <c r="E2318" s="40">
        <v>91.02</v>
      </c>
      <c r="K2318" s="40"/>
      <c r="P2318" s="40"/>
      <c r="Q2318" s="40"/>
      <c r="R2318" s="40"/>
    </row>
    <row r="2319" spans="1:18" x14ac:dyDescent="0.2">
      <c r="A2319" s="40" t="s">
        <v>2150</v>
      </c>
      <c r="B2319" s="40">
        <v>85.52</v>
      </c>
      <c r="C2319" s="40">
        <v>87.38</v>
      </c>
      <c r="D2319" s="40">
        <v>72.09</v>
      </c>
      <c r="E2319" s="40">
        <v>83.47</v>
      </c>
      <c r="K2319" s="40"/>
      <c r="P2319" s="40"/>
      <c r="Q2319" s="40"/>
      <c r="R2319" s="40"/>
    </row>
    <row r="2320" spans="1:18" x14ac:dyDescent="0.2">
      <c r="A2320" s="40" t="s">
        <v>2151</v>
      </c>
      <c r="B2320" s="40">
        <v>90.13</v>
      </c>
      <c r="C2320" s="40">
        <v>92.38</v>
      </c>
      <c r="D2320" s="40">
        <v>77.83</v>
      </c>
      <c r="E2320" s="40">
        <v>78.760000000000005</v>
      </c>
      <c r="K2320" s="40"/>
      <c r="P2320" s="40"/>
      <c r="Q2320" s="40"/>
      <c r="R2320" s="40"/>
    </row>
    <row r="2321" spans="1:18" x14ac:dyDescent="0.2">
      <c r="A2321" s="40" t="s">
        <v>2152</v>
      </c>
      <c r="B2321" s="40">
        <v>68.819999999999993</v>
      </c>
      <c r="C2321" s="40">
        <v>78.89</v>
      </c>
      <c r="D2321" s="40">
        <v>68.11</v>
      </c>
      <c r="E2321" s="40">
        <v>78.040000000000006</v>
      </c>
      <c r="K2321" s="40"/>
      <c r="P2321" s="40"/>
      <c r="Q2321" s="40"/>
      <c r="R2321" s="40"/>
    </row>
    <row r="2322" spans="1:18" x14ac:dyDescent="0.2">
      <c r="A2322" s="40" t="s">
        <v>2153</v>
      </c>
      <c r="B2322" s="40">
        <v>81.99</v>
      </c>
      <c r="C2322" s="40">
        <v>84.66</v>
      </c>
      <c r="D2322" s="40">
        <v>76.58</v>
      </c>
      <c r="E2322" s="40">
        <v>81.3</v>
      </c>
      <c r="K2322" s="40"/>
      <c r="P2322" s="40"/>
      <c r="Q2322" s="40"/>
      <c r="R2322" s="40"/>
    </row>
    <row r="2323" spans="1:18" x14ac:dyDescent="0.2">
      <c r="A2323" s="40" t="s">
        <v>2154</v>
      </c>
      <c r="B2323" s="40">
        <v>74.400000000000006</v>
      </c>
      <c r="C2323" s="40">
        <v>76.680000000000007</v>
      </c>
      <c r="D2323" s="40">
        <v>67.61</v>
      </c>
      <c r="E2323" s="40">
        <v>73.61</v>
      </c>
      <c r="K2323" s="40"/>
      <c r="P2323" s="40"/>
      <c r="Q2323" s="40"/>
      <c r="R2323" s="40"/>
    </row>
    <row r="2324" spans="1:18" x14ac:dyDescent="0.2">
      <c r="A2324" s="40" t="s">
        <v>2155</v>
      </c>
      <c r="B2324" s="40">
        <v>82.63</v>
      </c>
      <c r="C2324" s="40">
        <v>82.63</v>
      </c>
      <c r="D2324" s="40">
        <v>69.069999999999993</v>
      </c>
      <c r="E2324" s="40">
        <v>72.33</v>
      </c>
      <c r="K2324" s="40"/>
      <c r="P2324" s="40"/>
      <c r="Q2324" s="40"/>
      <c r="R2324" s="40"/>
    </row>
    <row r="2325" spans="1:18" x14ac:dyDescent="0.2">
      <c r="A2325" s="40" t="s">
        <v>2156</v>
      </c>
      <c r="B2325" s="40">
        <v>72.14</v>
      </c>
      <c r="C2325" s="40">
        <v>73.94</v>
      </c>
      <c r="D2325" s="40">
        <v>62.16</v>
      </c>
      <c r="E2325" s="40">
        <v>62.8</v>
      </c>
      <c r="K2325" s="40"/>
      <c r="P2325" s="40"/>
      <c r="Q2325" s="40"/>
      <c r="R2325" s="40"/>
    </row>
    <row r="2326" spans="1:18" x14ac:dyDescent="0.2">
      <c r="A2326" s="40" t="s">
        <v>2157</v>
      </c>
      <c r="B2326" s="40">
        <v>61.02</v>
      </c>
      <c r="C2326" s="40">
        <v>65.73</v>
      </c>
      <c r="D2326" s="40">
        <v>56.24</v>
      </c>
      <c r="E2326" s="40">
        <v>60.16</v>
      </c>
      <c r="K2326" s="40"/>
      <c r="P2326" s="40"/>
      <c r="Q2326" s="40"/>
      <c r="R2326" s="40"/>
    </row>
    <row r="2327" spans="1:18" x14ac:dyDescent="0.2">
      <c r="A2327" s="41">
        <v>43834</v>
      </c>
      <c r="B2327" s="40">
        <v>68.87</v>
      </c>
      <c r="C2327" s="40">
        <v>68.87</v>
      </c>
      <c r="D2327" s="40">
        <v>57.08</v>
      </c>
      <c r="E2327" s="40">
        <v>61.33</v>
      </c>
      <c r="K2327" s="40"/>
      <c r="P2327" s="40"/>
      <c r="Q2327" s="40"/>
      <c r="R2327" s="40"/>
    </row>
    <row r="2328" spans="1:18" x14ac:dyDescent="0.2">
      <c r="A2328" s="41">
        <v>43865</v>
      </c>
      <c r="B2328" s="40">
        <v>58.78</v>
      </c>
      <c r="C2328" s="40">
        <v>61.1</v>
      </c>
      <c r="D2328" s="40">
        <v>52.29</v>
      </c>
      <c r="E2328" s="40">
        <v>52.81</v>
      </c>
      <c r="K2328" s="40"/>
      <c r="P2328" s="40"/>
      <c r="Q2328" s="40"/>
      <c r="R2328" s="40"/>
    </row>
    <row r="2329" spans="1:18" x14ac:dyDescent="0.2">
      <c r="A2329" s="41">
        <v>43894</v>
      </c>
      <c r="B2329" s="40">
        <v>51.16</v>
      </c>
      <c r="C2329" s="40">
        <v>52.05</v>
      </c>
      <c r="D2329" s="40">
        <v>46.37</v>
      </c>
      <c r="E2329" s="40">
        <v>46.66</v>
      </c>
      <c r="K2329" s="40"/>
      <c r="P2329" s="40"/>
      <c r="Q2329" s="40"/>
      <c r="R2329" s="40"/>
    </row>
    <row r="2330" spans="1:18" x14ac:dyDescent="0.2">
      <c r="A2330" s="41">
        <v>43986</v>
      </c>
      <c r="B2330" s="40">
        <v>45.56</v>
      </c>
      <c r="C2330" s="40">
        <v>47.86</v>
      </c>
      <c r="D2330" s="40">
        <v>44.26</v>
      </c>
      <c r="E2330" s="40">
        <v>47.02</v>
      </c>
      <c r="K2330" s="40"/>
      <c r="P2330" s="40"/>
      <c r="Q2330" s="40"/>
      <c r="R2330" s="40"/>
    </row>
    <row r="2331" spans="1:18" x14ac:dyDescent="0.2">
      <c r="A2331" s="41">
        <v>44016</v>
      </c>
      <c r="B2331" s="40">
        <v>45.6</v>
      </c>
      <c r="C2331" s="40">
        <v>50.16</v>
      </c>
      <c r="D2331" s="40">
        <v>44.85</v>
      </c>
      <c r="E2331" s="40">
        <v>48.34</v>
      </c>
      <c r="K2331" s="40"/>
      <c r="P2331" s="40"/>
      <c r="Q2331" s="40"/>
      <c r="R2331" s="40"/>
    </row>
    <row r="2332" spans="1:18" x14ac:dyDescent="0.2">
      <c r="A2332" s="41">
        <v>44047</v>
      </c>
      <c r="B2332" s="40">
        <v>44.87</v>
      </c>
      <c r="C2332" s="40">
        <v>47.12</v>
      </c>
      <c r="D2332" s="40">
        <v>41.88</v>
      </c>
      <c r="E2332" s="40">
        <v>42.46</v>
      </c>
      <c r="K2332" s="40"/>
      <c r="P2332" s="40"/>
      <c r="Q2332" s="40"/>
      <c r="R2332" s="40"/>
    </row>
    <row r="2333" spans="1:18" x14ac:dyDescent="0.2">
      <c r="A2333" s="41">
        <v>44078</v>
      </c>
      <c r="B2333" s="40">
        <v>42.96</v>
      </c>
      <c r="C2333" s="40">
        <v>43.81</v>
      </c>
      <c r="D2333" s="40">
        <v>40.090000000000003</v>
      </c>
      <c r="E2333" s="40">
        <v>40.42</v>
      </c>
      <c r="K2333" s="40"/>
      <c r="P2333" s="40"/>
      <c r="Q2333" s="40"/>
      <c r="R2333" s="40"/>
    </row>
    <row r="2334" spans="1:18" x14ac:dyDescent="0.2">
      <c r="A2334" s="40" t="s">
        <v>2158</v>
      </c>
      <c r="B2334" s="40">
        <v>46.43</v>
      </c>
      <c r="C2334" s="40">
        <v>48.82</v>
      </c>
      <c r="D2334" s="40">
        <v>41.65</v>
      </c>
      <c r="E2334" s="40">
        <v>41.74</v>
      </c>
      <c r="K2334" s="40"/>
      <c r="P2334" s="40"/>
      <c r="Q2334" s="40"/>
      <c r="R2334" s="40"/>
    </row>
    <row r="2335" spans="1:18" x14ac:dyDescent="0.2">
      <c r="A2335" s="40" t="s">
        <v>2159</v>
      </c>
      <c r="B2335" s="40">
        <v>39.630000000000003</v>
      </c>
      <c r="C2335" s="40">
        <v>40.32</v>
      </c>
      <c r="D2335" s="40">
        <v>38.74</v>
      </c>
      <c r="E2335" s="40">
        <v>38.81</v>
      </c>
      <c r="K2335" s="40"/>
      <c r="P2335" s="40"/>
      <c r="Q2335" s="40"/>
      <c r="R2335" s="40"/>
    </row>
    <row r="2336" spans="1:18" x14ac:dyDescent="0.2">
      <c r="A2336" s="40" t="s">
        <v>2160</v>
      </c>
      <c r="B2336" s="40">
        <v>44.25</v>
      </c>
      <c r="C2336" s="40">
        <v>44.98</v>
      </c>
      <c r="D2336" s="40">
        <v>41.13</v>
      </c>
      <c r="E2336" s="40">
        <v>41.64</v>
      </c>
      <c r="K2336" s="40"/>
      <c r="P2336" s="40"/>
      <c r="Q2336" s="40"/>
      <c r="R2336" s="40"/>
    </row>
    <row r="2337" spans="1:18" x14ac:dyDescent="0.2">
      <c r="A2337" s="40" t="s">
        <v>2161</v>
      </c>
      <c r="B2337" s="40">
        <v>41.62</v>
      </c>
      <c r="C2337" s="40">
        <v>44.19</v>
      </c>
      <c r="D2337" s="40">
        <v>40.04</v>
      </c>
      <c r="E2337" s="40">
        <v>40.49</v>
      </c>
      <c r="K2337" s="40"/>
      <c r="P2337" s="40"/>
      <c r="Q2337" s="40"/>
      <c r="R2337" s="40"/>
    </row>
    <row r="2338" spans="1:18" x14ac:dyDescent="0.2">
      <c r="A2338" s="40" t="s">
        <v>2162</v>
      </c>
      <c r="B2338" s="40">
        <v>40.22</v>
      </c>
      <c r="C2338" s="40">
        <v>40.96</v>
      </c>
      <c r="D2338" s="40">
        <v>20.07</v>
      </c>
      <c r="E2338" s="40">
        <v>36.18</v>
      </c>
      <c r="K2338" s="40"/>
      <c r="P2338" s="40"/>
      <c r="Q2338" s="40"/>
      <c r="R2338" s="40"/>
    </row>
    <row r="2339" spans="1:18" x14ac:dyDescent="0.2">
      <c r="A2339" s="40" t="s">
        <v>2163</v>
      </c>
      <c r="B2339" s="40">
        <v>43.25</v>
      </c>
      <c r="C2339" s="40">
        <v>44.04</v>
      </c>
      <c r="D2339" s="40">
        <v>39.950000000000003</v>
      </c>
      <c r="E2339" s="40">
        <v>44</v>
      </c>
      <c r="K2339" s="40"/>
      <c r="P2339" s="40"/>
      <c r="Q2339" s="40"/>
      <c r="R2339" s="40"/>
    </row>
    <row r="2340" spans="1:18" x14ac:dyDescent="0.2">
      <c r="A2340" s="40" t="s">
        <v>2164</v>
      </c>
      <c r="B2340" s="40">
        <v>46.37</v>
      </c>
      <c r="C2340" s="40">
        <v>48.38</v>
      </c>
      <c r="D2340" s="40">
        <v>44.68</v>
      </c>
      <c r="E2340" s="40">
        <v>45.46</v>
      </c>
      <c r="K2340" s="40"/>
      <c r="P2340" s="40"/>
      <c r="Q2340" s="40"/>
      <c r="R2340" s="40"/>
    </row>
    <row r="2341" spans="1:18" x14ac:dyDescent="0.2">
      <c r="A2341" s="40" t="s">
        <v>2165</v>
      </c>
      <c r="B2341" s="40">
        <v>42.8</v>
      </c>
      <c r="C2341" s="40">
        <v>43.21</v>
      </c>
      <c r="D2341" s="40">
        <v>32.18</v>
      </c>
      <c r="E2341" s="40">
        <v>40.21</v>
      </c>
      <c r="K2341" s="40"/>
      <c r="P2341" s="40"/>
      <c r="Q2341" s="40"/>
      <c r="R2341" s="40"/>
    </row>
    <row r="2342" spans="1:18" x14ac:dyDescent="0.2">
      <c r="A2342" s="40" t="s">
        <v>2166</v>
      </c>
      <c r="B2342" s="40">
        <v>38.65</v>
      </c>
      <c r="C2342" s="40">
        <v>40.47</v>
      </c>
      <c r="D2342" s="40">
        <v>36.14</v>
      </c>
      <c r="E2342" s="40">
        <v>39.35</v>
      </c>
      <c r="K2342" s="40"/>
      <c r="P2342" s="40"/>
      <c r="Q2342" s="40"/>
      <c r="R2342" s="40"/>
    </row>
    <row r="2343" spans="1:18" x14ac:dyDescent="0.2">
      <c r="A2343" s="40" t="s">
        <v>2167</v>
      </c>
      <c r="B2343" s="40">
        <v>37.270000000000003</v>
      </c>
      <c r="C2343" s="40">
        <v>38.18</v>
      </c>
      <c r="D2343" s="40">
        <v>31.15</v>
      </c>
      <c r="E2343" s="40">
        <v>31.72</v>
      </c>
      <c r="K2343" s="40"/>
      <c r="P2343" s="40"/>
      <c r="Q2343" s="40"/>
      <c r="R2343" s="40"/>
    </row>
    <row r="2344" spans="1:18" x14ac:dyDescent="0.2">
      <c r="A2344" s="40" t="s">
        <v>2168</v>
      </c>
      <c r="B2344" s="40">
        <v>33.89</v>
      </c>
      <c r="C2344" s="40">
        <v>33.909999999999997</v>
      </c>
      <c r="D2344" s="40">
        <v>30.94</v>
      </c>
      <c r="E2344" s="40">
        <v>31.41</v>
      </c>
      <c r="K2344" s="40"/>
      <c r="P2344" s="40"/>
      <c r="Q2344" s="40"/>
      <c r="R2344" s="40"/>
    </row>
    <row r="2345" spans="1:18" x14ac:dyDescent="0.2">
      <c r="A2345" s="40" t="s">
        <v>2169</v>
      </c>
      <c r="B2345" s="40">
        <v>29.77</v>
      </c>
      <c r="C2345" s="40">
        <v>35.590000000000003</v>
      </c>
      <c r="D2345" s="40">
        <v>29.77</v>
      </c>
      <c r="E2345" s="40">
        <v>32.44</v>
      </c>
      <c r="K2345" s="40"/>
      <c r="P2345" s="40"/>
      <c r="Q2345" s="40"/>
      <c r="R2345" s="40"/>
    </row>
    <row r="2346" spans="1:18" x14ac:dyDescent="0.2">
      <c r="A2346" s="40" t="s">
        <v>2170</v>
      </c>
      <c r="B2346" s="40">
        <v>30.39</v>
      </c>
      <c r="C2346" s="40">
        <v>31.32</v>
      </c>
      <c r="D2346" s="40">
        <v>29.57</v>
      </c>
      <c r="E2346" s="40">
        <v>29.66</v>
      </c>
      <c r="K2346" s="40"/>
      <c r="P2346" s="40"/>
      <c r="Q2346" s="40"/>
      <c r="R2346" s="40"/>
    </row>
    <row r="2347" spans="1:18" x14ac:dyDescent="0.2">
      <c r="A2347" s="40" t="s">
        <v>2171</v>
      </c>
      <c r="B2347" s="40">
        <v>32.450000000000003</v>
      </c>
      <c r="C2347" s="40">
        <v>35.229999999999997</v>
      </c>
      <c r="D2347" s="40">
        <v>31.54</v>
      </c>
      <c r="E2347" s="40">
        <v>32.880000000000003</v>
      </c>
      <c r="K2347" s="40"/>
      <c r="P2347" s="40"/>
      <c r="Q2347" s="40"/>
      <c r="R2347" s="40"/>
    </row>
    <row r="2348" spans="1:18" x14ac:dyDescent="0.2">
      <c r="A2348" s="41">
        <v>43835</v>
      </c>
      <c r="B2348" s="40">
        <v>37.64</v>
      </c>
      <c r="C2348" s="40">
        <v>39.36</v>
      </c>
      <c r="D2348" s="40">
        <v>34.89</v>
      </c>
      <c r="E2348" s="40">
        <v>35.57</v>
      </c>
      <c r="K2348" s="40"/>
      <c r="P2348" s="40"/>
      <c r="Q2348" s="40"/>
      <c r="R2348" s="40"/>
    </row>
    <row r="2349" spans="1:18" x14ac:dyDescent="0.2">
      <c r="A2349" s="41">
        <v>43926</v>
      </c>
      <c r="B2349" s="40">
        <v>40.130000000000003</v>
      </c>
      <c r="C2349" s="40">
        <v>40.729999999999997</v>
      </c>
      <c r="D2349" s="40">
        <v>34.92</v>
      </c>
      <c r="E2349" s="40">
        <v>35.450000000000003</v>
      </c>
      <c r="K2349" s="40"/>
      <c r="P2349" s="40"/>
      <c r="Q2349" s="40"/>
      <c r="R2349" s="40"/>
    </row>
    <row r="2350" spans="1:18" x14ac:dyDescent="0.2">
      <c r="A2350" s="41">
        <v>43956</v>
      </c>
      <c r="B2350" s="40">
        <v>33.5</v>
      </c>
      <c r="C2350" s="40">
        <v>33.51</v>
      </c>
      <c r="D2350" s="40">
        <v>30.53</v>
      </c>
      <c r="E2350" s="40">
        <v>33.19</v>
      </c>
      <c r="K2350" s="40"/>
      <c r="P2350" s="40"/>
      <c r="Q2350" s="40"/>
      <c r="R2350" s="40"/>
    </row>
    <row r="2351" spans="1:18" x14ac:dyDescent="0.2">
      <c r="A2351" s="41">
        <v>43987</v>
      </c>
      <c r="B2351" s="40">
        <v>30.98</v>
      </c>
      <c r="C2351" s="40">
        <v>34.06</v>
      </c>
      <c r="D2351" s="40">
        <v>30.59</v>
      </c>
      <c r="E2351" s="40">
        <v>33.979999999999997</v>
      </c>
      <c r="K2351" s="40"/>
      <c r="P2351" s="40"/>
      <c r="Q2351" s="40"/>
      <c r="R2351" s="40"/>
    </row>
    <row r="2352" spans="1:18" x14ac:dyDescent="0.2">
      <c r="A2352" s="41">
        <v>44017</v>
      </c>
      <c r="B2352" s="40">
        <v>30.08</v>
      </c>
      <c r="C2352" s="40">
        <v>30.94</v>
      </c>
      <c r="D2352" s="40">
        <v>28.77</v>
      </c>
      <c r="E2352" s="40">
        <v>29.75</v>
      </c>
      <c r="K2352" s="40"/>
      <c r="P2352" s="40"/>
      <c r="Q2352" s="40"/>
      <c r="R2352" s="40"/>
    </row>
    <row r="2353" spans="1:18" x14ac:dyDescent="0.2">
      <c r="A2353" s="41">
        <v>44048</v>
      </c>
      <c r="B2353" s="40">
        <v>27.36</v>
      </c>
      <c r="C2353" s="40">
        <v>27.96</v>
      </c>
      <c r="D2353" s="40">
        <v>24.71</v>
      </c>
      <c r="E2353" s="40">
        <v>24.89</v>
      </c>
      <c r="K2353" s="40"/>
      <c r="P2353" s="40"/>
      <c r="Q2353" s="40"/>
      <c r="R2353" s="40"/>
    </row>
    <row r="2354" spans="1:18" x14ac:dyDescent="0.2">
      <c r="A2354" s="41">
        <v>44140</v>
      </c>
      <c r="B2354" s="40">
        <v>30.04</v>
      </c>
      <c r="C2354" s="40">
        <v>30.12</v>
      </c>
      <c r="D2354" s="40">
        <v>25.72</v>
      </c>
      <c r="E2354" s="40">
        <v>26.17</v>
      </c>
      <c r="K2354" s="40"/>
      <c r="P2354" s="40"/>
      <c r="Q2354" s="40"/>
      <c r="R2354" s="40"/>
    </row>
    <row r="2355" spans="1:18" x14ac:dyDescent="0.2">
      <c r="A2355" s="41">
        <v>44170</v>
      </c>
      <c r="B2355" s="40">
        <v>24.55</v>
      </c>
      <c r="C2355" s="40">
        <v>33.36</v>
      </c>
      <c r="D2355" s="40">
        <v>24.42</v>
      </c>
      <c r="E2355" s="40">
        <v>33.36</v>
      </c>
      <c r="K2355" s="40"/>
      <c r="P2355" s="40"/>
      <c r="Q2355" s="40"/>
      <c r="R2355" s="40"/>
    </row>
    <row r="2356" spans="1:18" x14ac:dyDescent="0.2">
      <c r="A2356" s="40" t="s">
        <v>2172</v>
      </c>
      <c r="B2356" s="40">
        <v>32.32</v>
      </c>
      <c r="C2356" s="40">
        <v>39.33</v>
      </c>
      <c r="D2356" s="40">
        <v>31.15</v>
      </c>
      <c r="E2356" s="40">
        <v>34.630000000000003</v>
      </c>
      <c r="K2356" s="40"/>
      <c r="P2356" s="40"/>
      <c r="Q2356" s="40"/>
      <c r="R2356" s="40"/>
    </row>
    <row r="2357" spans="1:18" x14ac:dyDescent="0.2">
      <c r="A2357" s="40" t="s">
        <v>2173</v>
      </c>
      <c r="B2357" s="40">
        <v>37.74</v>
      </c>
      <c r="C2357" s="40">
        <v>39.520000000000003</v>
      </c>
      <c r="D2357" s="40">
        <v>31.05</v>
      </c>
      <c r="E2357" s="40">
        <v>31.66</v>
      </c>
      <c r="K2357" s="40"/>
      <c r="P2357" s="40"/>
      <c r="Q2357" s="40"/>
      <c r="R2357" s="40"/>
    </row>
    <row r="2358" spans="1:18" x14ac:dyDescent="0.2">
      <c r="A2358" s="40" t="s">
        <v>2174</v>
      </c>
      <c r="B2358" s="40">
        <v>33.409999999999997</v>
      </c>
      <c r="C2358" s="40">
        <v>34.479999999999997</v>
      </c>
      <c r="D2358" s="40">
        <v>28.7</v>
      </c>
      <c r="E2358" s="40">
        <v>29.71</v>
      </c>
      <c r="K2358" s="40"/>
      <c r="P2358" s="40"/>
      <c r="Q2358" s="40"/>
      <c r="R2358" s="40"/>
    </row>
    <row r="2359" spans="1:18" x14ac:dyDescent="0.2">
      <c r="A2359" s="40" t="s">
        <v>2175</v>
      </c>
      <c r="B2359" s="40">
        <v>27.52</v>
      </c>
      <c r="C2359" s="40">
        <v>27.72</v>
      </c>
      <c r="D2359" s="40">
        <v>26.61</v>
      </c>
      <c r="E2359" s="40">
        <v>27.62</v>
      </c>
      <c r="K2359" s="40"/>
      <c r="P2359" s="40"/>
      <c r="Q2359" s="40"/>
      <c r="R2359" s="40"/>
    </row>
    <row r="2360" spans="1:18" x14ac:dyDescent="0.2">
      <c r="A2360" s="40" t="s">
        <v>2176</v>
      </c>
      <c r="B2360" s="40">
        <v>27.81</v>
      </c>
      <c r="C2360" s="40">
        <v>28.4</v>
      </c>
      <c r="D2360" s="40">
        <v>25.6</v>
      </c>
      <c r="E2360" s="40">
        <v>28.03</v>
      </c>
      <c r="K2360" s="40"/>
      <c r="P2360" s="40"/>
      <c r="Q2360" s="40"/>
      <c r="R2360" s="40"/>
    </row>
    <row r="2361" spans="1:18" x14ac:dyDescent="0.2">
      <c r="A2361" s="40" t="s">
        <v>2177</v>
      </c>
      <c r="B2361" s="40">
        <v>25.14</v>
      </c>
      <c r="C2361" s="40">
        <v>26.27</v>
      </c>
      <c r="D2361" s="40">
        <v>24.75</v>
      </c>
      <c r="E2361" s="40">
        <v>24.93</v>
      </c>
      <c r="K2361" s="40"/>
      <c r="P2361" s="40"/>
      <c r="Q2361" s="40"/>
      <c r="R2361" s="40"/>
    </row>
    <row r="2362" spans="1:18" x14ac:dyDescent="0.2">
      <c r="A2362" s="40" t="s">
        <v>2178</v>
      </c>
      <c r="B2362" s="40">
        <v>24.84</v>
      </c>
      <c r="C2362" s="40">
        <v>28.24</v>
      </c>
      <c r="D2362" s="40">
        <v>24.22</v>
      </c>
      <c r="E2362" s="40">
        <v>26.15</v>
      </c>
      <c r="K2362" s="40"/>
      <c r="P2362" s="40"/>
      <c r="Q2362" s="40"/>
      <c r="R2362" s="40"/>
    </row>
    <row r="2363" spans="1:18" x14ac:dyDescent="0.2">
      <c r="A2363" s="40" t="s">
        <v>2179</v>
      </c>
      <c r="B2363" s="40">
        <v>26.08</v>
      </c>
      <c r="C2363" s="40">
        <v>26.91</v>
      </c>
      <c r="D2363" s="40">
        <v>23.18</v>
      </c>
      <c r="E2363" s="40">
        <v>23.47</v>
      </c>
      <c r="K2363" s="40"/>
      <c r="P2363" s="40"/>
      <c r="Q2363" s="40"/>
      <c r="R2363" s="40"/>
    </row>
    <row r="2364" spans="1:18" x14ac:dyDescent="0.2">
      <c r="A2364" s="40" t="s">
        <v>2180</v>
      </c>
      <c r="B2364" s="40">
        <v>25.16</v>
      </c>
      <c r="C2364" s="40">
        <v>26.35</v>
      </c>
      <c r="D2364" s="40">
        <v>24.83</v>
      </c>
      <c r="E2364" s="40">
        <v>25.5</v>
      </c>
      <c r="K2364" s="40"/>
      <c r="P2364" s="40"/>
      <c r="Q2364" s="40"/>
      <c r="R2364" s="40"/>
    </row>
    <row r="2365" spans="1:18" x14ac:dyDescent="0.2">
      <c r="A2365" s="40" t="s">
        <v>2181</v>
      </c>
      <c r="B2365" s="40">
        <v>24.93</v>
      </c>
      <c r="C2365" s="40">
        <v>29.13</v>
      </c>
      <c r="D2365" s="40">
        <v>24.59</v>
      </c>
      <c r="E2365" s="40">
        <v>25.17</v>
      </c>
      <c r="K2365" s="40"/>
      <c r="P2365" s="40"/>
      <c r="Q2365" s="40"/>
      <c r="R2365" s="40"/>
    </row>
    <row r="2366" spans="1:18" x14ac:dyDescent="0.2">
      <c r="A2366" s="40" t="s">
        <v>2182</v>
      </c>
      <c r="B2366" s="40">
        <v>26.19</v>
      </c>
      <c r="C2366" s="40">
        <v>28.03</v>
      </c>
      <c r="D2366" s="40">
        <v>24.74</v>
      </c>
      <c r="E2366" s="40">
        <v>26.02</v>
      </c>
      <c r="K2366" s="40"/>
      <c r="P2366" s="40"/>
      <c r="Q2366" s="40"/>
      <c r="R2366" s="40"/>
    </row>
    <row r="2367" spans="1:18" x14ac:dyDescent="0.2">
      <c r="A2367" s="40" t="s">
        <v>2183</v>
      </c>
      <c r="B2367" s="40">
        <v>28.71</v>
      </c>
      <c r="C2367" s="40">
        <v>28.88</v>
      </c>
      <c r="D2367" s="40">
        <v>24.39</v>
      </c>
      <c r="E2367" s="40">
        <v>24.59</v>
      </c>
      <c r="K2367" s="40"/>
      <c r="P2367" s="40"/>
      <c r="Q2367" s="40"/>
      <c r="R2367" s="40"/>
    </row>
    <row r="2368" spans="1:18" x14ac:dyDescent="0.2">
      <c r="A2368" s="41">
        <v>43836</v>
      </c>
      <c r="B2368" s="40">
        <v>30.41</v>
      </c>
      <c r="C2368" s="40">
        <v>30.42</v>
      </c>
      <c r="D2368" s="40">
        <v>27.02</v>
      </c>
      <c r="E2368" s="40">
        <v>27.08</v>
      </c>
      <c r="K2368" s="40"/>
      <c r="P2368" s="40"/>
      <c r="Q2368" s="40"/>
      <c r="R2368" s="40"/>
    </row>
    <row r="2369" spans="1:18" x14ac:dyDescent="0.2">
      <c r="A2369" s="41">
        <v>43867</v>
      </c>
      <c r="B2369" s="40">
        <v>27.27</v>
      </c>
      <c r="C2369" s="40">
        <v>27.57</v>
      </c>
      <c r="D2369" s="40">
        <v>24.81</v>
      </c>
      <c r="E2369" s="40">
        <v>25.06</v>
      </c>
      <c r="K2369" s="40"/>
      <c r="P2369" s="40"/>
      <c r="Q2369" s="40"/>
      <c r="R2369" s="40"/>
    </row>
    <row r="2370" spans="1:18" x14ac:dyDescent="0.2">
      <c r="A2370" s="41">
        <v>43896</v>
      </c>
      <c r="B2370" s="40">
        <v>25.1</v>
      </c>
      <c r="C2370" s="40">
        <v>25.38</v>
      </c>
      <c r="D2370" s="40">
        <v>23.22</v>
      </c>
      <c r="E2370" s="40">
        <v>23.97</v>
      </c>
      <c r="K2370" s="40"/>
      <c r="P2370" s="40"/>
      <c r="Q2370" s="40"/>
      <c r="R2370" s="40"/>
    </row>
    <row r="2371" spans="1:18" x14ac:dyDescent="0.2">
      <c r="A2371" s="41">
        <v>43927</v>
      </c>
      <c r="B2371" s="40">
        <v>24.27</v>
      </c>
      <c r="C2371" s="40">
        <v>24.48</v>
      </c>
      <c r="D2371" s="40">
        <v>21.83</v>
      </c>
      <c r="E2371" s="40">
        <v>23.56</v>
      </c>
      <c r="K2371" s="40"/>
      <c r="P2371" s="40"/>
      <c r="Q2371" s="40"/>
      <c r="R2371" s="40"/>
    </row>
    <row r="2372" spans="1:18" x14ac:dyDescent="0.2">
      <c r="A2372" s="41">
        <v>43957</v>
      </c>
      <c r="B2372" s="40">
        <v>21.97</v>
      </c>
      <c r="C2372" s="40">
        <v>23.4</v>
      </c>
      <c r="D2372" s="40">
        <v>21.54</v>
      </c>
      <c r="E2372" s="40">
        <v>22.63</v>
      </c>
      <c r="K2372" s="40"/>
      <c r="P2372" s="40"/>
      <c r="Q2372" s="40"/>
      <c r="R2372" s="40"/>
    </row>
    <row r="2373" spans="1:18" x14ac:dyDescent="0.2">
      <c r="A2373" s="41">
        <v>44049</v>
      </c>
      <c r="B2373" s="40">
        <v>24.95</v>
      </c>
      <c r="C2373" s="40">
        <v>25.44</v>
      </c>
      <c r="D2373" s="40">
        <v>24.27</v>
      </c>
      <c r="E2373" s="40">
        <v>25.18</v>
      </c>
      <c r="K2373" s="40"/>
      <c r="P2373" s="40"/>
      <c r="Q2373" s="40"/>
      <c r="R2373" s="40"/>
    </row>
    <row r="2374" spans="1:18" x14ac:dyDescent="0.2">
      <c r="A2374" s="41">
        <v>44080</v>
      </c>
      <c r="B2374" s="40">
        <v>25.87</v>
      </c>
      <c r="C2374" s="40">
        <v>27.09</v>
      </c>
      <c r="D2374" s="40">
        <v>25.33</v>
      </c>
      <c r="E2374" s="40">
        <v>26.92</v>
      </c>
      <c r="K2374" s="40"/>
      <c r="P2374" s="40"/>
      <c r="Q2374" s="40"/>
      <c r="R2374" s="40"/>
    </row>
    <row r="2375" spans="1:18" x14ac:dyDescent="0.2">
      <c r="A2375" s="41">
        <v>44110</v>
      </c>
      <c r="B2375" s="40">
        <v>26.93</v>
      </c>
      <c r="C2375" s="40">
        <v>29.37</v>
      </c>
      <c r="D2375" s="40">
        <v>19.54</v>
      </c>
      <c r="E2375" s="40">
        <v>27.1</v>
      </c>
      <c r="K2375" s="40"/>
      <c r="P2375" s="40"/>
      <c r="Q2375" s="40"/>
      <c r="R2375" s="40"/>
    </row>
    <row r="2376" spans="1:18" x14ac:dyDescent="0.2">
      <c r="A2376" s="41">
        <v>44141</v>
      </c>
      <c r="B2376" s="40">
        <v>32.39</v>
      </c>
      <c r="C2376" s="40">
        <v>47.21</v>
      </c>
      <c r="D2376" s="40">
        <v>29.39</v>
      </c>
      <c r="E2376" s="40">
        <v>42.06</v>
      </c>
      <c r="K2376" s="40"/>
      <c r="P2376" s="40"/>
      <c r="Q2376" s="40"/>
      <c r="R2376" s="40"/>
    </row>
    <row r="2377" spans="1:18" x14ac:dyDescent="0.2">
      <c r="A2377" s="41">
        <v>44171</v>
      </c>
      <c r="B2377" s="40">
        <v>37.47</v>
      </c>
      <c r="C2377" s="40">
        <v>47.47</v>
      </c>
      <c r="D2377" s="40">
        <v>34.479999999999997</v>
      </c>
      <c r="E2377" s="40">
        <v>36.520000000000003</v>
      </c>
      <c r="K2377" s="40"/>
      <c r="P2377" s="40"/>
      <c r="Q2377" s="40"/>
      <c r="R2377" s="40"/>
    </row>
    <row r="2378" spans="1:18" x14ac:dyDescent="0.2">
      <c r="A2378" s="40" t="s">
        <v>2184</v>
      </c>
      <c r="B2378" s="40">
        <v>44.5</v>
      </c>
      <c r="C2378" s="40">
        <v>45.38</v>
      </c>
      <c r="D2378" s="40">
        <v>35.93</v>
      </c>
      <c r="E2378" s="40">
        <v>35.979999999999997</v>
      </c>
      <c r="K2378" s="40"/>
      <c r="P2378" s="40"/>
      <c r="Q2378" s="40"/>
      <c r="R2378" s="40"/>
    </row>
    <row r="2379" spans="1:18" x14ac:dyDescent="0.2">
      <c r="A2379" s="40" t="s">
        <v>2185</v>
      </c>
      <c r="B2379" s="40">
        <v>34.75</v>
      </c>
      <c r="C2379" s="40">
        <v>40.43</v>
      </c>
      <c r="D2379" s="40">
        <v>33.07</v>
      </c>
      <c r="E2379" s="40">
        <v>35.380000000000003</v>
      </c>
      <c r="K2379" s="40"/>
      <c r="P2379" s="40"/>
      <c r="Q2379" s="40"/>
      <c r="R2379" s="40"/>
    </row>
    <row r="2380" spans="1:18" x14ac:dyDescent="0.2">
      <c r="A2380" s="40" t="s">
        <v>2186</v>
      </c>
      <c r="B2380" s="40">
        <v>35.47</v>
      </c>
      <c r="C2380" s="40">
        <v>37.15</v>
      </c>
      <c r="D2380" s="40">
        <v>32.630000000000003</v>
      </c>
      <c r="E2380" s="40">
        <v>33.979999999999997</v>
      </c>
      <c r="K2380" s="40"/>
      <c r="P2380" s="40"/>
      <c r="Q2380" s="40"/>
      <c r="R2380" s="40"/>
    </row>
    <row r="2381" spans="1:18" x14ac:dyDescent="0.2">
      <c r="A2381" s="40" t="s">
        <v>2187</v>
      </c>
      <c r="B2381" s="40">
        <v>36.04</v>
      </c>
      <c r="C2381" s="40">
        <v>36.04</v>
      </c>
      <c r="D2381" s="40">
        <v>31.11</v>
      </c>
      <c r="E2381" s="40">
        <v>32.049999999999997</v>
      </c>
      <c r="K2381" s="40"/>
      <c r="P2381" s="40"/>
      <c r="Q2381" s="40"/>
      <c r="R2381" s="40"/>
    </row>
    <row r="2382" spans="1:18" x14ac:dyDescent="0.2">
      <c r="A2382" s="40" t="s">
        <v>2188</v>
      </c>
      <c r="B2382" s="40">
        <v>29.68</v>
      </c>
      <c r="C2382" s="40">
        <v>34.78</v>
      </c>
      <c r="D2382" s="40">
        <v>28.93</v>
      </c>
      <c r="E2382" s="40">
        <v>33.92</v>
      </c>
      <c r="K2382" s="40"/>
      <c r="P2382" s="40"/>
      <c r="Q2382" s="40"/>
      <c r="R2382" s="40"/>
    </row>
    <row r="2383" spans="1:18" x14ac:dyDescent="0.2">
      <c r="A2383" s="40" t="s">
        <v>2189</v>
      </c>
      <c r="B2383" s="40">
        <v>34.840000000000003</v>
      </c>
      <c r="C2383" s="40">
        <v>35.68</v>
      </c>
      <c r="D2383" s="40">
        <v>31.1</v>
      </c>
      <c r="E2383" s="40">
        <v>31.23</v>
      </c>
      <c r="K2383" s="40"/>
      <c r="P2383" s="40"/>
      <c r="Q2383" s="40"/>
      <c r="R2383" s="40"/>
    </row>
    <row r="2384" spans="1:18" x14ac:dyDescent="0.2">
      <c r="A2384" s="40" t="s">
        <v>2190</v>
      </c>
      <c r="B2384" s="40">
        <v>30.03</v>
      </c>
      <c r="C2384" s="40">
        <v>30.87</v>
      </c>
      <c r="D2384" s="40">
        <v>28.88</v>
      </c>
      <c r="E2384" s="40">
        <v>30.29</v>
      </c>
      <c r="K2384" s="40"/>
      <c r="P2384" s="40"/>
      <c r="Q2384" s="40"/>
      <c r="R2384" s="40"/>
    </row>
    <row r="2385" spans="1:18" x14ac:dyDescent="0.2">
      <c r="A2385" s="40" t="s">
        <v>2191</v>
      </c>
      <c r="B2385" s="40">
        <v>31.77</v>
      </c>
      <c r="C2385" s="40">
        <v>38.270000000000003</v>
      </c>
      <c r="D2385" s="40">
        <v>30.79</v>
      </c>
      <c r="E2385" s="40">
        <v>33.25</v>
      </c>
      <c r="K2385" s="40"/>
      <c r="P2385" s="40"/>
      <c r="Q2385" s="40"/>
      <c r="R2385" s="40"/>
    </row>
    <row r="2386" spans="1:18" x14ac:dyDescent="0.2">
      <c r="A2386" s="40" t="s">
        <v>2192</v>
      </c>
      <c r="B2386" s="40">
        <v>33.29</v>
      </c>
      <c r="C2386" s="40">
        <v>36.76</v>
      </c>
      <c r="D2386" s="40">
        <v>30.36</v>
      </c>
      <c r="E2386" s="40">
        <v>30.92</v>
      </c>
      <c r="K2386" s="40"/>
      <c r="P2386" s="40"/>
      <c r="Q2386" s="40"/>
      <c r="R2386" s="40"/>
    </row>
    <row r="2387" spans="1:18" x14ac:dyDescent="0.2">
      <c r="A2387" s="40" t="s">
        <v>2193</v>
      </c>
      <c r="B2387" s="40">
        <v>30.94</v>
      </c>
      <c r="C2387" s="40">
        <v>36.31</v>
      </c>
      <c r="D2387" s="40">
        <v>30.93</v>
      </c>
      <c r="E2387" s="40">
        <v>33.31</v>
      </c>
      <c r="K2387" s="40"/>
      <c r="P2387" s="40"/>
      <c r="Q2387" s="40"/>
      <c r="R2387" s="40"/>
    </row>
    <row r="2388" spans="1:18" x14ac:dyDescent="0.2">
      <c r="A2388" s="40" t="s">
        <v>2194</v>
      </c>
      <c r="B2388" s="40">
        <v>34.86</v>
      </c>
      <c r="C2388" s="40">
        <v>36.93</v>
      </c>
      <c r="D2388" s="40">
        <v>30.42</v>
      </c>
      <c r="E2388" s="40">
        <v>30.42</v>
      </c>
      <c r="K2388" s="40"/>
      <c r="P2388" s="40"/>
      <c r="Q2388" s="40"/>
      <c r="R2388" s="40"/>
    </row>
    <row r="2389" spans="1:18" x14ac:dyDescent="0.2">
      <c r="A2389" s="40" t="s">
        <v>2195</v>
      </c>
      <c r="B2389" s="40">
        <v>31.16</v>
      </c>
      <c r="C2389" s="40">
        <v>31.28</v>
      </c>
      <c r="D2389" s="40">
        <v>27.16</v>
      </c>
      <c r="E2389" s="40">
        <v>29.14</v>
      </c>
      <c r="K2389" s="40"/>
      <c r="P2389" s="40"/>
      <c r="Q2389" s="40"/>
      <c r="R2389" s="40"/>
    </row>
    <row r="2390" spans="1:18" x14ac:dyDescent="0.2">
      <c r="A2390" s="41">
        <v>43837</v>
      </c>
      <c r="B2390" s="40">
        <v>28.07</v>
      </c>
      <c r="C2390" s="40">
        <v>28.39</v>
      </c>
      <c r="D2390" s="40">
        <v>24.92</v>
      </c>
      <c r="E2390" s="40">
        <v>25.2</v>
      </c>
      <c r="K2390" s="40"/>
      <c r="P2390" s="40"/>
      <c r="Q2390" s="40"/>
      <c r="R2390" s="40"/>
    </row>
    <row r="2391" spans="1:18" x14ac:dyDescent="0.2">
      <c r="A2391" s="41">
        <v>43868</v>
      </c>
      <c r="B2391" s="40">
        <v>23.38</v>
      </c>
      <c r="C2391" s="40">
        <v>25.22</v>
      </c>
      <c r="D2391" s="40">
        <v>22</v>
      </c>
      <c r="E2391" s="40">
        <v>22.64</v>
      </c>
      <c r="K2391" s="40"/>
      <c r="P2391" s="40"/>
      <c r="Q2391" s="40"/>
      <c r="R2391" s="40"/>
    </row>
    <row r="2392" spans="1:18" x14ac:dyDescent="0.2">
      <c r="A2392" s="41">
        <v>43989</v>
      </c>
      <c r="B2392" s="40">
        <v>25.8</v>
      </c>
      <c r="C2392" s="40">
        <v>26.45</v>
      </c>
      <c r="D2392" s="40">
        <v>24.88</v>
      </c>
      <c r="E2392" s="40">
        <v>25.23</v>
      </c>
      <c r="K2392" s="40"/>
      <c r="P2392" s="40"/>
      <c r="Q2392" s="40"/>
      <c r="R2392" s="40"/>
    </row>
    <row r="2393" spans="1:18" x14ac:dyDescent="0.2">
      <c r="A2393" s="41">
        <v>44019</v>
      </c>
      <c r="B2393" s="40">
        <v>25.92</v>
      </c>
      <c r="C2393" s="40">
        <v>27.2</v>
      </c>
      <c r="D2393" s="40">
        <v>24.54</v>
      </c>
      <c r="E2393" s="40">
        <v>26.84</v>
      </c>
      <c r="K2393" s="40"/>
      <c r="P2393" s="40"/>
      <c r="Q2393" s="40"/>
      <c r="R2393" s="40"/>
    </row>
    <row r="2394" spans="1:18" x14ac:dyDescent="0.2">
      <c r="A2394" s="41">
        <v>44050</v>
      </c>
      <c r="B2394" s="40">
        <v>25.89</v>
      </c>
      <c r="C2394" s="40">
        <v>27.59</v>
      </c>
      <c r="D2394" s="40">
        <v>23.59</v>
      </c>
      <c r="E2394" s="40">
        <v>23.67</v>
      </c>
      <c r="K2394" s="40"/>
      <c r="P2394" s="40"/>
      <c r="Q2394" s="40"/>
      <c r="R2394" s="40"/>
    </row>
    <row r="2395" spans="1:18" x14ac:dyDescent="0.2">
      <c r="A2395" s="41">
        <v>44081</v>
      </c>
      <c r="B2395" s="40">
        <v>23.35</v>
      </c>
      <c r="C2395" s="40">
        <v>29.49</v>
      </c>
      <c r="D2395" s="40">
        <v>23.34</v>
      </c>
      <c r="E2395" s="40">
        <v>25.55</v>
      </c>
      <c r="K2395" s="40"/>
      <c r="P2395" s="40"/>
      <c r="Q2395" s="40"/>
      <c r="R2395" s="40"/>
    </row>
    <row r="2396" spans="1:18" x14ac:dyDescent="0.2">
      <c r="A2396" s="41">
        <v>44111</v>
      </c>
      <c r="B2396" s="40">
        <v>26.11</v>
      </c>
      <c r="C2396" s="40">
        <v>27.56</v>
      </c>
      <c r="D2396" s="40">
        <v>22.39</v>
      </c>
      <c r="E2396" s="40">
        <v>22.59</v>
      </c>
      <c r="K2396" s="40"/>
      <c r="P2396" s="40"/>
      <c r="Q2396" s="40"/>
      <c r="R2396" s="40"/>
    </row>
    <row r="2397" spans="1:18" x14ac:dyDescent="0.2">
      <c r="A2397" s="40" t="s">
        <v>2196</v>
      </c>
      <c r="B2397" s="40">
        <v>24.85</v>
      </c>
      <c r="C2397" s="40">
        <v>31</v>
      </c>
      <c r="D2397" s="40">
        <v>24.79</v>
      </c>
      <c r="E2397" s="40">
        <v>30.31</v>
      </c>
      <c r="K2397" s="40"/>
      <c r="P2397" s="40"/>
      <c r="Q2397" s="40"/>
      <c r="R2397" s="40"/>
    </row>
    <row r="2398" spans="1:18" x14ac:dyDescent="0.2">
      <c r="A2398" s="40" t="s">
        <v>2197</v>
      </c>
      <c r="B2398" s="40">
        <v>31.44</v>
      </c>
      <c r="C2398" s="40">
        <v>33.4</v>
      </c>
      <c r="D2398" s="40">
        <v>27.49</v>
      </c>
      <c r="E2398" s="40">
        <v>27.78</v>
      </c>
      <c r="K2398" s="40"/>
      <c r="P2398" s="40"/>
      <c r="Q2398" s="40"/>
      <c r="R2398" s="40"/>
    </row>
    <row r="2399" spans="1:18" x14ac:dyDescent="0.2">
      <c r="A2399" s="40" t="s">
        <v>2198</v>
      </c>
      <c r="B2399" s="40">
        <v>26.67</v>
      </c>
      <c r="C2399" s="40">
        <v>29.48</v>
      </c>
      <c r="D2399" s="40">
        <v>25.22</v>
      </c>
      <c r="E2399" s="40">
        <v>25.22</v>
      </c>
      <c r="K2399" s="40"/>
      <c r="P2399" s="40"/>
      <c r="Q2399" s="40"/>
      <c r="R2399" s="40"/>
    </row>
    <row r="2400" spans="1:18" x14ac:dyDescent="0.2">
      <c r="A2400" s="40" t="s">
        <v>2199</v>
      </c>
      <c r="B2400" s="40">
        <v>26.64</v>
      </c>
      <c r="C2400" s="40">
        <v>27.36</v>
      </c>
      <c r="D2400" s="40">
        <v>24.55</v>
      </c>
      <c r="E2400" s="40">
        <v>25.85</v>
      </c>
      <c r="K2400" s="40"/>
      <c r="P2400" s="40"/>
      <c r="Q2400" s="40"/>
      <c r="R2400" s="40"/>
    </row>
    <row r="2401" spans="1:18" x14ac:dyDescent="0.2">
      <c r="A2401" s="40" t="s">
        <v>2200</v>
      </c>
      <c r="B2401" s="40">
        <v>24.11</v>
      </c>
      <c r="C2401" s="40">
        <v>25.12</v>
      </c>
      <c r="D2401" s="40">
        <v>21.9</v>
      </c>
      <c r="E2401" s="40">
        <v>22.16</v>
      </c>
      <c r="K2401" s="40"/>
      <c r="P2401" s="40"/>
      <c r="Q2401" s="40"/>
      <c r="R2401" s="40"/>
    </row>
    <row r="2402" spans="1:18" x14ac:dyDescent="0.2">
      <c r="A2402" s="40" t="s">
        <v>2201</v>
      </c>
      <c r="B2402" s="40">
        <v>24.66</v>
      </c>
      <c r="C2402" s="40">
        <v>24.98</v>
      </c>
      <c r="D2402" s="40">
        <v>22.49</v>
      </c>
      <c r="E2402" s="40">
        <v>22.52</v>
      </c>
      <c r="K2402" s="40"/>
      <c r="P2402" s="40"/>
      <c r="Q2402" s="40"/>
      <c r="R2402" s="40"/>
    </row>
    <row r="2403" spans="1:18" x14ac:dyDescent="0.2">
      <c r="A2403" s="40" t="s">
        <v>2202</v>
      </c>
      <c r="B2403" s="40">
        <v>22.46</v>
      </c>
      <c r="C2403" s="40">
        <v>24.13</v>
      </c>
      <c r="D2403" s="40">
        <v>22.16</v>
      </c>
      <c r="E2403" s="40">
        <v>23.33</v>
      </c>
      <c r="K2403" s="40"/>
      <c r="P2403" s="40"/>
      <c r="Q2403" s="40"/>
      <c r="R2403" s="40"/>
    </row>
    <row r="2404" spans="1:18" x14ac:dyDescent="0.2">
      <c r="A2404" s="40" t="s">
        <v>2203</v>
      </c>
      <c r="B2404" s="40">
        <v>23.93</v>
      </c>
      <c r="C2404" s="40">
        <v>24.33</v>
      </c>
      <c r="D2404" s="40">
        <v>21.53</v>
      </c>
      <c r="E2404" s="40">
        <v>21.65</v>
      </c>
      <c r="K2404" s="40"/>
      <c r="P2404" s="40"/>
      <c r="Q2404" s="40"/>
      <c r="R2404" s="40"/>
    </row>
    <row r="2405" spans="1:18" x14ac:dyDescent="0.2">
      <c r="A2405" s="40" t="s">
        <v>2204</v>
      </c>
      <c r="B2405" s="40">
        <v>22.28</v>
      </c>
      <c r="C2405" s="40">
        <v>26.07</v>
      </c>
      <c r="D2405" s="40">
        <v>21.66</v>
      </c>
      <c r="E2405" s="40">
        <v>24.1</v>
      </c>
      <c r="K2405" s="40"/>
      <c r="P2405" s="40"/>
      <c r="Q2405" s="40"/>
      <c r="R2405" s="40"/>
    </row>
    <row r="2406" spans="1:18" x14ac:dyDescent="0.2">
      <c r="A2406" s="40" t="s">
        <v>2205</v>
      </c>
      <c r="B2406" s="40">
        <v>26.93</v>
      </c>
      <c r="C2406" s="40">
        <v>28.04</v>
      </c>
      <c r="D2406" s="40">
        <v>22.26</v>
      </c>
      <c r="E2406" s="40">
        <v>22.7</v>
      </c>
      <c r="K2406" s="40"/>
      <c r="P2406" s="40"/>
      <c r="Q2406" s="40"/>
      <c r="R2406" s="40"/>
    </row>
    <row r="2407" spans="1:18" x14ac:dyDescent="0.2">
      <c r="A2407" s="40" t="s">
        <v>2206</v>
      </c>
      <c r="B2407" s="40">
        <v>25.25</v>
      </c>
      <c r="C2407" s="40">
        <v>25.45</v>
      </c>
      <c r="D2407" s="40">
        <v>22.3</v>
      </c>
      <c r="E2407" s="40">
        <v>22.38</v>
      </c>
      <c r="K2407" s="40"/>
      <c r="P2407" s="40"/>
      <c r="Q2407" s="40"/>
      <c r="R2407" s="40"/>
    </row>
    <row r="2408" spans="1:18" x14ac:dyDescent="0.2">
      <c r="A2408" s="40" t="s">
        <v>2207</v>
      </c>
      <c r="B2408" s="40">
        <v>23.15</v>
      </c>
      <c r="C2408" s="40">
        <v>24.1</v>
      </c>
      <c r="D2408" s="40">
        <v>22</v>
      </c>
      <c r="E2408" s="40">
        <v>23.54</v>
      </c>
      <c r="K2408" s="40"/>
      <c r="P2408" s="40"/>
      <c r="Q2408" s="40"/>
      <c r="R2408" s="40"/>
    </row>
    <row r="2409" spans="1:18" x14ac:dyDescent="0.2">
      <c r="A2409" s="40" t="s">
        <v>2208</v>
      </c>
      <c r="B2409" s="40">
        <v>23</v>
      </c>
      <c r="C2409" s="40">
        <v>23.03</v>
      </c>
      <c r="D2409" s="40">
        <v>21.67</v>
      </c>
      <c r="E2409" s="40">
        <v>21.93</v>
      </c>
      <c r="K2409" s="40"/>
      <c r="P2409" s="40"/>
      <c r="Q2409" s="40"/>
      <c r="R2409" s="40"/>
    </row>
    <row r="2410" spans="1:18" x14ac:dyDescent="0.2">
      <c r="A2410" s="40" t="s">
        <v>2209</v>
      </c>
      <c r="B2410" s="40">
        <v>25.26</v>
      </c>
      <c r="C2410" s="40">
        <v>27.78</v>
      </c>
      <c r="D2410" s="40">
        <v>22.65</v>
      </c>
      <c r="E2410" s="40">
        <v>22.79</v>
      </c>
      <c r="K2410" s="40"/>
      <c r="P2410" s="40"/>
      <c r="Q2410" s="40"/>
      <c r="R2410" s="40"/>
    </row>
    <row r="2411" spans="1:18" x14ac:dyDescent="0.2">
      <c r="A2411" s="40" t="s">
        <v>2210</v>
      </c>
      <c r="B2411" s="40">
        <v>22.83</v>
      </c>
      <c r="C2411" s="40">
        <v>25.21</v>
      </c>
      <c r="D2411" s="40">
        <v>19.73</v>
      </c>
      <c r="E2411" s="40">
        <v>20.61</v>
      </c>
      <c r="K2411" s="40"/>
      <c r="P2411" s="40"/>
      <c r="Q2411" s="40"/>
      <c r="R2411" s="40"/>
    </row>
    <row r="2412" spans="1:18" x14ac:dyDescent="0.2">
      <c r="A2412" s="41">
        <v>43898</v>
      </c>
      <c r="B2412" s="40">
        <v>22.48</v>
      </c>
      <c r="C2412" s="40">
        <v>22.65</v>
      </c>
      <c r="D2412" s="40">
        <v>20.88</v>
      </c>
      <c r="E2412" s="40">
        <v>20.95</v>
      </c>
      <c r="K2412" s="40"/>
      <c r="P2412" s="40"/>
      <c r="Q2412" s="40"/>
      <c r="R2412" s="40"/>
    </row>
    <row r="2413" spans="1:18" x14ac:dyDescent="0.2">
      <c r="A2413" s="41">
        <v>43929</v>
      </c>
      <c r="B2413" s="40">
        <v>21.28</v>
      </c>
      <c r="C2413" s="40">
        <v>21.77</v>
      </c>
      <c r="D2413" s="40">
        <v>20.39</v>
      </c>
      <c r="E2413" s="40">
        <v>20.440000000000001</v>
      </c>
      <c r="K2413" s="40"/>
      <c r="P2413" s="40"/>
      <c r="Q2413" s="40"/>
      <c r="R2413" s="40"/>
    </row>
    <row r="2414" spans="1:18" x14ac:dyDescent="0.2">
      <c r="A2414" s="41">
        <v>43959</v>
      </c>
      <c r="B2414" s="40">
        <v>20.03</v>
      </c>
      <c r="C2414" s="40">
        <v>20.079999999999998</v>
      </c>
      <c r="D2414" s="40">
        <v>18.649999999999999</v>
      </c>
      <c r="E2414" s="40">
        <v>19.02</v>
      </c>
      <c r="K2414" s="40"/>
      <c r="P2414" s="40"/>
      <c r="Q2414" s="40"/>
      <c r="R2414" s="40"/>
    </row>
    <row r="2415" spans="1:18" x14ac:dyDescent="0.2">
      <c r="A2415" s="41">
        <v>43990</v>
      </c>
      <c r="B2415" s="40">
        <v>19.96</v>
      </c>
      <c r="C2415" s="40">
        <v>20.36</v>
      </c>
      <c r="D2415" s="40">
        <v>18.920000000000002</v>
      </c>
      <c r="E2415" s="40">
        <v>19.399999999999999</v>
      </c>
      <c r="K2415" s="40"/>
      <c r="P2415" s="40"/>
      <c r="Q2415" s="40"/>
      <c r="R2415" s="40"/>
    </row>
    <row r="2416" spans="1:18" x14ac:dyDescent="0.2">
      <c r="A2416" s="41">
        <v>44020</v>
      </c>
      <c r="B2416" s="40">
        <v>20.79</v>
      </c>
      <c r="C2416" s="40">
        <v>20.79</v>
      </c>
      <c r="D2416" s="40">
        <v>17.96</v>
      </c>
      <c r="E2416" s="40">
        <v>18.079999999999998</v>
      </c>
      <c r="K2416" s="40"/>
      <c r="P2416" s="40"/>
      <c r="Q2416" s="40"/>
      <c r="R2416" s="40"/>
    </row>
    <row r="2417" spans="1:18" x14ac:dyDescent="0.2">
      <c r="A2417" s="41">
        <v>44112</v>
      </c>
      <c r="B2417" s="40">
        <v>20.09</v>
      </c>
      <c r="C2417" s="40">
        <v>21.62</v>
      </c>
      <c r="D2417" s="40">
        <v>18.78</v>
      </c>
      <c r="E2417" s="40">
        <v>18.88</v>
      </c>
      <c r="K2417" s="40"/>
      <c r="P2417" s="40"/>
      <c r="Q2417" s="40"/>
      <c r="R2417" s="40"/>
    </row>
    <row r="2418" spans="1:18" x14ac:dyDescent="0.2">
      <c r="A2418" s="41">
        <v>44143</v>
      </c>
      <c r="B2418" s="40">
        <v>18.45</v>
      </c>
      <c r="C2418" s="40">
        <v>23.58</v>
      </c>
      <c r="D2418" s="40">
        <v>18.260000000000002</v>
      </c>
      <c r="E2418" s="40">
        <v>21.89</v>
      </c>
      <c r="K2418" s="40"/>
      <c r="P2418" s="40"/>
      <c r="Q2418" s="40"/>
      <c r="R2418" s="40"/>
    </row>
    <row r="2419" spans="1:18" x14ac:dyDescent="0.2">
      <c r="A2419" s="41">
        <v>44173</v>
      </c>
      <c r="B2419" s="40">
        <v>19.22</v>
      </c>
      <c r="C2419" s="40">
        <v>19.71</v>
      </c>
      <c r="D2419" s="40">
        <v>18.260000000000002</v>
      </c>
      <c r="E2419" s="40">
        <v>18.899999999999999</v>
      </c>
      <c r="K2419" s="40"/>
      <c r="P2419" s="40"/>
      <c r="Q2419" s="40"/>
      <c r="R2419" s="40"/>
    </row>
    <row r="2420" spans="1:18" x14ac:dyDescent="0.2">
      <c r="A2420" s="40" t="s">
        <v>2211</v>
      </c>
      <c r="B2420" s="40">
        <v>19.399999999999999</v>
      </c>
      <c r="C2420" s="40">
        <v>19.89</v>
      </c>
      <c r="D2420" s="40">
        <v>17.91</v>
      </c>
      <c r="E2420" s="40">
        <v>18.54</v>
      </c>
      <c r="K2420" s="40"/>
      <c r="P2420" s="40"/>
      <c r="Q2420" s="40"/>
      <c r="R2420" s="40"/>
    </row>
    <row r="2421" spans="1:18" x14ac:dyDescent="0.2">
      <c r="A2421" s="40" t="s">
        <v>2212</v>
      </c>
      <c r="B2421" s="40">
        <v>19.489999999999998</v>
      </c>
      <c r="C2421" s="40">
        <v>19.73</v>
      </c>
      <c r="D2421" s="40">
        <v>17.46</v>
      </c>
      <c r="E2421" s="40">
        <v>17.87</v>
      </c>
      <c r="K2421" s="40"/>
      <c r="P2421" s="40"/>
      <c r="Q2421" s="40"/>
      <c r="R2421" s="40"/>
    </row>
    <row r="2422" spans="1:18" x14ac:dyDescent="0.2">
      <c r="A2422" s="40" t="s">
        <v>2213</v>
      </c>
      <c r="B2422" s="40">
        <v>19.54</v>
      </c>
      <c r="C2422" s="40">
        <v>19.559999999999999</v>
      </c>
      <c r="D2422" s="40">
        <v>17.559999999999999</v>
      </c>
      <c r="E2422" s="40">
        <v>17.600000000000001</v>
      </c>
      <c r="K2422" s="40"/>
      <c r="P2422" s="40"/>
      <c r="Q2422" s="40"/>
      <c r="R2422" s="40"/>
    </row>
    <row r="2423" spans="1:18" x14ac:dyDescent="0.2">
      <c r="A2423" s="40" t="s">
        <v>2214</v>
      </c>
      <c r="B2423" s="40">
        <v>17.88</v>
      </c>
      <c r="C2423" s="40">
        <v>19.489999999999998</v>
      </c>
      <c r="D2423" s="40">
        <v>17.57</v>
      </c>
      <c r="E2423" s="40">
        <v>17.82</v>
      </c>
      <c r="K2423" s="40"/>
      <c r="P2423" s="40"/>
      <c r="Q2423" s="40"/>
      <c r="R2423" s="40"/>
    </row>
    <row r="2424" spans="1:18" x14ac:dyDescent="0.2">
      <c r="A2424" s="40" t="s">
        <v>2215</v>
      </c>
      <c r="B2424" s="40">
        <v>17.97</v>
      </c>
      <c r="C2424" s="40">
        <v>19.64</v>
      </c>
      <c r="D2424" s="40">
        <v>17.28</v>
      </c>
      <c r="E2424" s="40">
        <v>19.23</v>
      </c>
      <c r="K2424" s="40"/>
      <c r="P2424" s="40"/>
      <c r="Q2424" s="40"/>
      <c r="R2424" s="40"/>
    </row>
    <row r="2425" spans="1:18" x14ac:dyDescent="0.2">
      <c r="A2425" s="40" t="s">
        <v>2216</v>
      </c>
      <c r="B2425" s="40">
        <v>21.91</v>
      </c>
      <c r="C2425" s="40">
        <v>21.91</v>
      </c>
      <c r="D2425" s="40">
        <v>18.350000000000001</v>
      </c>
      <c r="E2425" s="40">
        <v>18.850000000000001</v>
      </c>
      <c r="K2425" s="40"/>
      <c r="P2425" s="40"/>
      <c r="Q2425" s="40"/>
      <c r="R2425" s="40"/>
    </row>
    <row r="2426" spans="1:18" x14ac:dyDescent="0.2">
      <c r="A2426" s="40" t="s">
        <v>2217</v>
      </c>
      <c r="B2426" s="40">
        <v>19.72</v>
      </c>
      <c r="C2426" s="40">
        <v>20.21</v>
      </c>
      <c r="D2426" s="40">
        <v>17.579999999999998</v>
      </c>
      <c r="E2426" s="40">
        <v>18.010000000000002</v>
      </c>
      <c r="K2426" s="40"/>
      <c r="P2426" s="40"/>
      <c r="Q2426" s="40"/>
      <c r="R2426" s="40"/>
    </row>
    <row r="2427" spans="1:18" x14ac:dyDescent="0.2">
      <c r="A2427" s="40" t="s">
        <v>2218</v>
      </c>
      <c r="B2427" s="40">
        <v>19.68</v>
      </c>
      <c r="C2427" s="40">
        <v>20.350000000000001</v>
      </c>
      <c r="D2427" s="40">
        <v>18.63</v>
      </c>
      <c r="E2427" s="40">
        <v>18.809999999999999</v>
      </c>
      <c r="K2427" s="40"/>
      <c r="P2427" s="40"/>
      <c r="Q2427" s="40"/>
      <c r="R2427" s="40"/>
    </row>
    <row r="2428" spans="1:18" x14ac:dyDescent="0.2">
      <c r="A2428" s="40" t="s">
        <v>2219</v>
      </c>
      <c r="B2428" s="40">
        <v>19.489999999999998</v>
      </c>
      <c r="C2428" s="40">
        <v>20.25</v>
      </c>
      <c r="D2428" s="40">
        <v>18.010000000000002</v>
      </c>
      <c r="E2428" s="40">
        <v>18.09</v>
      </c>
      <c r="K2428" s="40"/>
      <c r="P2428" s="40"/>
      <c r="Q2428" s="40"/>
      <c r="R2428" s="40"/>
    </row>
    <row r="2429" spans="1:18" x14ac:dyDescent="0.2">
      <c r="A2429" s="40" t="s">
        <v>2220</v>
      </c>
      <c r="B2429" s="40">
        <v>18.16</v>
      </c>
      <c r="C2429" s="40">
        <v>19.97</v>
      </c>
      <c r="D2429" s="40">
        <v>17.66</v>
      </c>
      <c r="E2429" s="40">
        <v>19.96</v>
      </c>
      <c r="K2429" s="40"/>
      <c r="P2429" s="40"/>
      <c r="Q2429" s="40"/>
      <c r="R2429" s="40"/>
    </row>
    <row r="2430" spans="1:18" x14ac:dyDescent="0.2">
      <c r="A2430" s="40" t="s">
        <v>2221</v>
      </c>
      <c r="B2430" s="40">
        <v>19.28</v>
      </c>
      <c r="C2430" s="40">
        <v>24.6</v>
      </c>
      <c r="D2430" s="40">
        <v>19.149999999999999</v>
      </c>
      <c r="E2430" s="40">
        <v>20.190000000000001</v>
      </c>
      <c r="K2430" s="40"/>
      <c r="P2430" s="40"/>
      <c r="Q2430" s="40"/>
      <c r="R2430" s="40"/>
    </row>
    <row r="2431" spans="1:18" x14ac:dyDescent="0.2">
      <c r="A2431" s="40" t="s">
        <v>2222</v>
      </c>
      <c r="B2431" s="40">
        <v>20.86</v>
      </c>
      <c r="C2431" s="40">
        <v>22.36</v>
      </c>
      <c r="D2431" s="40">
        <v>16.649999999999999</v>
      </c>
      <c r="E2431" s="40">
        <v>17.13</v>
      </c>
      <c r="K2431" s="40"/>
      <c r="P2431" s="40"/>
      <c r="Q2431" s="40"/>
      <c r="R2431" s="40"/>
    </row>
    <row r="2432" spans="1:18" x14ac:dyDescent="0.2">
      <c r="A2432" s="40" t="s">
        <v>2223</v>
      </c>
      <c r="B2432" s="40">
        <v>20.64</v>
      </c>
      <c r="C2432" s="40">
        <v>21.66</v>
      </c>
      <c r="D2432" s="40">
        <v>19.600000000000001</v>
      </c>
      <c r="E2432" s="40">
        <v>21.1</v>
      </c>
      <c r="K2432" s="40"/>
      <c r="P2432" s="40"/>
      <c r="Q2432" s="40"/>
      <c r="R2432" s="40"/>
    </row>
    <row r="2433" spans="1:18" x14ac:dyDescent="0.2">
      <c r="A2433" s="41">
        <v>43839</v>
      </c>
      <c r="B2433" s="40">
        <v>20.97</v>
      </c>
      <c r="C2433" s="40">
        <v>21.57</v>
      </c>
      <c r="D2433" s="40">
        <v>19.239999999999998</v>
      </c>
      <c r="E2433" s="40">
        <v>19.649999999999999</v>
      </c>
      <c r="K2433" s="40"/>
      <c r="P2433" s="40"/>
      <c r="Q2433" s="40"/>
      <c r="R2433" s="40"/>
    </row>
    <row r="2434" spans="1:18" x14ac:dyDescent="0.2">
      <c r="A2434" s="41">
        <v>43870</v>
      </c>
      <c r="B2434" s="40">
        <v>19.940000000000001</v>
      </c>
      <c r="C2434" s="40">
        <v>21.1</v>
      </c>
      <c r="D2434" s="40">
        <v>19.18</v>
      </c>
      <c r="E2434" s="40">
        <v>20.71</v>
      </c>
      <c r="K2434" s="40"/>
      <c r="P2434" s="40"/>
      <c r="Q2434" s="40"/>
      <c r="R2434" s="40"/>
    </row>
    <row r="2435" spans="1:18" x14ac:dyDescent="0.2">
      <c r="A2435" s="41">
        <v>43899</v>
      </c>
      <c r="B2435" s="40">
        <v>21.52</v>
      </c>
      <c r="C2435" s="40">
        <v>34.79</v>
      </c>
      <c r="D2435" s="40">
        <v>20.88</v>
      </c>
      <c r="E2435" s="40">
        <v>30.45</v>
      </c>
      <c r="K2435" s="40"/>
      <c r="P2435" s="40"/>
      <c r="Q2435" s="40"/>
      <c r="R2435" s="40"/>
    </row>
    <row r="2436" spans="1:18" x14ac:dyDescent="0.2">
      <c r="A2436" s="41">
        <v>43930</v>
      </c>
      <c r="B2436" s="40">
        <v>30.21</v>
      </c>
      <c r="C2436" s="40">
        <v>40.200000000000003</v>
      </c>
      <c r="D2436" s="40">
        <v>28.14</v>
      </c>
      <c r="E2436" s="40">
        <v>29.41</v>
      </c>
      <c r="K2436" s="40"/>
      <c r="P2436" s="40"/>
      <c r="Q2436" s="40"/>
      <c r="R2436" s="40"/>
    </row>
    <row r="2437" spans="1:18" x14ac:dyDescent="0.2">
      <c r="A2437" s="41">
        <v>44052</v>
      </c>
      <c r="B2437" s="40">
        <v>38.28</v>
      </c>
      <c r="C2437" s="40">
        <v>38.28</v>
      </c>
      <c r="D2437" s="40">
        <v>31.91</v>
      </c>
      <c r="E2437" s="40">
        <v>32.909999999999997</v>
      </c>
      <c r="K2437" s="40"/>
      <c r="P2437" s="40"/>
      <c r="Q2437" s="40"/>
      <c r="R2437" s="40"/>
    </row>
    <row r="2438" spans="1:18" x14ac:dyDescent="0.2">
      <c r="A2438" s="41">
        <v>44083</v>
      </c>
      <c r="B2438" s="40">
        <v>30.43</v>
      </c>
      <c r="C2438" s="40">
        <v>30.82</v>
      </c>
      <c r="D2438" s="40">
        <v>27.41</v>
      </c>
      <c r="E2438" s="40">
        <v>29.09</v>
      </c>
      <c r="K2438" s="40"/>
      <c r="P2438" s="40"/>
      <c r="Q2438" s="40"/>
      <c r="R2438" s="40"/>
    </row>
    <row r="2439" spans="1:18" x14ac:dyDescent="0.2">
      <c r="A2439" s="41">
        <v>44113</v>
      </c>
      <c r="B2439" s="40">
        <v>27.49</v>
      </c>
      <c r="C2439" s="40">
        <v>31.56</v>
      </c>
      <c r="D2439" s="40">
        <v>26.81</v>
      </c>
      <c r="E2439" s="40">
        <v>30.43</v>
      </c>
      <c r="K2439" s="40"/>
      <c r="P2439" s="40"/>
      <c r="Q2439" s="40"/>
      <c r="R2439" s="40"/>
    </row>
    <row r="2440" spans="1:18" x14ac:dyDescent="0.2">
      <c r="A2440" s="41">
        <v>44144</v>
      </c>
      <c r="B2440" s="40">
        <v>28.53</v>
      </c>
      <c r="C2440" s="40">
        <v>30.88</v>
      </c>
      <c r="D2440" s="40">
        <v>25.4</v>
      </c>
      <c r="E2440" s="40">
        <v>26.33</v>
      </c>
      <c r="K2440" s="40"/>
      <c r="P2440" s="40"/>
      <c r="Q2440" s="40"/>
      <c r="R2440" s="40"/>
    </row>
    <row r="2441" spans="1:18" x14ac:dyDescent="0.2">
      <c r="A2441" s="40" t="s">
        <v>2224</v>
      </c>
      <c r="B2441" s="40">
        <v>26.62</v>
      </c>
      <c r="C2441" s="40">
        <v>26.88</v>
      </c>
      <c r="D2441" s="40">
        <v>24.5</v>
      </c>
      <c r="E2441" s="40">
        <v>25.06</v>
      </c>
      <c r="K2441" s="40"/>
      <c r="P2441" s="40"/>
      <c r="Q2441" s="40"/>
      <c r="R2441" s="40"/>
    </row>
    <row r="2442" spans="1:18" x14ac:dyDescent="0.2">
      <c r="A2442" s="40" t="s">
        <v>2225</v>
      </c>
      <c r="B2442" s="40">
        <v>24.36</v>
      </c>
      <c r="C2442" s="40">
        <v>24.82</v>
      </c>
      <c r="D2442" s="40">
        <v>23.6</v>
      </c>
      <c r="E2442" s="40">
        <v>24.22</v>
      </c>
      <c r="K2442" s="40"/>
      <c r="P2442" s="40"/>
      <c r="Q2442" s="40"/>
      <c r="R2442" s="40"/>
    </row>
    <row r="2443" spans="1:18" x14ac:dyDescent="0.2">
      <c r="A2443" s="40" t="s">
        <v>2226</v>
      </c>
      <c r="B2443" s="40">
        <v>24.36</v>
      </c>
      <c r="C2443" s="40">
        <v>24.95</v>
      </c>
      <c r="D2443" s="40">
        <v>22.5</v>
      </c>
      <c r="E2443" s="40">
        <v>23.77</v>
      </c>
      <c r="K2443" s="40"/>
      <c r="P2443" s="40"/>
      <c r="Q2443" s="40"/>
      <c r="R2443" s="40"/>
    </row>
    <row r="2444" spans="1:18" x14ac:dyDescent="0.2">
      <c r="A2444" s="40" t="s">
        <v>2227</v>
      </c>
      <c r="B2444" s="40">
        <v>28.37</v>
      </c>
      <c r="C2444" s="40">
        <v>28.37</v>
      </c>
      <c r="D2444" s="40">
        <v>24.79</v>
      </c>
      <c r="E2444" s="40">
        <v>24.95</v>
      </c>
      <c r="K2444" s="40"/>
      <c r="P2444" s="40"/>
      <c r="Q2444" s="40"/>
      <c r="R2444" s="40"/>
    </row>
    <row r="2445" spans="1:18" x14ac:dyDescent="0.2">
      <c r="A2445" s="40" t="s">
        <v>2228</v>
      </c>
      <c r="B2445" s="40">
        <v>24.57</v>
      </c>
      <c r="C2445" s="40">
        <v>28.05</v>
      </c>
      <c r="D2445" s="40">
        <v>23.92</v>
      </c>
      <c r="E2445" s="40">
        <v>24.02</v>
      </c>
      <c r="K2445" s="40"/>
      <c r="P2445" s="40"/>
      <c r="Q2445" s="40"/>
      <c r="R2445" s="40"/>
    </row>
    <row r="2446" spans="1:18" x14ac:dyDescent="0.2">
      <c r="A2446" s="40" t="s">
        <v>2229</v>
      </c>
      <c r="B2446" s="40">
        <v>31.09</v>
      </c>
      <c r="C2446" s="40">
        <v>32.9</v>
      </c>
      <c r="D2446" s="40">
        <v>27.56</v>
      </c>
      <c r="E2446" s="40">
        <v>28.11</v>
      </c>
      <c r="K2446" s="40"/>
      <c r="P2446" s="40"/>
      <c r="Q2446" s="40"/>
      <c r="R2446" s="40"/>
    </row>
    <row r="2447" spans="1:18" x14ac:dyDescent="0.2">
      <c r="A2447" s="40" t="s">
        <v>2230</v>
      </c>
      <c r="B2447" s="40">
        <v>27.77</v>
      </c>
      <c r="C2447" s="40">
        <v>28.57</v>
      </c>
      <c r="D2447" s="40">
        <v>25.43</v>
      </c>
      <c r="E2447" s="40">
        <v>25.95</v>
      </c>
      <c r="K2447" s="40"/>
      <c r="P2447" s="40"/>
      <c r="Q2447" s="40"/>
      <c r="R2447" s="40"/>
    </row>
    <row r="2448" spans="1:18" x14ac:dyDescent="0.2">
      <c r="A2448" s="40" t="s">
        <v>2231</v>
      </c>
      <c r="B2448" s="40">
        <v>25.44</v>
      </c>
      <c r="C2448" s="40">
        <v>29.8</v>
      </c>
      <c r="D2448" s="40">
        <v>25.12</v>
      </c>
      <c r="E2448" s="40">
        <v>27.97</v>
      </c>
      <c r="K2448" s="40"/>
      <c r="P2448" s="40"/>
      <c r="Q2448" s="40"/>
      <c r="R2448" s="40"/>
    </row>
    <row r="2449" spans="1:18" x14ac:dyDescent="0.2">
      <c r="A2449" s="40" t="s">
        <v>2232</v>
      </c>
      <c r="B2449" s="40">
        <v>28.06</v>
      </c>
      <c r="C2449" s="40">
        <v>30.88</v>
      </c>
      <c r="D2449" s="40">
        <v>27.14</v>
      </c>
      <c r="E2449" s="40">
        <v>27.65</v>
      </c>
      <c r="K2449" s="40"/>
      <c r="P2449" s="40"/>
      <c r="Q2449" s="40"/>
      <c r="R2449" s="40"/>
    </row>
    <row r="2450" spans="1:18" x14ac:dyDescent="0.2">
      <c r="A2450" s="40" t="s">
        <v>2233</v>
      </c>
      <c r="B2450" s="40">
        <v>27.6</v>
      </c>
      <c r="C2450" s="40">
        <v>29.14</v>
      </c>
      <c r="D2450" s="40">
        <v>24.19</v>
      </c>
      <c r="E2450" s="40">
        <v>24.57</v>
      </c>
      <c r="K2450" s="40"/>
      <c r="P2450" s="40"/>
      <c r="Q2450" s="40"/>
      <c r="R2450" s="40"/>
    </row>
    <row r="2451" spans="1:18" x14ac:dyDescent="0.2">
      <c r="A2451" s="40" t="s">
        <v>2234</v>
      </c>
      <c r="B2451" s="40">
        <v>26.37</v>
      </c>
      <c r="C2451" s="40">
        <v>26.61</v>
      </c>
      <c r="D2451" s="40">
        <v>25.11</v>
      </c>
      <c r="E2451" s="40">
        <v>25.21</v>
      </c>
      <c r="K2451" s="40"/>
      <c r="P2451" s="40"/>
      <c r="Q2451" s="40"/>
      <c r="R2451" s="40"/>
    </row>
    <row r="2452" spans="1:18" x14ac:dyDescent="0.2">
      <c r="A2452" s="40" t="s">
        <v>2235</v>
      </c>
      <c r="B2452" s="40">
        <v>26.26</v>
      </c>
      <c r="C2452" s="40">
        <v>27.53</v>
      </c>
      <c r="D2452" s="40">
        <v>25.45</v>
      </c>
      <c r="E2452" s="40">
        <v>25.99</v>
      </c>
      <c r="K2452" s="40"/>
      <c r="P2452" s="40"/>
      <c r="Q2452" s="40"/>
      <c r="R2452" s="40"/>
    </row>
    <row r="2453" spans="1:18" x14ac:dyDescent="0.2">
      <c r="A2453" s="40" t="s">
        <v>2236</v>
      </c>
      <c r="B2453" s="40">
        <v>25.64</v>
      </c>
      <c r="C2453" s="40">
        <v>26.41</v>
      </c>
      <c r="D2453" s="40">
        <v>24.48</v>
      </c>
      <c r="E2453" s="40">
        <v>25.77</v>
      </c>
      <c r="K2453" s="40"/>
      <c r="P2453" s="40"/>
      <c r="Q2453" s="40"/>
      <c r="R2453" s="40"/>
    </row>
    <row r="2454" spans="1:18" x14ac:dyDescent="0.2">
      <c r="A2454" s="41">
        <v>43840</v>
      </c>
      <c r="B2454" s="40">
        <v>25.14</v>
      </c>
      <c r="C2454" s="40">
        <v>26.42</v>
      </c>
      <c r="D2454" s="40">
        <v>24.66</v>
      </c>
      <c r="E2454" s="40">
        <v>24.8</v>
      </c>
      <c r="K2454" s="40"/>
      <c r="P2454" s="40"/>
      <c r="Q2454" s="40"/>
      <c r="R2454" s="40"/>
    </row>
    <row r="2455" spans="1:18" x14ac:dyDescent="0.2">
      <c r="A2455" s="41">
        <v>43871</v>
      </c>
      <c r="B2455" s="40">
        <v>27.44</v>
      </c>
      <c r="C2455" s="40">
        <v>27.44</v>
      </c>
      <c r="D2455" s="40">
        <v>23.58</v>
      </c>
      <c r="E2455" s="40">
        <v>24.64</v>
      </c>
      <c r="K2455" s="40"/>
      <c r="P2455" s="40"/>
      <c r="Q2455" s="40"/>
      <c r="R2455" s="40"/>
    </row>
    <row r="2456" spans="1:18" x14ac:dyDescent="0.2">
      <c r="A2456" s="41">
        <v>43961</v>
      </c>
      <c r="B2456" s="40">
        <v>25.36</v>
      </c>
      <c r="C2456" s="40">
        <v>25.39</v>
      </c>
      <c r="D2456" s="40">
        <v>23.44</v>
      </c>
      <c r="E2456" s="40">
        <v>23.51</v>
      </c>
      <c r="K2456" s="40"/>
      <c r="P2456" s="40"/>
      <c r="Q2456" s="40"/>
      <c r="R2456" s="40"/>
    </row>
    <row r="2457" spans="1:18" x14ac:dyDescent="0.2">
      <c r="A2457" s="41">
        <v>43992</v>
      </c>
      <c r="B2457" s="40">
        <v>23.07</v>
      </c>
      <c r="C2457" s="40">
        <v>26.03</v>
      </c>
      <c r="D2457" s="40">
        <v>21.78</v>
      </c>
      <c r="E2457" s="40">
        <v>25.08</v>
      </c>
      <c r="K2457" s="40"/>
      <c r="P2457" s="40"/>
      <c r="Q2457" s="40"/>
      <c r="R2457" s="40"/>
    </row>
    <row r="2458" spans="1:18" x14ac:dyDescent="0.2">
      <c r="A2458" s="41">
        <v>44022</v>
      </c>
      <c r="B2458" s="40">
        <v>23.36</v>
      </c>
      <c r="C2458" s="40">
        <v>23.55</v>
      </c>
      <c r="D2458" s="40">
        <v>21.74</v>
      </c>
      <c r="E2458" s="40">
        <v>21.74</v>
      </c>
      <c r="K2458" s="40"/>
      <c r="P2458" s="40"/>
      <c r="Q2458" s="40"/>
      <c r="R2458" s="40"/>
    </row>
    <row r="2459" spans="1:18" x14ac:dyDescent="0.2">
      <c r="A2459" s="41">
        <v>44053</v>
      </c>
      <c r="B2459" s="40">
        <v>21.62</v>
      </c>
      <c r="C2459" s="40">
        <v>21.96</v>
      </c>
      <c r="D2459" s="40">
        <v>19.88</v>
      </c>
      <c r="E2459" s="40">
        <v>19.940000000000001</v>
      </c>
      <c r="K2459" s="40"/>
      <c r="P2459" s="40"/>
      <c r="Q2459" s="40"/>
      <c r="R2459" s="40"/>
    </row>
    <row r="2460" spans="1:18" x14ac:dyDescent="0.2">
      <c r="A2460" s="41">
        <v>44084</v>
      </c>
      <c r="B2460" s="40">
        <v>19.55</v>
      </c>
      <c r="C2460" s="40">
        <v>19.57</v>
      </c>
      <c r="D2460" s="40">
        <v>18.2</v>
      </c>
      <c r="E2460" s="40">
        <v>18.850000000000001</v>
      </c>
      <c r="K2460" s="40"/>
      <c r="P2460" s="40"/>
      <c r="Q2460" s="40"/>
      <c r="R2460" s="40"/>
    </row>
    <row r="2461" spans="1:18" x14ac:dyDescent="0.2">
      <c r="A2461" s="41">
        <v>44175</v>
      </c>
      <c r="B2461" s="40">
        <v>20.04</v>
      </c>
      <c r="C2461" s="40">
        <v>21.17</v>
      </c>
      <c r="D2461" s="40">
        <v>19.48</v>
      </c>
      <c r="E2461" s="40">
        <v>20.3</v>
      </c>
      <c r="K2461" s="40"/>
      <c r="P2461" s="40"/>
      <c r="Q2461" s="40"/>
      <c r="R2461" s="40"/>
    </row>
    <row r="2462" spans="1:18" x14ac:dyDescent="0.2">
      <c r="A2462" s="40" t="s">
        <v>2237</v>
      </c>
      <c r="B2462" s="40">
        <v>20.329999999999998</v>
      </c>
      <c r="C2462" s="40">
        <v>22.61</v>
      </c>
      <c r="D2462" s="40">
        <v>20.329999999999998</v>
      </c>
      <c r="E2462" s="40">
        <v>21.39</v>
      </c>
      <c r="K2462" s="40"/>
      <c r="P2462" s="40"/>
      <c r="Q2462" s="40"/>
      <c r="R2462" s="40"/>
    </row>
    <row r="2463" spans="1:18" x14ac:dyDescent="0.2">
      <c r="A2463" s="40" t="s">
        <v>2238</v>
      </c>
      <c r="B2463" s="40">
        <v>21.52</v>
      </c>
      <c r="C2463" s="40">
        <v>22.69</v>
      </c>
      <c r="D2463" s="40">
        <v>20.7</v>
      </c>
      <c r="E2463" s="40">
        <v>21.3</v>
      </c>
      <c r="K2463" s="40"/>
      <c r="P2463" s="40"/>
      <c r="Q2463" s="40"/>
      <c r="R2463" s="40"/>
    </row>
    <row r="2464" spans="1:18" x14ac:dyDescent="0.2">
      <c r="A2464" s="40" t="s">
        <v>2239</v>
      </c>
      <c r="B2464" s="40">
        <v>24.41</v>
      </c>
      <c r="C2464" s="40">
        <v>24.41</v>
      </c>
      <c r="D2464" s="40">
        <v>20.88</v>
      </c>
      <c r="E2464" s="40">
        <v>21.38</v>
      </c>
      <c r="K2464" s="40"/>
      <c r="P2464" s="40"/>
      <c r="Q2464" s="40"/>
      <c r="R2464" s="40"/>
    </row>
    <row r="2465" spans="1:18" x14ac:dyDescent="0.2">
      <c r="A2465" s="40" t="s">
        <v>2240</v>
      </c>
      <c r="B2465" s="40">
        <v>21.51</v>
      </c>
      <c r="C2465" s="40">
        <v>21.64</v>
      </c>
      <c r="D2465" s="40">
        <v>20.239999999999998</v>
      </c>
      <c r="E2465" s="40">
        <v>21.64</v>
      </c>
      <c r="K2465" s="40"/>
      <c r="P2465" s="40"/>
      <c r="Q2465" s="40"/>
      <c r="R2465" s="40"/>
    </row>
    <row r="2466" spans="1:18" x14ac:dyDescent="0.2">
      <c r="A2466" s="40" t="s">
        <v>2241</v>
      </c>
      <c r="B2466" s="40">
        <v>23.41</v>
      </c>
      <c r="C2466" s="40">
        <v>25.92</v>
      </c>
      <c r="D2466" s="40">
        <v>23.22</v>
      </c>
      <c r="E2466" s="40">
        <v>24.65</v>
      </c>
      <c r="K2466" s="40"/>
      <c r="P2466" s="40"/>
      <c r="Q2466" s="40"/>
      <c r="R2466" s="40"/>
    </row>
    <row r="2467" spans="1:18" x14ac:dyDescent="0.2">
      <c r="A2467" s="40" t="s">
        <v>2242</v>
      </c>
      <c r="B2467" s="40">
        <v>24.51</v>
      </c>
      <c r="C2467" s="40">
        <v>25.23</v>
      </c>
      <c r="D2467" s="40">
        <v>23.76</v>
      </c>
      <c r="E2467" s="40">
        <v>24.57</v>
      </c>
      <c r="K2467" s="40"/>
      <c r="P2467" s="40"/>
      <c r="Q2467" s="40"/>
      <c r="R2467" s="40"/>
    </row>
    <row r="2468" spans="1:18" x14ac:dyDescent="0.2">
      <c r="A2468" s="40" t="s">
        <v>2243</v>
      </c>
      <c r="B2468" s="40">
        <v>24.9</v>
      </c>
      <c r="C2468" s="40">
        <v>25.03</v>
      </c>
      <c r="D2468" s="40">
        <v>23.1</v>
      </c>
      <c r="E2468" s="40">
        <v>23.2</v>
      </c>
      <c r="K2468" s="40"/>
      <c r="P2468" s="40"/>
      <c r="Q2468" s="40"/>
      <c r="R2468" s="40"/>
    </row>
    <row r="2469" spans="1:18" x14ac:dyDescent="0.2">
      <c r="A2469" s="40" t="s">
        <v>2244</v>
      </c>
      <c r="B2469" s="40">
        <v>24.95</v>
      </c>
      <c r="C2469" s="40">
        <v>25.58</v>
      </c>
      <c r="D2469" s="40">
        <v>23.84</v>
      </c>
      <c r="E2469" s="40">
        <v>24.06</v>
      </c>
      <c r="K2469" s="40"/>
      <c r="P2469" s="40"/>
      <c r="Q2469" s="40"/>
      <c r="R2469" s="40"/>
    </row>
    <row r="2470" spans="1:18" x14ac:dyDescent="0.2">
      <c r="A2470" s="40" t="s">
        <v>2245</v>
      </c>
      <c r="B2470" s="40">
        <v>24.85</v>
      </c>
      <c r="C2470" s="40">
        <v>25.84</v>
      </c>
      <c r="D2470" s="40">
        <v>23.84</v>
      </c>
      <c r="E2470" s="40">
        <v>24.29</v>
      </c>
      <c r="K2470" s="40"/>
      <c r="P2470" s="40"/>
      <c r="Q2470" s="40"/>
      <c r="R2470" s="40"/>
    </row>
    <row r="2471" spans="1:18" x14ac:dyDescent="0.2">
      <c r="A2471" s="40" t="s">
        <v>2246</v>
      </c>
      <c r="B2471" s="40">
        <v>30.91</v>
      </c>
      <c r="C2471" s="40">
        <v>37.46</v>
      </c>
      <c r="D2471" s="40">
        <v>30.47</v>
      </c>
      <c r="E2471" s="40">
        <v>35.909999999999997</v>
      </c>
      <c r="K2471" s="40"/>
      <c r="P2471" s="40"/>
      <c r="Q2471" s="40"/>
      <c r="R2471" s="40"/>
    </row>
    <row r="2472" spans="1:18" x14ac:dyDescent="0.2">
      <c r="A2472" s="40" t="s">
        <v>2247</v>
      </c>
      <c r="B2472" s="40">
        <v>36.590000000000003</v>
      </c>
      <c r="C2472" s="40">
        <v>38.08</v>
      </c>
      <c r="D2472" s="40">
        <v>36.1</v>
      </c>
      <c r="E2472" s="40">
        <v>37.29</v>
      </c>
      <c r="K2472" s="40"/>
      <c r="P2472" s="40"/>
      <c r="Q2472" s="40"/>
      <c r="R2472" s="40"/>
    </row>
    <row r="2473" spans="1:18" x14ac:dyDescent="0.2">
      <c r="A2473" s="40" t="s">
        <v>2248</v>
      </c>
      <c r="B2473" s="40">
        <v>44.13</v>
      </c>
      <c r="C2473" s="40">
        <v>50.16</v>
      </c>
      <c r="D2473" s="40">
        <v>41</v>
      </c>
      <c r="E2473" s="40">
        <v>47.9</v>
      </c>
      <c r="K2473" s="40"/>
      <c r="P2473" s="40"/>
      <c r="Q2473" s="40"/>
      <c r="R2473" s="40"/>
    </row>
    <row r="2474" spans="1:18" x14ac:dyDescent="0.2">
      <c r="A2474" s="40" t="s">
        <v>2249</v>
      </c>
      <c r="B2474" s="40">
        <v>47.74</v>
      </c>
      <c r="C2474" s="40">
        <v>49.77</v>
      </c>
      <c r="D2474" s="40">
        <v>42.25</v>
      </c>
      <c r="E2474" s="40">
        <v>44.34</v>
      </c>
      <c r="K2474" s="40"/>
      <c r="P2474" s="40"/>
      <c r="Q2474" s="40"/>
      <c r="R2474" s="40"/>
    </row>
    <row r="2475" spans="1:18" x14ac:dyDescent="0.2">
      <c r="A2475" s="40" t="s">
        <v>2250</v>
      </c>
      <c r="B2475" s="40">
        <v>44.09</v>
      </c>
      <c r="C2475" s="40">
        <v>48.54</v>
      </c>
      <c r="D2475" s="40">
        <v>42.86</v>
      </c>
      <c r="E2475" s="40">
        <v>44.33</v>
      </c>
      <c r="K2475" s="40"/>
      <c r="P2475" s="40"/>
      <c r="Q2475" s="40"/>
      <c r="R2475" s="40"/>
    </row>
    <row r="2476" spans="1:18" x14ac:dyDescent="0.2">
      <c r="A2476" s="41">
        <v>43872</v>
      </c>
      <c r="B2476" s="40">
        <v>45.46</v>
      </c>
      <c r="C2476" s="40">
        <v>46.51</v>
      </c>
      <c r="D2476" s="40">
        <v>43.37</v>
      </c>
      <c r="E2476" s="40">
        <v>43.86</v>
      </c>
      <c r="K2476" s="40"/>
      <c r="P2476" s="40"/>
      <c r="Q2476" s="40"/>
      <c r="R2476" s="40"/>
    </row>
    <row r="2477" spans="1:18" x14ac:dyDescent="0.2">
      <c r="A2477" s="41">
        <v>43901</v>
      </c>
      <c r="B2477" s="40">
        <v>42.42</v>
      </c>
      <c r="C2477" s="40">
        <v>43.49</v>
      </c>
      <c r="D2477" s="40">
        <v>40.67</v>
      </c>
      <c r="E2477" s="40">
        <v>43.2</v>
      </c>
      <c r="K2477" s="40"/>
      <c r="P2477" s="40"/>
      <c r="Q2477" s="40"/>
      <c r="R2477" s="40"/>
    </row>
    <row r="2478" spans="1:18" x14ac:dyDescent="0.2">
      <c r="A2478" s="41">
        <v>43932</v>
      </c>
      <c r="B2478" s="40">
        <v>43.2</v>
      </c>
      <c r="C2478" s="40">
        <v>43.2</v>
      </c>
      <c r="D2478" s="40">
        <v>30.29</v>
      </c>
      <c r="E2478" s="40">
        <v>32.46</v>
      </c>
      <c r="K2478" s="40"/>
      <c r="P2478" s="40"/>
      <c r="Q2478" s="40"/>
      <c r="R2478" s="40"/>
    </row>
    <row r="2479" spans="1:18" x14ac:dyDescent="0.2">
      <c r="A2479" s="41">
        <v>43962</v>
      </c>
      <c r="B2479" s="40">
        <v>32.5</v>
      </c>
      <c r="C2479" s="40">
        <v>32.5</v>
      </c>
      <c r="D2479" s="40">
        <v>27.16</v>
      </c>
      <c r="E2479" s="40">
        <v>28.09</v>
      </c>
      <c r="K2479" s="40"/>
      <c r="P2479" s="40"/>
      <c r="Q2479" s="40"/>
      <c r="R2479" s="40"/>
    </row>
    <row r="2480" spans="1:18" x14ac:dyDescent="0.2">
      <c r="A2480" s="41">
        <v>43993</v>
      </c>
      <c r="B2480" s="40">
        <v>27.7</v>
      </c>
      <c r="C2480" s="40">
        <v>28.61</v>
      </c>
      <c r="D2480" s="40">
        <v>23.4</v>
      </c>
      <c r="E2480" s="40">
        <v>23.96</v>
      </c>
      <c r="K2480" s="40"/>
      <c r="P2480" s="40"/>
      <c r="Q2480" s="40"/>
      <c r="R2480" s="40"/>
    </row>
    <row r="2481" spans="1:18" x14ac:dyDescent="0.2">
      <c r="A2481" s="41">
        <v>44085</v>
      </c>
      <c r="B2481" s="40">
        <v>23.96</v>
      </c>
      <c r="C2481" s="40">
        <v>26.78</v>
      </c>
      <c r="D2481" s="40">
        <v>22.75</v>
      </c>
      <c r="E2481" s="40">
        <v>26.71</v>
      </c>
      <c r="K2481" s="40"/>
      <c r="P2481" s="40"/>
      <c r="Q2481" s="40"/>
      <c r="R2481" s="40"/>
    </row>
    <row r="2482" spans="1:18" x14ac:dyDescent="0.2">
      <c r="A2482" s="41">
        <v>44115</v>
      </c>
      <c r="B2482" s="40">
        <v>26.75</v>
      </c>
      <c r="C2482" s="40">
        <v>28.08</v>
      </c>
      <c r="D2482" s="40">
        <v>24.01</v>
      </c>
      <c r="E2482" s="40">
        <v>24.43</v>
      </c>
      <c r="K2482" s="40"/>
      <c r="P2482" s="40"/>
      <c r="Q2482" s="40"/>
      <c r="R2482" s="40"/>
    </row>
    <row r="2483" spans="1:18" x14ac:dyDescent="0.2">
      <c r="A2483" s="41">
        <v>44146</v>
      </c>
      <c r="B2483" s="40">
        <v>24.43</v>
      </c>
      <c r="C2483" s="40">
        <v>24.43</v>
      </c>
      <c r="D2483" s="40">
        <v>21.49</v>
      </c>
      <c r="E2483" s="40">
        <v>21.59</v>
      </c>
      <c r="K2483" s="40"/>
      <c r="P2483" s="40"/>
      <c r="Q2483" s="40"/>
      <c r="R2483" s="40"/>
    </row>
    <row r="2484" spans="1:18" x14ac:dyDescent="0.2">
      <c r="A2484" s="41">
        <v>44176</v>
      </c>
      <c r="B2484" s="40">
        <v>22.26</v>
      </c>
      <c r="C2484" s="40">
        <v>26.94</v>
      </c>
      <c r="D2484" s="40">
        <v>21.6</v>
      </c>
      <c r="E2484" s="40">
        <v>23.88</v>
      </c>
      <c r="K2484" s="40"/>
      <c r="P2484" s="40"/>
      <c r="Q2484" s="40"/>
      <c r="R2484" s="40"/>
    </row>
    <row r="2485" spans="1:18" x14ac:dyDescent="0.2">
      <c r="A2485" s="40" t="s">
        <v>2251</v>
      </c>
      <c r="B2485" s="40">
        <v>22</v>
      </c>
      <c r="C2485" s="40">
        <v>22.19</v>
      </c>
      <c r="D2485" s="40">
        <v>20.38</v>
      </c>
      <c r="E2485" s="40">
        <v>21.01</v>
      </c>
      <c r="K2485" s="40"/>
      <c r="P2485" s="40"/>
      <c r="Q2485" s="40"/>
      <c r="R2485" s="40"/>
    </row>
    <row r="2486" spans="1:18" x14ac:dyDescent="0.2">
      <c r="A2486" s="40" t="s">
        <v>2252</v>
      </c>
      <c r="B2486" s="40">
        <v>21.01</v>
      </c>
      <c r="C2486" s="40">
        <v>22.08</v>
      </c>
      <c r="D2486" s="40">
        <v>19.239999999999998</v>
      </c>
      <c r="E2486" s="40">
        <v>19.329999999999998</v>
      </c>
      <c r="K2486" s="40"/>
      <c r="P2486" s="40"/>
      <c r="Q2486" s="40"/>
      <c r="R2486" s="40"/>
    </row>
    <row r="2487" spans="1:18" x14ac:dyDescent="0.2">
      <c r="A2487" s="40" t="s">
        <v>2253</v>
      </c>
      <c r="B2487" s="40">
        <v>19.309999999999999</v>
      </c>
      <c r="C2487" s="40">
        <v>21.28</v>
      </c>
      <c r="D2487" s="40">
        <v>18.47</v>
      </c>
      <c r="E2487" s="40">
        <v>18.809999999999999</v>
      </c>
      <c r="K2487" s="40"/>
      <c r="P2487" s="40"/>
      <c r="Q2487" s="40"/>
      <c r="R2487" s="40"/>
    </row>
    <row r="2488" spans="1:18" x14ac:dyDescent="0.2">
      <c r="A2488" s="40" t="s">
        <v>2254</v>
      </c>
      <c r="B2488" s="40">
        <v>18.79</v>
      </c>
      <c r="C2488" s="40">
        <v>19.68</v>
      </c>
      <c r="D2488" s="40">
        <v>16.940000000000001</v>
      </c>
      <c r="E2488" s="40">
        <v>19.59</v>
      </c>
      <c r="K2488" s="40"/>
      <c r="P2488" s="40"/>
      <c r="Q2488" s="40"/>
      <c r="R2488" s="40"/>
    </row>
    <row r="2489" spans="1:18" x14ac:dyDescent="0.2">
      <c r="A2489" s="40" t="s">
        <v>2255</v>
      </c>
      <c r="B2489" s="40">
        <v>19.649999999999999</v>
      </c>
      <c r="C2489" s="40">
        <v>20.85</v>
      </c>
      <c r="D2489" s="40">
        <v>18.63</v>
      </c>
      <c r="E2489" s="40">
        <v>19.260000000000002</v>
      </c>
      <c r="K2489" s="40"/>
      <c r="P2489" s="40"/>
      <c r="Q2489" s="40"/>
      <c r="R2489" s="40"/>
    </row>
    <row r="2490" spans="1:18" x14ac:dyDescent="0.2">
      <c r="A2490" s="40" t="s">
        <v>2256</v>
      </c>
      <c r="B2490" s="40">
        <v>19.32</v>
      </c>
      <c r="C2490" s="40">
        <v>20.100000000000001</v>
      </c>
      <c r="D2490" s="40">
        <v>18.37</v>
      </c>
      <c r="E2490" s="40">
        <v>19.86</v>
      </c>
      <c r="K2490" s="40"/>
      <c r="P2490" s="40"/>
      <c r="Q2490" s="40"/>
      <c r="R2490" s="40"/>
    </row>
    <row r="2491" spans="1:18" x14ac:dyDescent="0.2">
      <c r="A2491" s="40" t="s">
        <v>2257</v>
      </c>
      <c r="B2491" s="40">
        <v>19.899999999999999</v>
      </c>
      <c r="C2491" s="40">
        <v>22.31</v>
      </c>
      <c r="D2491" s="40">
        <v>19.559999999999999</v>
      </c>
      <c r="E2491" s="40">
        <v>19.579999999999998</v>
      </c>
      <c r="K2491" s="40"/>
      <c r="P2491" s="40"/>
      <c r="Q2491" s="40"/>
      <c r="R2491" s="40"/>
    </row>
    <row r="2492" spans="1:18" x14ac:dyDescent="0.2">
      <c r="A2492" s="40" t="s">
        <v>2258</v>
      </c>
      <c r="B2492" s="40">
        <v>19.579999999999998</v>
      </c>
      <c r="C2492" s="40">
        <v>19.690000000000001</v>
      </c>
      <c r="D2492" s="40">
        <v>18.309999999999999</v>
      </c>
      <c r="E2492" s="40">
        <v>18.399999999999999</v>
      </c>
      <c r="K2492" s="40"/>
      <c r="P2492" s="40"/>
      <c r="Q2492" s="40"/>
      <c r="R2492" s="40"/>
    </row>
    <row r="2493" spans="1:18" x14ac:dyDescent="0.2">
      <c r="A2493" s="40" t="s">
        <v>2259</v>
      </c>
      <c r="B2493" s="40">
        <v>18.399999999999999</v>
      </c>
      <c r="C2493" s="40">
        <v>19.420000000000002</v>
      </c>
      <c r="D2493" s="40">
        <v>17.059999999999999</v>
      </c>
      <c r="E2493" s="40">
        <v>17.14</v>
      </c>
      <c r="K2493" s="40"/>
      <c r="P2493" s="40"/>
      <c r="Q2493" s="40"/>
      <c r="R2493" s="40"/>
    </row>
    <row r="2494" spans="1:18" x14ac:dyDescent="0.2">
      <c r="A2494" s="40" t="s">
        <v>2260</v>
      </c>
      <c r="B2494" s="40">
        <v>17.149999999999999</v>
      </c>
      <c r="C2494" s="40">
        <v>19.239999999999998</v>
      </c>
      <c r="D2494" s="40">
        <v>17.149999999999999</v>
      </c>
      <c r="E2494" s="40">
        <v>18.25</v>
      </c>
      <c r="K2494" s="40"/>
      <c r="P2494" s="40"/>
      <c r="Q2494" s="40"/>
      <c r="R2494" s="40"/>
    </row>
    <row r="2495" spans="1:18" x14ac:dyDescent="0.2">
      <c r="A2495" s="40" t="s">
        <v>2261</v>
      </c>
      <c r="B2495" s="40">
        <v>18.329999999999998</v>
      </c>
      <c r="C2495" s="40">
        <v>23.42</v>
      </c>
      <c r="D2495" s="40">
        <v>18.329999999999998</v>
      </c>
      <c r="E2495" s="40">
        <v>19.87</v>
      </c>
      <c r="K2495" s="40"/>
      <c r="P2495" s="40"/>
      <c r="Q2495" s="40"/>
      <c r="R2495" s="40"/>
    </row>
    <row r="2496" spans="1:18" x14ac:dyDescent="0.2">
      <c r="A2496" s="41">
        <v>43842</v>
      </c>
      <c r="B2496" s="40">
        <v>19.829999999999998</v>
      </c>
      <c r="C2496" s="40">
        <v>20.3</v>
      </c>
      <c r="D2496" s="40">
        <v>19.32</v>
      </c>
      <c r="E2496" s="40">
        <v>19.87</v>
      </c>
      <c r="K2496" s="40"/>
      <c r="P2496" s="40"/>
      <c r="Q2496" s="40"/>
      <c r="R2496" s="40"/>
    </row>
    <row r="2497" spans="1:18" x14ac:dyDescent="0.2">
      <c r="A2497" s="41">
        <v>43873</v>
      </c>
      <c r="B2497" s="40">
        <v>19.87</v>
      </c>
      <c r="C2497" s="40">
        <v>20.3</v>
      </c>
      <c r="D2497" s="40">
        <v>18.82</v>
      </c>
      <c r="E2497" s="40">
        <v>19.29</v>
      </c>
      <c r="K2497" s="40"/>
      <c r="P2497" s="40"/>
      <c r="Q2497" s="40"/>
      <c r="R2497" s="40"/>
    </row>
    <row r="2498" spans="1:18" x14ac:dyDescent="0.2">
      <c r="A2498" s="41">
        <v>43902</v>
      </c>
      <c r="B2498" s="40">
        <v>19.32</v>
      </c>
      <c r="C2498" s="40">
        <v>20.32</v>
      </c>
      <c r="D2498" s="40">
        <v>18.420000000000002</v>
      </c>
      <c r="E2498" s="40">
        <v>19.350000000000001</v>
      </c>
      <c r="K2498" s="40"/>
      <c r="P2498" s="40"/>
      <c r="Q2498" s="40"/>
      <c r="R2498" s="40"/>
    </row>
    <row r="2499" spans="1:18" x14ac:dyDescent="0.2">
      <c r="A2499" s="41">
        <v>43933</v>
      </c>
      <c r="B2499" s="40">
        <v>19.37</v>
      </c>
      <c r="C2499" s="40">
        <v>19.37</v>
      </c>
      <c r="D2499" s="40">
        <v>17.78</v>
      </c>
      <c r="E2499" s="40">
        <v>17.96</v>
      </c>
      <c r="K2499" s="40"/>
      <c r="P2499" s="40"/>
      <c r="Q2499" s="40"/>
      <c r="R2499" s="40"/>
    </row>
    <row r="2500" spans="1:18" x14ac:dyDescent="0.2">
      <c r="A2500" s="41">
        <v>44024</v>
      </c>
      <c r="B2500" s="40">
        <v>17.97</v>
      </c>
      <c r="C2500" s="40">
        <v>20.57</v>
      </c>
      <c r="D2500" s="40">
        <v>15.54</v>
      </c>
      <c r="E2500" s="40">
        <v>18.739999999999998</v>
      </c>
      <c r="K2500" s="40"/>
      <c r="P2500" s="40"/>
      <c r="Q2500" s="40"/>
      <c r="R2500" s="40"/>
    </row>
    <row r="2501" spans="1:18" x14ac:dyDescent="0.2">
      <c r="A2501" s="41">
        <v>44055</v>
      </c>
      <c r="B2501" s="40">
        <v>18.7</v>
      </c>
      <c r="C2501" s="40">
        <v>19.649999999999999</v>
      </c>
      <c r="D2501" s="40">
        <v>17.97</v>
      </c>
      <c r="E2501" s="40">
        <v>18.170000000000002</v>
      </c>
      <c r="K2501" s="40"/>
      <c r="P2501" s="40"/>
      <c r="Q2501" s="40"/>
      <c r="R2501" s="40"/>
    </row>
    <row r="2502" spans="1:18" x14ac:dyDescent="0.2">
      <c r="A2502" s="41">
        <v>44086</v>
      </c>
      <c r="B2502" s="40">
        <v>18.03</v>
      </c>
      <c r="C2502" s="40">
        <v>22.13</v>
      </c>
      <c r="D2502" s="40">
        <v>17.7</v>
      </c>
      <c r="E2502" s="40">
        <v>19.989999999999998</v>
      </c>
      <c r="K2502" s="40"/>
      <c r="P2502" s="40"/>
      <c r="Q2502" s="40"/>
      <c r="R2502" s="40"/>
    </row>
    <row r="2503" spans="1:18" x14ac:dyDescent="0.2">
      <c r="A2503" s="41">
        <v>44116</v>
      </c>
      <c r="B2503" s="40">
        <v>21.32</v>
      </c>
      <c r="C2503" s="40">
        <v>22.09</v>
      </c>
      <c r="D2503" s="40">
        <v>18.95</v>
      </c>
      <c r="E2503" s="40">
        <v>19.670000000000002</v>
      </c>
      <c r="K2503" s="40"/>
      <c r="P2503" s="40"/>
      <c r="Q2503" s="40"/>
      <c r="R2503" s="40"/>
    </row>
    <row r="2504" spans="1:18" x14ac:dyDescent="0.2">
      <c r="A2504" s="41">
        <v>44147</v>
      </c>
      <c r="B2504" s="40">
        <v>19.670000000000002</v>
      </c>
      <c r="C2504" s="40">
        <v>23.74</v>
      </c>
      <c r="D2504" s="40">
        <v>19.670000000000002</v>
      </c>
      <c r="E2504" s="40">
        <v>20.45</v>
      </c>
      <c r="K2504" s="40"/>
      <c r="P2504" s="40"/>
      <c r="Q2504" s="40"/>
      <c r="R2504" s="40"/>
    </row>
    <row r="2505" spans="1:18" x14ac:dyDescent="0.2">
      <c r="A2505" s="40" t="s">
        <v>2262</v>
      </c>
      <c r="B2505" s="40">
        <v>20.399999999999999</v>
      </c>
      <c r="C2505" s="40">
        <v>23.71</v>
      </c>
      <c r="D2505" s="40">
        <v>18.8</v>
      </c>
      <c r="E2505" s="40">
        <v>23.67</v>
      </c>
      <c r="K2505" s="40"/>
      <c r="P2505" s="40"/>
      <c r="Q2505" s="40"/>
      <c r="R2505" s="40"/>
    </row>
    <row r="2506" spans="1:18" x14ac:dyDescent="0.2">
      <c r="A2506" s="40" t="s">
        <v>2263</v>
      </c>
      <c r="B2506" s="40">
        <v>23.67</v>
      </c>
      <c r="C2506" s="40">
        <v>23.67</v>
      </c>
      <c r="D2506" s="40">
        <v>19.82</v>
      </c>
      <c r="E2506" s="40">
        <v>20.190000000000001</v>
      </c>
      <c r="K2506" s="40"/>
      <c r="P2506" s="40"/>
      <c r="Q2506" s="40"/>
      <c r="R2506" s="40"/>
    </row>
    <row r="2507" spans="1:18" x14ac:dyDescent="0.2">
      <c r="A2507" s="40" t="s">
        <v>2264</v>
      </c>
      <c r="B2507" s="40">
        <v>20.190000000000001</v>
      </c>
      <c r="C2507" s="40">
        <v>21.89</v>
      </c>
      <c r="D2507" s="40">
        <v>18.8</v>
      </c>
      <c r="E2507" s="40">
        <v>18.8</v>
      </c>
      <c r="K2507" s="40"/>
      <c r="P2507" s="40"/>
      <c r="Q2507" s="40"/>
      <c r="R2507" s="40"/>
    </row>
    <row r="2508" spans="1:18" x14ac:dyDescent="0.2">
      <c r="A2508" s="40" t="s">
        <v>2265</v>
      </c>
      <c r="B2508" s="40">
        <v>18.829999999999998</v>
      </c>
      <c r="C2508" s="40">
        <v>18.829999999999998</v>
      </c>
      <c r="D2508" s="40">
        <v>17.940000000000001</v>
      </c>
      <c r="E2508" s="40">
        <v>18.62</v>
      </c>
      <c r="K2508" s="40"/>
      <c r="P2508" s="40"/>
      <c r="Q2508" s="40"/>
      <c r="R2508" s="40"/>
    </row>
    <row r="2509" spans="1:18" x14ac:dyDescent="0.2">
      <c r="A2509" s="40" t="s">
        <v>2266</v>
      </c>
      <c r="B2509" s="40">
        <v>18.59</v>
      </c>
      <c r="C2509" s="40">
        <v>22.16</v>
      </c>
      <c r="D2509" s="40">
        <v>16.420000000000002</v>
      </c>
      <c r="E2509" s="40">
        <v>16.7</v>
      </c>
      <c r="K2509" s="40"/>
      <c r="P2509" s="40"/>
      <c r="Q2509" s="40"/>
      <c r="R2509" s="40"/>
    </row>
    <row r="2510" spans="1:18" x14ac:dyDescent="0.2">
      <c r="A2510" s="40" t="s">
        <v>2267</v>
      </c>
      <c r="B2510" s="40">
        <v>16.73</v>
      </c>
      <c r="C2510" s="40">
        <v>28.91</v>
      </c>
      <c r="D2510" s="40">
        <v>16.73</v>
      </c>
      <c r="E2510" s="40">
        <v>21.56</v>
      </c>
      <c r="K2510" s="40"/>
      <c r="P2510" s="40"/>
      <c r="Q2510" s="40"/>
      <c r="R2510" s="40"/>
    </row>
    <row r="2511" spans="1:18" x14ac:dyDescent="0.2">
      <c r="A2511" s="40" t="s">
        <v>2268</v>
      </c>
      <c r="B2511" s="40">
        <v>21.65</v>
      </c>
      <c r="C2511" s="40">
        <v>22.11</v>
      </c>
      <c r="D2511" s="40">
        <v>19.690000000000001</v>
      </c>
      <c r="E2511" s="40">
        <v>19.91</v>
      </c>
      <c r="K2511" s="40"/>
      <c r="P2511" s="40"/>
      <c r="Q2511" s="40"/>
      <c r="R2511" s="40"/>
    </row>
    <row r="2512" spans="1:18" x14ac:dyDescent="0.2">
      <c r="A2512" s="40" t="s">
        <v>2269</v>
      </c>
      <c r="B2512" s="40">
        <v>19.91</v>
      </c>
      <c r="C2512" s="40">
        <v>19.91</v>
      </c>
      <c r="D2512" s="40">
        <v>17.63</v>
      </c>
      <c r="E2512" s="40">
        <v>19.2</v>
      </c>
      <c r="K2512" s="40"/>
      <c r="P2512" s="40"/>
      <c r="Q2512" s="40"/>
      <c r="R2512" s="40"/>
    </row>
    <row r="2513" spans="1:18" x14ac:dyDescent="0.2">
      <c r="A2513" s="40" t="s">
        <v>2270</v>
      </c>
      <c r="B2513" s="40">
        <v>19.18</v>
      </c>
      <c r="C2513" s="40">
        <v>19.18</v>
      </c>
      <c r="D2513" s="40">
        <v>16.850000000000001</v>
      </c>
      <c r="E2513" s="40">
        <v>17.12</v>
      </c>
      <c r="K2513" s="40"/>
      <c r="P2513" s="40"/>
      <c r="Q2513" s="40"/>
      <c r="R2513" s="40"/>
    </row>
    <row r="2514" spans="1:18" x14ac:dyDescent="0.2">
      <c r="A2514" s="40" t="s">
        <v>2271</v>
      </c>
      <c r="B2514" s="40">
        <v>17.16</v>
      </c>
      <c r="C2514" s="40">
        <v>20.420000000000002</v>
      </c>
      <c r="D2514" s="40">
        <v>17.16</v>
      </c>
      <c r="E2514" s="40">
        <v>20.05</v>
      </c>
      <c r="K2514" s="40"/>
      <c r="P2514" s="40"/>
      <c r="Q2514" s="40"/>
      <c r="R2514" s="40"/>
    </row>
    <row r="2515" spans="1:18" x14ac:dyDescent="0.2">
      <c r="A2515" s="40" t="s">
        <v>2272</v>
      </c>
      <c r="B2515" s="40">
        <v>20.04</v>
      </c>
      <c r="C2515" s="40">
        <v>22.68</v>
      </c>
      <c r="D2515" s="40">
        <v>19.760000000000002</v>
      </c>
      <c r="E2515" s="40">
        <v>21.47</v>
      </c>
      <c r="K2515" s="40"/>
      <c r="P2515" s="40"/>
      <c r="Q2515" s="40"/>
      <c r="R2515" s="40"/>
    </row>
    <row r="2516" spans="1:18" x14ac:dyDescent="0.2">
      <c r="A2516" s="40" t="s">
        <v>2273</v>
      </c>
      <c r="B2516" s="40">
        <v>21.5</v>
      </c>
      <c r="C2516" s="40">
        <v>21.82</v>
      </c>
      <c r="D2516" s="40">
        <v>20.56</v>
      </c>
      <c r="E2516" s="40">
        <v>21.31</v>
      </c>
      <c r="K2516" s="40"/>
      <c r="P2516" s="40"/>
      <c r="Q2516" s="40"/>
      <c r="R2516" s="40"/>
    </row>
    <row r="2517" spans="1:18" x14ac:dyDescent="0.2">
      <c r="A2517" s="40" t="s">
        <v>2274</v>
      </c>
      <c r="B2517" s="40">
        <v>21.29</v>
      </c>
      <c r="C2517" s="40">
        <v>22.49</v>
      </c>
      <c r="D2517" s="40">
        <v>20.57</v>
      </c>
      <c r="E2517" s="40">
        <v>21.2</v>
      </c>
      <c r="K2517" s="40"/>
      <c r="P2517" s="40"/>
      <c r="Q2517" s="40"/>
      <c r="R2517" s="40"/>
    </row>
    <row r="2518" spans="1:18" x14ac:dyDescent="0.2">
      <c r="A2518" s="41">
        <v>44287</v>
      </c>
      <c r="B2518" s="40">
        <v>22.75</v>
      </c>
      <c r="C2518" s="40">
        <v>30.99</v>
      </c>
      <c r="D2518" s="40">
        <v>22.71</v>
      </c>
      <c r="E2518" s="40">
        <v>27.39</v>
      </c>
      <c r="K2518" s="40"/>
      <c r="P2518" s="40"/>
      <c r="Q2518" s="40"/>
      <c r="R2518" s="40"/>
    </row>
    <row r="2519" spans="1:18" x14ac:dyDescent="0.2">
      <c r="A2519" s="41">
        <v>44317</v>
      </c>
      <c r="B2519" s="40">
        <v>27.26</v>
      </c>
      <c r="C2519" s="40">
        <v>28.11</v>
      </c>
      <c r="D2519" s="40">
        <v>23.87</v>
      </c>
      <c r="E2519" s="40">
        <v>24.29</v>
      </c>
      <c r="K2519" s="40"/>
      <c r="P2519" s="40"/>
      <c r="Q2519" s="40"/>
      <c r="R2519" s="40"/>
    </row>
    <row r="2520" spans="1:18" x14ac:dyDescent="0.2">
      <c r="A2520" s="41">
        <v>44348</v>
      </c>
      <c r="B2520" s="40">
        <v>24.26</v>
      </c>
      <c r="C2520" s="40">
        <v>26.69</v>
      </c>
      <c r="D2520" s="40">
        <v>19.05</v>
      </c>
      <c r="E2520" s="40">
        <v>23.77</v>
      </c>
      <c r="K2520" s="40"/>
      <c r="P2520" s="40"/>
      <c r="Q2520" s="40"/>
      <c r="R2520" s="40"/>
    </row>
    <row r="2521" spans="1:18" x14ac:dyDescent="0.2">
      <c r="A2521" s="41">
        <v>44378</v>
      </c>
      <c r="B2521" s="40">
        <v>23.73</v>
      </c>
      <c r="C2521" s="40">
        <v>23.73</v>
      </c>
      <c r="D2521" s="40">
        <v>18.32</v>
      </c>
      <c r="E2521" s="40">
        <v>19.420000000000002</v>
      </c>
      <c r="K2521" s="40"/>
      <c r="P2521" s="40"/>
      <c r="Q2521" s="40"/>
      <c r="R2521" s="40"/>
    </row>
    <row r="2522" spans="1:18" x14ac:dyDescent="0.2">
      <c r="A2522" s="41">
        <v>44409</v>
      </c>
      <c r="B2522" s="40">
        <v>19.21</v>
      </c>
      <c r="C2522" s="40">
        <v>21.26</v>
      </c>
      <c r="D2522" s="40">
        <v>17.77</v>
      </c>
      <c r="E2522" s="40">
        <v>18.34</v>
      </c>
      <c r="K2522" s="40"/>
      <c r="P2522" s="40"/>
      <c r="Q2522" s="40"/>
      <c r="R2522" s="40"/>
    </row>
    <row r="2523" spans="1:18" x14ac:dyDescent="0.2">
      <c r="A2523" s="41">
        <v>44501</v>
      </c>
      <c r="B2523" s="40">
        <v>18.37</v>
      </c>
      <c r="C2523" s="40">
        <v>23.59</v>
      </c>
      <c r="D2523" s="40">
        <v>18.37</v>
      </c>
      <c r="E2523" s="40">
        <v>21.69</v>
      </c>
      <c r="K2523" s="40"/>
      <c r="P2523" s="40"/>
      <c r="Q2523" s="40"/>
      <c r="R2523" s="40"/>
    </row>
    <row r="2524" spans="1:18" x14ac:dyDescent="0.2">
      <c r="A2524" s="41">
        <v>44531</v>
      </c>
      <c r="B2524" s="40">
        <v>21.7</v>
      </c>
      <c r="C2524" s="40">
        <v>23.81</v>
      </c>
      <c r="D2524" s="40">
        <v>20.14</v>
      </c>
      <c r="E2524" s="40">
        <v>20.65</v>
      </c>
      <c r="K2524" s="40"/>
      <c r="P2524" s="40"/>
      <c r="Q2524" s="40"/>
      <c r="R2524" s="40"/>
    </row>
    <row r="2525" spans="1:18" x14ac:dyDescent="0.2">
      <c r="A2525" s="40" t="s">
        <v>2275</v>
      </c>
      <c r="B2525" s="40">
        <v>20.63</v>
      </c>
      <c r="C2525" s="40">
        <v>21.16</v>
      </c>
      <c r="D2525" s="40">
        <v>18.63</v>
      </c>
      <c r="E2525" s="40">
        <v>18.91</v>
      </c>
      <c r="K2525" s="40"/>
      <c r="P2525" s="40"/>
      <c r="Q2525" s="40"/>
      <c r="R2525" s="40"/>
    </row>
    <row r="2526" spans="1:18" x14ac:dyDescent="0.2">
      <c r="A2526" s="40" t="s">
        <v>2276</v>
      </c>
      <c r="B2526" s="40">
        <v>18.78</v>
      </c>
      <c r="C2526" s="40">
        <v>21.37</v>
      </c>
      <c r="D2526" s="40">
        <v>18.670000000000002</v>
      </c>
      <c r="E2526" s="40">
        <v>21.17</v>
      </c>
      <c r="K2526" s="40"/>
      <c r="P2526" s="40"/>
      <c r="Q2526" s="40"/>
      <c r="R2526" s="40"/>
    </row>
    <row r="2527" spans="1:18" x14ac:dyDescent="0.2">
      <c r="A2527" s="40" t="s">
        <v>2277</v>
      </c>
      <c r="B2527" s="40">
        <v>21.04</v>
      </c>
      <c r="C2527" s="40">
        <v>25.49</v>
      </c>
      <c r="D2527" s="40">
        <v>20.39</v>
      </c>
      <c r="E2527" s="40">
        <v>21.69</v>
      </c>
      <c r="K2527" s="40"/>
      <c r="P2527" s="40"/>
      <c r="Q2527" s="40"/>
      <c r="R2527" s="40"/>
    </row>
    <row r="2528" spans="1:18" x14ac:dyDescent="0.2">
      <c r="A2528" s="40" t="s">
        <v>2278</v>
      </c>
      <c r="B2528" s="40">
        <v>21.84</v>
      </c>
      <c r="C2528" s="40">
        <v>22.72</v>
      </c>
      <c r="D2528" s="40">
        <v>20.85</v>
      </c>
      <c r="E2528" s="40">
        <v>21.88</v>
      </c>
      <c r="K2528" s="40"/>
      <c r="P2528" s="40"/>
      <c r="Q2528" s="40"/>
      <c r="R2528" s="40"/>
    </row>
    <row r="2529" spans="1:18" x14ac:dyDescent="0.2">
      <c r="A2529" s="40" t="s">
        <v>2279</v>
      </c>
      <c r="B2529" s="40">
        <v>20.440000000000001</v>
      </c>
      <c r="C2529" s="40">
        <v>20.59</v>
      </c>
      <c r="D2529" s="40">
        <v>18.690000000000001</v>
      </c>
      <c r="E2529" s="40">
        <v>18.850000000000001</v>
      </c>
      <c r="K2529" s="40"/>
      <c r="P2529" s="40"/>
      <c r="Q2529" s="40"/>
      <c r="R2529" s="40"/>
    </row>
    <row r="2530" spans="1:18" x14ac:dyDescent="0.2">
      <c r="A2530" s="40" t="s">
        <v>2280</v>
      </c>
      <c r="B2530" s="40">
        <v>18.84</v>
      </c>
      <c r="C2530" s="40">
        <v>19.989999999999998</v>
      </c>
      <c r="D2530" s="40">
        <v>17.8</v>
      </c>
      <c r="E2530" s="40">
        <v>18.23</v>
      </c>
      <c r="K2530" s="40"/>
      <c r="P2530" s="40"/>
      <c r="Q2530" s="40"/>
      <c r="R2530" s="40"/>
    </row>
    <row r="2531" spans="1:18" x14ac:dyDescent="0.2">
      <c r="A2531" s="40" t="s">
        <v>2281</v>
      </c>
      <c r="B2531" s="40">
        <v>18.23</v>
      </c>
      <c r="C2531" s="40">
        <v>20.420000000000002</v>
      </c>
      <c r="D2531" s="40">
        <v>17.48</v>
      </c>
      <c r="E2531" s="40">
        <v>18.420000000000002</v>
      </c>
      <c r="K2531" s="40"/>
      <c r="P2531" s="40"/>
      <c r="Q2531" s="40"/>
      <c r="R2531" s="40"/>
    </row>
    <row r="2532" spans="1:18" x14ac:dyDescent="0.2">
      <c r="A2532" s="40" t="s">
        <v>2282</v>
      </c>
      <c r="B2532" s="40">
        <v>20.69</v>
      </c>
      <c r="C2532" s="40">
        <v>27.19</v>
      </c>
      <c r="D2532" s="40">
        <v>19.89</v>
      </c>
      <c r="E2532" s="40">
        <v>20.66</v>
      </c>
      <c r="K2532" s="40"/>
      <c r="P2532" s="40"/>
      <c r="Q2532" s="40"/>
      <c r="R2532" s="40"/>
    </row>
    <row r="2533" spans="1:18" x14ac:dyDescent="0.2">
      <c r="A2533" s="40" t="s">
        <v>2283</v>
      </c>
      <c r="B2533" s="40">
        <v>20.68</v>
      </c>
      <c r="C2533" s="40">
        <v>21.52</v>
      </c>
      <c r="D2533" s="40">
        <v>20.13</v>
      </c>
      <c r="E2533" s="40">
        <v>20.46</v>
      </c>
      <c r="K2533" s="40"/>
      <c r="P2533" s="40"/>
      <c r="Q2533" s="40"/>
      <c r="R2533" s="40"/>
    </row>
    <row r="2534" spans="1:18" x14ac:dyDescent="0.2">
      <c r="A2534" s="40" t="s">
        <v>2284</v>
      </c>
      <c r="B2534" s="40">
        <v>20.46</v>
      </c>
      <c r="C2534" s="40">
        <v>41.76</v>
      </c>
      <c r="D2534" s="40">
        <v>20.46</v>
      </c>
      <c r="E2534" s="40">
        <v>41.64</v>
      </c>
      <c r="K2534" s="40"/>
      <c r="P2534" s="40"/>
      <c r="Q2534" s="40"/>
      <c r="R2534" s="40"/>
    </row>
    <row r="2535" spans="1:18" x14ac:dyDescent="0.2">
      <c r="A2535" s="40" t="s">
        <v>2285</v>
      </c>
      <c r="B2535" s="40">
        <v>42.05</v>
      </c>
      <c r="C2535" s="40">
        <v>42.05</v>
      </c>
      <c r="D2535" s="40">
        <v>25.57</v>
      </c>
      <c r="E2535" s="40">
        <v>30</v>
      </c>
      <c r="K2535" s="40"/>
      <c r="P2535" s="40"/>
      <c r="Q2535" s="40"/>
      <c r="R2535" s="40"/>
    </row>
    <row r="2536" spans="1:18" x14ac:dyDescent="0.2">
      <c r="A2536" s="40" t="s">
        <v>2286</v>
      </c>
      <c r="B2536" s="40">
        <v>29.93</v>
      </c>
      <c r="C2536" s="40">
        <v>40.96</v>
      </c>
      <c r="D2536" s="40">
        <v>28.39</v>
      </c>
      <c r="E2536" s="40">
        <v>32.630000000000003</v>
      </c>
      <c r="K2536" s="40"/>
      <c r="P2536" s="40"/>
      <c r="Q2536" s="40"/>
      <c r="R2536" s="40"/>
    </row>
    <row r="2537" spans="1:18" x14ac:dyDescent="0.2">
      <c r="A2537" s="41">
        <v>44198</v>
      </c>
      <c r="B2537" s="40">
        <v>30.38</v>
      </c>
      <c r="C2537" s="40">
        <v>34.369999999999997</v>
      </c>
      <c r="D2537" s="40">
        <v>27</v>
      </c>
      <c r="E2537" s="40">
        <v>28.99</v>
      </c>
      <c r="K2537" s="40"/>
      <c r="P2537" s="40"/>
      <c r="Q2537" s="40"/>
      <c r="R2537" s="40"/>
    </row>
    <row r="2538" spans="1:18" x14ac:dyDescent="0.2">
      <c r="A2538" s="41">
        <v>44229</v>
      </c>
      <c r="B2538" s="40">
        <v>28.94</v>
      </c>
      <c r="C2538" s="40">
        <v>28.94</v>
      </c>
      <c r="D2538" s="40">
        <v>22.42</v>
      </c>
      <c r="E2538" s="40">
        <v>22.44</v>
      </c>
      <c r="K2538" s="40"/>
      <c r="P2538" s="40"/>
      <c r="Q2538" s="40"/>
      <c r="R2538" s="40"/>
    </row>
    <row r="2539" spans="1:18" x14ac:dyDescent="0.2">
      <c r="A2539" s="41">
        <v>44257</v>
      </c>
      <c r="B2539" s="40">
        <v>22.31</v>
      </c>
      <c r="C2539" s="40">
        <v>22.52</v>
      </c>
      <c r="D2539" s="40">
        <v>18.97</v>
      </c>
      <c r="E2539" s="40">
        <v>18.97</v>
      </c>
      <c r="K2539" s="40"/>
      <c r="P2539" s="40"/>
      <c r="Q2539" s="40"/>
      <c r="R2539" s="40"/>
    </row>
    <row r="2540" spans="1:18" x14ac:dyDescent="0.2">
      <c r="A2540" s="41">
        <v>44288</v>
      </c>
      <c r="B2540" s="40">
        <v>19.03</v>
      </c>
      <c r="C2540" s="40">
        <v>19.03</v>
      </c>
      <c r="D2540" s="40">
        <v>17.239999999999998</v>
      </c>
      <c r="E2540" s="40">
        <v>17.48</v>
      </c>
      <c r="K2540" s="40"/>
      <c r="P2540" s="40"/>
      <c r="Q2540" s="40"/>
      <c r="R2540" s="40"/>
    </row>
    <row r="2541" spans="1:18" x14ac:dyDescent="0.2">
      <c r="A2541" s="41">
        <v>44318</v>
      </c>
      <c r="B2541" s="40">
        <v>17.46</v>
      </c>
      <c r="C2541" s="40">
        <v>17.739999999999998</v>
      </c>
      <c r="D2541" s="40">
        <v>15.47</v>
      </c>
      <c r="E2541" s="40">
        <v>15.52</v>
      </c>
      <c r="K2541" s="40"/>
      <c r="P2541" s="40"/>
      <c r="Q2541" s="40"/>
      <c r="R2541" s="40"/>
    </row>
    <row r="2542" spans="1:18" x14ac:dyDescent="0.2">
      <c r="A2542" s="41">
        <v>44410</v>
      </c>
      <c r="B2542" s="40">
        <v>15.48</v>
      </c>
      <c r="C2542" s="40">
        <v>17.72</v>
      </c>
      <c r="D2542" s="40">
        <v>15.48</v>
      </c>
      <c r="E2542" s="40">
        <v>16.57</v>
      </c>
      <c r="K2542" s="40"/>
      <c r="P2542" s="40"/>
      <c r="Q2542" s="40"/>
      <c r="R2542" s="40"/>
    </row>
    <row r="2543" spans="1:18" x14ac:dyDescent="0.2">
      <c r="A2543" s="41">
        <v>44441</v>
      </c>
      <c r="B2543" s="40">
        <v>16.57</v>
      </c>
      <c r="C2543" s="40">
        <v>17.84</v>
      </c>
      <c r="D2543" s="40">
        <v>16.260000000000002</v>
      </c>
      <c r="E2543" s="40">
        <v>17.09</v>
      </c>
      <c r="K2543" s="40"/>
      <c r="P2543" s="40"/>
      <c r="Q2543" s="40"/>
      <c r="R2543" s="40"/>
    </row>
    <row r="2544" spans="1:18" x14ac:dyDescent="0.2">
      <c r="A2544" s="41">
        <v>44471</v>
      </c>
      <c r="B2544" s="40">
        <v>17.09</v>
      </c>
      <c r="C2544" s="40">
        <v>21.1</v>
      </c>
      <c r="D2544" s="40">
        <v>16.61</v>
      </c>
      <c r="E2544" s="40">
        <v>17.68</v>
      </c>
      <c r="K2544" s="40"/>
      <c r="P2544" s="40"/>
      <c r="Q2544" s="40"/>
      <c r="R2544" s="40"/>
    </row>
    <row r="2545" spans="1:18" x14ac:dyDescent="0.2">
      <c r="A2545" s="41">
        <v>44502</v>
      </c>
      <c r="B2545" s="40">
        <v>17.68</v>
      </c>
      <c r="C2545" s="40">
        <v>19.98</v>
      </c>
      <c r="D2545" s="40">
        <v>16.809999999999999</v>
      </c>
      <c r="E2545" s="40">
        <v>17.09</v>
      </c>
      <c r="K2545" s="40"/>
      <c r="P2545" s="40"/>
      <c r="Q2545" s="40"/>
      <c r="R2545" s="40"/>
    </row>
    <row r="2546" spans="1:18" x14ac:dyDescent="0.2">
      <c r="A2546" s="41">
        <v>44532</v>
      </c>
      <c r="B2546" s="40">
        <v>17.18</v>
      </c>
      <c r="C2546" s="40">
        <v>17.420000000000002</v>
      </c>
      <c r="D2546" s="40">
        <v>14.97</v>
      </c>
      <c r="E2546" s="40">
        <v>15.05</v>
      </c>
      <c r="K2546" s="40"/>
      <c r="P2546" s="40"/>
      <c r="Q2546" s="40"/>
      <c r="R2546" s="40"/>
    </row>
    <row r="2547" spans="1:18" x14ac:dyDescent="0.2">
      <c r="A2547" s="40" t="s">
        <v>2287</v>
      </c>
      <c r="B2547" s="40">
        <v>15.03</v>
      </c>
      <c r="C2547" s="40">
        <v>20.63</v>
      </c>
      <c r="D2547" s="40">
        <v>15.03</v>
      </c>
      <c r="E2547" s="40">
        <v>19.32</v>
      </c>
      <c r="K2547" s="40"/>
      <c r="P2547" s="40"/>
      <c r="Q2547" s="40"/>
      <c r="R2547" s="40"/>
    </row>
    <row r="2548" spans="1:18" x14ac:dyDescent="0.2">
      <c r="A2548" s="40" t="s">
        <v>2288</v>
      </c>
      <c r="B2548" s="40">
        <v>19.329999999999998</v>
      </c>
      <c r="C2548" s="40">
        <v>22.01</v>
      </c>
      <c r="D2548" s="40">
        <v>18.149999999999999</v>
      </c>
      <c r="E2548" s="40">
        <v>18.41</v>
      </c>
      <c r="K2548" s="40"/>
      <c r="P2548" s="40"/>
      <c r="Q2548" s="40"/>
      <c r="R2548" s="40"/>
    </row>
    <row r="2549" spans="1:18" x14ac:dyDescent="0.2">
      <c r="A2549" s="40" t="s">
        <v>2289</v>
      </c>
      <c r="B2549" s="40">
        <v>18.420000000000002</v>
      </c>
      <c r="C2549" s="40">
        <v>22.38</v>
      </c>
      <c r="D2549" s="40">
        <v>18.420000000000002</v>
      </c>
      <c r="E2549" s="40">
        <v>19.46</v>
      </c>
      <c r="K2549" s="40"/>
      <c r="P2549" s="40"/>
      <c r="Q2549" s="40"/>
      <c r="R2549" s="40"/>
    </row>
    <row r="2550" spans="1:18" x14ac:dyDescent="0.2">
      <c r="A2550" s="40" t="s">
        <v>2290</v>
      </c>
      <c r="B2550" s="40">
        <v>19.41</v>
      </c>
      <c r="C2550" s="40">
        <v>20</v>
      </c>
      <c r="D2550" s="40">
        <v>17.37</v>
      </c>
      <c r="E2550" s="40">
        <v>18.329999999999998</v>
      </c>
      <c r="K2550" s="40"/>
      <c r="P2550" s="40"/>
      <c r="Q2550" s="40"/>
      <c r="R2550" s="40"/>
    </row>
    <row r="2551" spans="1:18" x14ac:dyDescent="0.2">
      <c r="A2551" s="40" t="s">
        <v>2291</v>
      </c>
      <c r="B2551" s="40">
        <v>18.3</v>
      </c>
      <c r="C2551" s="40">
        <v>23</v>
      </c>
      <c r="D2551" s="40">
        <v>18.3</v>
      </c>
      <c r="E2551" s="40">
        <v>21.22</v>
      </c>
      <c r="K2551" s="40"/>
      <c r="P2551" s="40"/>
      <c r="Q2551" s="40"/>
      <c r="R2551" s="40"/>
    </row>
    <row r="2552" spans="1:18" x14ac:dyDescent="0.2">
      <c r="A2552" s="40" t="s">
        <v>2292</v>
      </c>
      <c r="B2552" s="40">
        <v>21.21</v>
      </c>
      <c r="C2552" s="40">
        <v>27.13</v>
      </c>
      <c r="D2552" s="40">
        <v>20.29</v>
      </c>
      <c r="E2552" s="40">
        <v>21.3</v>
      </c>
      <c r="K2552" s="40"/>
      <c r="P2552" s="40"/>
      <c r="Q2552" s="40"/>
      <c r="R2552" s="40"/>
    </row>
    <row r="2553" spans="1:18" x14ac:dyDescent="0.2">
      <c r="A2553" s="40" t="s">
        <v>2293</v>
      </c>
      <c r="B2553" s="40">
        <v>23.23</v>
      </c>
      <c r="C2553" s="40">
        <v>24.32</v>
      </c>
      <c r="D2553" s="40">
        <v>18.32</v>
      </c>
      <c r="E2553" s="40">
        <v>18.350000000000001</v>
      </c>
      <c r="K2553" s="40"/>
      <c r="P2553" s="40"/>
      <c r="Q2553" s="40"/>
      <c r="R2553" s="40"/>
    </row>
    <row r="2554" spans="1:18" x14ac:dyDescent="0.2">
      <c r="A2554" s="40" t="s">
        <v>2294</v>
      </c>
      <c r="B2554" s="40">
        <v>18.350000000000001</v>
      </c>
      <c r="C2554" s="40">
        <v>34.590000000000003</v>
      </c>
      <c r="D2554" s="40">
        <v>18.350000000000001</v>
      </c>
      <c r="E2554" s="40">
        <v>31.81</v>
      </c>
      <c r="K2554" s="40"/>
      <c r="P2554" s="40"/>
      <c r="Q2554" s="40"/>
      <c r="R2554" s="40"/>
    </row>
    <row r="2555" spans="1:18" x14ac:dyDescent="0.2">
      <c r="A2555" s="40" t="s">
        <v>2295</v>
      </c>
      <c r="B2555" s="40">
        <v>31.6</v>
      </c>
      <c r="C2555" s="40">
        <v>34.67</v>
      </c>
      <c r="D2555" s="40">
        <v>25</v>
      </c>
      <c r="E2555" s="40">
        <v>29.42</v>
      </c>
      <c r="K2555" s="40"/>
      <c r="P2555" s="40"/>
      <c r="Q2555" s="40"/>
      <c r="R2555" s="40"/>
    </row>
    <row r="2556" spans="1:18" x14ac:dyDescent="0.2">
      <c r="A2556" s="41">
        <v>44199</v>
      </c>
      <c r="B2556" s="40">
        <v>29.36</v>
      </c>
      <c r="C2556" s="40">
        <v>29.36</v>
      </c>
      <c r="D2556" s="40">
        <v>22.39</v>
      </c>
      <c r="E2556" s="40">
        <v>22.7</v>
      </c>
      <c r="K2556" s="40"/>
      <c r="P2556" s="40"/>
      <c r="Q2556" s="40"/>
      <c r="R2556" s="40"/>
    </row>
    <row r="2557" spans="1:18" x14ac:dyDescent="0.2">
      <c r="A2557" s="41">
        <v>44230</v>
      </c>
      <c r="B2557" s="40">
        <v>22.63</v>
      </c>
      <c r="C2557" s="40">
        <v>24.02</v>
      </c>
      <c r="D2557" s="40">
        <v>21.28</v>
      </c>
      <c r="E2557" s="40">
        <v>23.17</v>
      </c>
      <c r="K2557" s="40"/>
      <c r="P2557" s="40"/>
      <c r="Q2557" s="40"/>
      <c r="R2557" s="40"/>
    </row>
    <row r="2558" spans="1:18" x14ac:dyDescent="0.2">
      <c r="A2558" s="41">
        <v>44258</v>
      </c>
      <c r="B2558" s="40">
        <v>23.17</v>
      </c>
      <c r="C2558" s="40">
        <v>27.28</v>
      </c>
      <c r="D2558" s="40">
        <v>23.12</v>
      </c>
      <c r="E2558" s="40">
        <v>26.88</v>
      </c>
      <c r="K2558" s="40"/>
      <c r="P2558" s="40"/>
      <c r="Q2558" s="40"/>
      <c r="R2558" s="40"/>
    </row>
    <row r="2559" spans="1:18" x14ac:dyDescent="0.2">
      <c r="A2559" s="41">
        <v>44289</v>
      </c>
      <c r="B2559" s="40">
        <v>26.88</v>
      </c>
      <c r="C2559" s="40">
        <v>35.020000000000003</v>
      </c>
      <c r="D2559" s="40">
        <v>24.46</v>
      </c>
      <c r="E2559" s="40">
        <v>29.3</v>
      </c>
      <c r="K2559" s="40"/>
      <c r="P2559" s="40"/>
      <c r="Q2559" s="40"/>
      <c r="R2559" s="40"/>
    </row>
    <row r="2560" spans="1:18" x14ac:dyDescent="0.2">
      <c r="A2560" s="41">
        <v>44319</v>
      </c>
      <c r="B2560" s="40">
        <v>29.3</v>
      </c>
      <c r="C2560" s="40">
        <v>31.53</v>
      </c>
      <c r="D2560" s="40">
        <v>22.97</v>
      </c>
      <c r="E2560" s="40">
        <v>23.83</v>
      </c>
      <c r="K2560" s="40"/>
      <c r="P2560" s="40"/>
      <c r="Q2560" s="40"/>
      <c r="R2560" s="40"/>
    </row>
    <row r="2561" spans="1:18" x14ac:dyDescent="0.2">
      <c r="A2561" s="41">
        <v>44411</v>
      </c>
      <c r="B2561" s="40">
        <v>23.76</v>
      </c>
      <c r="C2561" s="40">
        <v>27.73</v>
      </c>
      <c r="D2561" s="40">
        <v>23.76</v>
      </c>
      <c r="E2561" s="40">
        <v>25.7</v>
      </c>
      <c r="K2561" s="40"/>
      <c r="P2561" s="40"/>
      <c r="Q2561" s="40"/>
      <c r="R2561" s="40"/>
    </row>
    <row r="2562" spans="1:18" x14ac:dyDescent="0.2">
      <c r="A2562" s="41">
        <v>44442</v>
      </c>
      <c r="B2562" s="40">
        <v>25.7</v>
      </c>
      <c r="C2562" s="40">
        <v>25.7</v>
      </c>
      <c r="D2562" s="40">
        <v>22.13</v>
      </c>
      <c r="E2562" s="40">
        <v>24.11</v>
      </c>
      <c r="K2562" s="40"/>
      <c r="P2562" s="40"/>
      <c r="Q2562" s="40"/>
      <c r="R2562" s="40"/>
    </row>
    <row r="2563" spans="1:18" x14ac:dyDescent="0.2">
      <c r="A2563" s="41">
        <v>44472</v>
      </c>
      <c r="B2563" s="40">
        <v>24.12</v>
      </c>
      <c r="C2563" s="40">
        <v>24.12</v>
      </c>
      <c r="D2563" s="40">
        <v>20.88</v>
      </c>
      <c r="E2563" s="40">
        <v>20.98</v>
      </c>
      <c r="K2563" s="40"/>
      <c r="P2563" s="40"/>
      <c r="Q2563" s="40"/>
      <c r="R2563" s="40"/>
    </row>
    <row r="2564" spans="1:18" x14ac:dyDescent="0.2">
      <c r="A2564" s="41">
        <v>44503</v>
      </c>
      <c r="B2564" s="40">
        <v>20.98</v>
      </c>
      <c r="C2564" s="40">
        <v>20.98</v>
      </c>
      <c r="D2564" s="40">
        <v>19.760000000000002</v>
      </c>
      <c r="E2564" s="40">
        <v>20.010000000000002</v>
      </c>
      <c r="K2564" s="40"/>
      <c r="P2564" s="40"/>
      <c r="Q2564" s="40"/>
      <c r="R2564" s="40"/>
    </row>
    <row r="2565" spans="1:18" x14ac:dyDescent="0.2">
      <c r="A2565" s="41">
        <v>44533</v>
      </c>
      <c r="B2565" s="40">
        <v>20.93</v>
      </c>
      <c r="C2565" s="40">
        <v>21.02</v>
      </c>
      <c r="D2565" s="40">
        <v>17.350000000000001</v>
      </c>
      <c r="E2565" s="40">
        <v>17.41</v>
      </c>
      <c r="K2565" s="40"/>
      <c r="P2565" s="40"/>
      <c r="Q2565" s="40"/>
      <c r="R2565" s="40"/>
    </row>
    <row r="2566" spans="1:18" x14ac:dyDescent="0.2">
      <c r="A2566" s="40" t="s">
        <v>2296</v>
      </c>
      <c r="B2566" s="40">
        <v>17.41</v>
      </c>
      <c r="C2566" s="40">
        <v>19.68</v>
      </c>
      <c r="D2566" s="40">
        <v>17.260000000000002</v>
      </c>
      <c r="E2566" s="40">
        <v>17.739999999999998</v>
      </c>
      <c r="K2566" s="40"/>
      <c r="P2566" s="40"/>
      <c r="Q2566" s="40"/>
      <c r="R2566" s="40"/>
    </row>
    <row r="2567" spans="1:18" x14ac:dyDescent="0.2">
      <c r="A2567" s="40" t="s">
        <v>2297</v>
      </c>
      <c r="B2567" s="40">
        <v>17.7</v>
      </c>
      <c r="C2567" s="40">
        <v>18.440000000000001</v>
      </c>
      <c r="D2567" s="40">
        <v>17.16</v>
      </c>
      <c r="E2567" s="40">
        <v>17.93</v>
      </c>
      <c r="K2567" s="40"/>
      <c r="P2567" s="40"/>
      <c r="Q2567" s="40"/>
      <c r="R2567" s="40"/>
    </row>
    <row r="2568" spans="1:18" x14ac:dyDescent="0.2">
      <c r="A2568" s="40" t="s">
        <v>2298</v>
      </c>
      <c r="B2568" s="40">
        <v>17.93</v>
      </c>
      <c r="C2568" s="40">
        <v>20.059999999999999</v>
      </c>
      <c r="D2568" s="40">
        <v>16.579999999999998</v>
      </c>
      <c r="E2568" s="40">
        <v>16.690000000000001</v>
      </c>
      <c r="K2568" s="40"/>
      <c r="P2568" s="40"/>
      <c r="Q2568" s="40"/>
      <c r="R2568" s="40"/>
    </row>
    <row r="2569" spans="1:18" x14ac:dyDescent="0.2">
      <c r="A2569" s="40" t="s">
        <v>2299</v>
      </c>
      <c r="B2569" s="40">
        <v>16.690000000000001</v>
      </c>
      <c r="C2569" s="40">
        <v>22.3</v>
      </c>
      <c r="D2569" s="40">
        <v>16.690000000000001</v>
      </c>
      <c r="E2569" s="40">
        <v>20.329999999999998</v>
      </c>
      <c r="K2569" s="40"/>
      <c r="P2569" s="40"/>
      <c r="Q2569" s="40"/>
      <c r="R2569" s="40"/>
    </row>
    <row r="2570" spans="1:18" x14ac:dyDescent="0.2">
      <c r="A2570" s="40" t="s">
        <v>2300</v>
      </c>
      <c r="B2570" s="40">
        <v>20.309999999999999</v>
      </c>
      <c r="C2570" s="40">
        <v>22.75</v>
      </c>
      <c r="D2570" s="40">
        <v>17.22</v>
      </c>
      <c r="E2570" s="40">
        <v>18.28</v>
      </c>
      <c r="K2570" s="40"/>
      <c r="P2570" s="40"/>
      <c r="Q2570" s="40"/>
      <c r="R2570" s="40"/>
    </row>
    <row r="2571" spans="1:18" x14ac:dyDescent="0.2">
      <c r="A2571" s="40" t="s">
        <v>2301</v>
      </c>
      <c r="B2571" s="40">
        <v>18.97</v>
      </c>
      <c r="C2571" s="40">
        <v>19.079999999999998</v>
      </c>
      <c r="D2571" s="40">
        <v>16.329999999999998</v>
      </c>
      <c r="E2571" s="40">
        <v>16.399999999999999</v>
      </c>
      <c r="K2571" s="40"/>
      <c r="P2571" s="40"/>
      <c r="Q2571" s="40"/>
      <c r="R2571" s="40"/>
    </row>
    <row r="2572" spans="1:18" x14ac:dyDescent="0.2">
      <c r="A2572" s="40" t="s">
        <v>2302</v>
      </c>
      <c r="B2572" s="40">
        <v>16.399999999999999</v>
      </c>
      <c r="C2572" s="40">
        <v>20.329999999999998</v>
      </c>
      <c r="D2572" s="40">
        <v>16.28</v>
      </c>
      <c r="E2572" s="40">
        <v>18.37</v>
      </c>
      <c r="K2572" s="40"/>
      <c r="P2572" s="40"/>
      <c r="Q2572" s="40"/>
      <c r="R2572" s="40"/>
    </row>
    <row r="2573" spans="1:18" x14ac:dyDescent="0.2">
      <c r="A2573" s="40" t="s">
        <v>2303</v>
      </c>
      <c r="B2573" s="40">
        <v>18.41</v>
      </c>
      <c r="C2573" s="40">
        <v>19.46</v>
      </c>
      <c r="D2573" s="40">
        <v>16.739999999999998</v>
      </c>
      <c r="E2573" s="40">
        <v>19.07</v>
      </c>
      <c r="K2573" s="40"/>
      <c r="P2573" s="40"/>
      <c r="Q2573" s="40"/>
      <c r="R2573" s="40"/>
    </row>
    <row r="2574" spans="1:18" x14ac:dyDescent="0.2">
      <c r="A2574" s="40" t="s">
        <v>2304</v>
      </c>
      <c r="B2574" s="40">
        <v>20.64</v>
      </c>
      <c r="C2574" s="40">
        <v>23.12</v>
      </c>
      <c r="D2574" s="40">
        <v>17.16</v>
      </c>
      <c r="E2574" s="40">
        <v>17.16</v>
      </c>
      <c r="K2574" s="40"/>
      <c r="P2574" s="40"/>
      <c r="Q2574" s="40"/>
      <c r="R2574" s="40"/>
    </row>
    <row r="2575" spans="1:18" x14ac:dyDescent="0.2">
      <c r="A2575" s="40" t="s">
        <v>2305</v>
      </c>
      <c r="B2575" s="40">
        <v>17.190000000000001</v>
      </c>
      <c r="C2575" s="40">
        <v>20.329999999999998</v>
      </c>
      <c r="D2575" s="40">
        <v>15.98</v>
      </c>
      <c r="E2575" s="40">
        <v>16.32</v>
      </c>
      <c r="K2575" s="40"/>
      <c r="P2575" s="40"/>
      <c r="Q2575" s="40"/>
      <c r="R2575" s="40"/>
    </row>
    <row r="2576" spans="1:18" x14ac:dyDescent="0.2">
      <c r="A2576" s="40" t="s">
        <v>2306</v>
      </c>
      <c r="B2576" s="40">
        <v>16.260000000000002</v>
      </c>
      <c r="C2576" s="40">
        <v>20.88</v>
      </c>
      <c r="D2576" s="40">
        <v>16.260000000000002</v>
      </c>
      <c r="E2576" s="40">
        <v>18.850000000000001</v>
      </c>
      <c r="K2576" s="40"/>
      <c r="P2576" s="40"/>
      <c r="Q2576" s="40"/>
      <c r="R2576" s="40"/>
    </row>
    <row r="2577" spans="1:18" x14ac:dyDescent="0.2">
      <c r="A2577" s="40" t="s">
        <v>2307</v>
      </c>
      <c r="B2577" s="40">
        <v>18.850000000000001</v>
      </c>
      <c r="C2577" s="40">
        <v>20.48</v>
      </c>
      <c r="D2577" s="40">
        <v>17.04</v>
      </c>
      <c r="E2577" s="40">
        <v>17.28</v>
      </c>
      <c r="K2577" s="40"/>
      <c r="P2577" s="40"/>
      <c r="Q2577" s="40"/>
      <c r="R2577" s="40"/>
    </row>
    <row r="2578" spans="1:18" x14ac:dyDescent="0.2">
      <c r="A2578" s="40" t="s">
        <v>2308</v>
      </c>
      <c r="B2578" s="40">
        <v>17.27</v>
      </c>
      <c r="C2578" s="40">
        <v>17.27</v>
      </c>
      <c r="D2578" s="40">
        <v>15.09</v>
      </c>
      <c r="E2578" s="40">
        <v>15.62</v>
      </c>
      <c r="K2578" s="40"/>
      <c r="P2578" s="40"/>
      <c r="Q2578" s="40"/>
      <c r="R2578" s="40"/>
    </row>
    <row r="2579" spans="1:18" x14ac:dyDescent="0.2">
      <c r="A2579" s="41">
        <v>44200</v>
      </c>
      <c r="B2579" s="40">
        <v>15.57</v>
      </c>
      <c r="C2579" s="40">
        <v>15.57</v>
      </c>
      <c r="D2579" s="40">
        <v>12.8</v>
      </c>
      <c r="E2579" s="40">
        <v>12.97</v>
      </c>
      <c r="K2579" s="40"/>
      <c r="P2579" s="40"/>
      <c r="Q2579" s="40"/>
      <c r="R2579" s="40"/>
    </row>
    <row r="2580" spans="1:18" x14ac:dyDescent="0.2">
      <c r="A2580" s="41">
        <v>44320</v>
      </c>
      <c r="B2580" s="40">
        <v>12.95</v>
      </c>
      <c r="C2580" s="40">
        <v>16.690000000000001</v>
      </c>
      <c r="D2580" s="40">
        <v>12.95</v>
      </c>
      <c r="E2580" s="40">
        <v>15.65</v>
      </c>
      <c r="K2580" s="40"/>
      <c r="P2580" s="40"/>
      <c r="Q2580" s="40"/>
      <c r="R2580" s="40"/>
    </row>
    <row r="2581" spans="1:18" x14ac:dyDescent="0.2">
      <c r="A2581" s="41">
        <v>44351</v>
      </c>
      <c r="B2581" s="40">
        <v>15.69</v>
      </c>
      <c r="C2581" s="40">
        <v>16.239999999999998</v>
      </c>
      <c r="D2581" s="40">
        <v>15.59</v>
      </c>
      <c r="E2581" s="40">
        <v>15.71</v>
      </c>
      <c r="K2581" s="40"/>
      <c r="P2581" s="40"/>
      <c r="Q2581" s="40"/>
      <c r="R2581" s="40"/>
    </row>
    <row r="2582" spans="1:18" x14ac:dyDescent="0.2">
      <c r="A2582" s="41">
        <v>44381</v>
      </c>
      <c r="B2582" s="40">
        <v>15.71</v>
      </c>
      <c r="C2582" s="40">
        <v>15.71</v>
      </c>
      <c r="D2582" s="40">
        <v>14.09</v>
      </c>
      <c r="E2582" s="40">
        <v>14.13</v>
      </c>
      <c r="K2582" s="40"/>
      <c r="P2582" s="40"/>
      <c r="Q2582" s="40"/>
      <c r="R2582" s="40"/>
    </row>
    <row r="2583" spans="1:18" x14ac:dyDescent="0.2">
      <c r="A2583" s="41">
        <v>44412</v>
      </c>
      <c r="B2583" s="40">
        <v>14.13</v>
      </c>
      <c r="C2583" s="40">
        <v>14.68</v>
      </c>
      <c r="D2583" s="40">
        <v>13.9</v>
      </c>
      <c r="E2583" s="40">
        <v>13.94</v>
      </c>
      <c r="K2583" s="40"/>
      <c r="P2583" s="40"/>
      <c r="Q2583" s="40"/>
      <c r="R2583" s="40"/>
    </row>
    <row r="2584" spans="1:18" x14ac:dyDescent="0.2">
      <c r="A2584" s="41">
        <v>44443</v>
      </c>
      <c r="B2584" s="40">
        <v>13.96</v>
      </c>
      <c r="C2584" s="40">
        <v>14.49</v>
      </c>
      <c r="D2584" s="40">
        <v>13.17</v>
      </c>
      <c r="E2584" s="40">
        <v>13.19</v>
      </c>
      <c r="K2584" s="40"/>
      <c r="P2584" s="40"/>
      <c r="Q2584" s="40"/>
      <c r="R2584" s="40"/>
    </row>
    <row r="2585" spans="1:18" x14ac:dyDescent="0.2">
      <c r="A2585" s="41">
        <v>44534</v>
      </c>
      <c r="B2585" s="40">
        <v>13.19</v>
      </c>
      <c r="C2585" s="40">
        <v>15.83</v>
      </c>
      <c r="D2585" s="40">
        <v>13.19</v>
      </c>
      <c r="E2585" s="40">
        <v>14.24</v>
      </c>
      <c r="K2585" s="40"/>
      <c r="P2585" s="40"/>
      <c r="Q2585" s="40"/>
      <c r="R2585" s="40"/>
    </row>
    <row r="2586" spans="1:18" x14ac:dyDescent="0.2">
      <c r="A2586" s="40" t="s">
        <v>2309</v>
      </c>
      <c r="B2586" s="40">
        <v>14.24</v>
      </c>
      <c r="C2586" s="40">
        <v>14.86</v>
      </c>
      <c r="D2586" s="40">
        <v>13.72</v>
      </c>
      <c r="E2586" s="40">
        <v>13.78</v>
      </c>
      <c r="K2586" s="40"/>
      <c r="P2586" s="40"/>
      <c r="Q2586" s="40"/>
      <c r="R2586" s="40"/>
    </row>
    <row r="2587" spans="1:18" x14ac:dyDescent="0.2">
      <c r="A2587" s="40" t="s">
        <v>2310</v>
      </c>
      <c r="B2587" s="40">
        <v>13.78</v>
      </c>
      <c r="C2587" s="40">
        <v>15.63</v>
      </c>
      <c r="D2587" s="40">
        <v>13.72</v>
      </c>
      <c r="E2587" s="40">
        <v>14.1</v>
      </c>
      <c r="K2587" s="40"/>
      <c r="P2587" s="40"/>
      <c r="Q2587" s="40"/>
      <c r="R2587" s="40"/>
    </row>
    <row r="2588" spans="1:18" x14ac:dyDescent="0.2">
      <c r="A2588" s="40" t="s">
        <v>2311</v>
      </c>
      <c r="B2588" s="40">
        <v>14.11</v>
      </c>
      <c r="C2588" s="40">
        <v>14.64</v>
      </c>
      <c r="D2588" s="40">
        <v>13.9</v>
      </c>
      <c r="E2588" s="40">
        <v>14.22</v>
      </c>
      <c r="K2588" s="40"/>
      <c r="P2588" s="40"/>
      <c r="Q2588" s="40"/>
      <c r="R2588" s="40"/>
    </row>
    <row r="2589" spans="1:18" x14ac:dyDescent="0.2">
      <c r="A2589" s="40" t="s">
        <v>2312</v>
      </c>
      <c r="B2589" s="40">
        <v>14.2</v>
      </c>
      <c r="C2589" s="40">
        <v>14.84</v>
      </c>
      <c r="D2589" s="40">
        <v>12.45</v>
      </c>
      <c r="E2589" s="40">
        <v>12.97</v>
      </c>
      <c r="K2589" s="40"/>
      <c r="P2589" s="40"/>
      <c r="Q2589" s="40"/>
      <c r="R2589" s="40"/>
    </row>
    <row r="2590" spans="1:18" x14ac:dyDescent="0.2">
      <c r="A2590" s="40" t="s">
        <v>2313</v>
      </c>
      <c r="B2590" s="40">
        <v>12.94</v>
      </c>
      <c r="C2590" s="40">
        <v>17.54</v>
      </c>
      <c r="D2590" s="40">
        <v>12.94</v>
      </c>
      <c r="E2590" s="40">
        <v>15.42</v>
      </c>
      <c r="K2590" s="40"/>
      <c r="P2590" s="40"/>
      <c r="Q2590" s="40"/>
      <c r="R2590" s="40"/>
    </row>
    <row r="2591" spans="1:18" x14ac:dyDescent="0.2">
      <c r="A2591" s="40" t="s">
        <v>2314</v>
      </c>
      <c r="B2591" s="40">
        <v>15.42</v>
      </c>
      <c r="C2591" s="40">
        <v>19.02</v>
      </c>
      <c r="D2591" s="40">
        <v>15.42</v>
      </c>
      <c r="E2591" s="40">
        <v>17.329999999999998</v>
      </c>
      <c r="K2591" s="40"/>
      <c r="P2591" s="40"/>
      <c r="Q2591" s="40"/>
      <c r="R2591" s="40"/>
    </row>
    <row r="2592" spans="1:18" x14ac:dyDescent="0.2">
      <c r="A2592" s="40" t="s">
        <v>2315</v>
      </c>
      <c r="B2592" s="40">
        <v>17.32</v>
      </c>
      <c r="C2592" s="40">
        <v>18.04</v>
      </c>
      <c r="D2592" s="40">
        <v>14.21</v>
      </c>
      <c r="E2592" s="40">
        <v>14.79</v>
      </c>
      <c r="K2592" s="40"/>
      <c r="P2592" s="40"/>
      <c r="Q2592" s="40"/>
      <c r="R2592" s="40"/>
    </row>
    <row r="2593" spans="1:18" x14ac:dyDescent="0.2">
      <c r="A2593" s="40" t="s">
        <v>2316</v>
      </c>
      <c r="B2593" s="40">
        <v>14.79</v>
      </c>
      <c r="C2593" s="40">
        <v>19.46</v>
      </c>
      <c r="D2593" s="40">
        <v>14.03</v>
      </c>
      <c r="E2593" s="40">
        <v>16.77</v>
      </c>
      <c r="K2593" s="40"/>
      <c r="P2593" s="40"/>
      <c r="Q2593" s="40"/>
      <c r="R2593" s="40"/>
    </row>
    <row r="2594" spans="1:18" x14ac:dyDescent="0.2">
      <c r="A2594" s="40" t="s">
        <v>2317</v>
      </c>
      <c r="B2594" s="40">
        <v>16.78</v>
      </c>
      <c r="C2594" s="40">
        <v>16.78</v>
      </c>
      <c r="D2594" s="40">
        <v>13.35</v>
      </c>
      <c r="E2594" s="40">
        <v>14.07</v>
      </c>
      <c r="K2594" s="40"/>
      <c r="P2594" s="40"/>
      <c r="Q2594" s="40"/>
      <c r="R2594" s="40"/>
    </row>
    <row r="2595" spans="1:18" x14ac:dyDescent="0.2">
      <c r="A2595" s="40" t="s">
        <v>2318</v>
      </c>
      <c r="B2595" s="40">
        <v>14.09</v>
      </c>
      <c r="C2595" s="40">
        <v>15.7</v>
      </c>
      <c r="D2595" s="40">
        <v>14.09</v>
      </c>
      <c r="E2595" s="40">
        <v>14.81</v>
      </c>
      <c r="K2595" s="40"/>
      <c r="P2595" s="40"/>
      <c r="Q2595" s="40"/>
      <c r="R2595" s="40"/>
    </row>
    <row r="2596" spans="1:18" x14ac:dyDescent="0.2">
      <c r="A2596" s="40" t="s">
        <v>2319</v>
      </c>
      <c r="B2596" s="40">
        <v>14.81</v>
      </c>
      <c r="C2596" s="40">
        <v>15.66</v>
      </c>
      <c r="D2596" s="40">
        <v>13.99</v>
      </c>
      <c r="E2596" s="40">
        <v>14.55</v>
      </c>
      <c r="K2596" s="40"/>
      <c r="P2596" s="40"/>
      <c r="Q2596" s="40"/>
      <c r="R2596" s="40"/>
    </row>
    <row r="2597" spans="1:18" x14ac:dyDescent="0.2">
      <c r="A2597" s="40" t="s">
        <v>2320</v>
      </c>
      <c r="B2597" s="40">
        <v>14.56</v>
      </c>
      <c r="C2597" s="40">
        <v>14.68</v>
      </c>
      <c r="D2597" s="40">
        <v>13.38</v>
      </c>
      <c r="E2597" s="40">
        <v>13.62</v>
      </c>
      <c r="K2597" s="40"/>
      <c r="P2597" s="40"/>
      <c r="Q2597" s="40"/>
      <c r="R2597" s="40"/>
    </row>
    <row r="2598" spans="1:18" x14ac:dyDescent="0.2">
      <c r="A2598" s="40" t="s">
        <v>2321</v>
      </c>
      <c r="B2598" s="40">
        <v>13.59</v>
      </c>
      <c r="C2598" s="40">
        <v>16.04</v>
      </c>
      <c r="D2598" s="40">
        <v>13.53</v>
      </c>
      <c r="E2598" s="40">
        <v>13.96</v>
      </c>
      <c r="K2598" s="40"/>
      <c r="P2598" s="40"/>
      <c r="Q2598" s="40"/>
      <c r="R2598" s="40"/>
    </row>
    <row r="2599" spans="1:18" x14ac:dyDescent="0.2">
      <c r="A2599" s="40" t="s">
        <v>2322</v>
      </c>
      <c r="B2599" s="40">
        <v>13.95</v>
      </c>
      <c r="C2599" s="40">
        <v>16.75</v>
      </c>
      <c r="D2599" s="40">
        <v>13.95</v>
      </c>
      <c r="E2599" s="40">
        <v>15.53</v>
      </c>
      <c r="K2599" s="40"/>
      <c r="P2599" s="40"/>
      <c r="Q2599" s="40"/>
      <c r="R2599" s="40"/>
    </row>
    <row r="2600" spans="1:18" x14ac:dyDescent="0.2">
      <c r="A2600" s="41">
        <v>44260</v>
      </c>
      <c r="B2600" s="40">
        <v>15.53</v>
      </c>
      <c r="C2600" s="40">
        <v>16.89</v>
      </c>
      <c r="D2600" s="40">
        <v>15.09</v>
      </c>
      <c r="E2600" s="40">
        <v>16.170000000000002</v>
      </c>
      <c r="K2600" s="40"/>
      <c r="P2600" s="40"/>
      <c r="Q2600" s="40"/>
      <c r="R2600" s="40"/>
    </row>
    <row r="2601" spans="1:18" x14ac:dyDescent="0.2">
      <c r="A2601" s="41">
        <v>44291</v>
      </c>
      <c r="B2601" s="40">
        <v>16.170000000000002</v>
      </c>
      <c r="C2601" s="40">
        <v>22</v>
      </c>
      <c r="D2601" s="40">
        <v>16.170000000000002</v>
      </c>
      <c r="E2601" s="40">
        <v>17.75</v>
      </c>
      <c r="K2601" s="40"/>
      <c r="P2601" s="40"/>
      <c r="Q2601" s="40"/>
      <c r="R2601" s="40"/>
    </row>
    <row r="2602" spans="1:18" x14ac:dyDescent="0.2">
      <c r="A2602" s="41">
        <v>44321</v>
      </c>
      <c r="B2602" s="40">
        <v>17.75</v>
      </c>
      <c r="C2602" s="40">
        <v>18.260000000000002</v>
      </c>
      <c r="D2602" s="40">
        <v>15.57</v>
      </c>
      <c r="E2602" s="40">
        <v>17.57</v>
      </c>
      <c r="K2602" s="40"/>
      <c r="P2602" s="40"/>
      <c r="Q2602" s="40"/>
      <c r="R2602" s="40"/>
    </row>
    <row r="2603" spans="1:18" x14ac:dyDescent="0.2">
      <c r="A2603" s="41">
        <v>44352</v>
      </c>
      <c r="B2603" s="40">
        <v>17.489999999999998</v>
      </c>
      <c r="C2603" s="40">
        <v>19.95</v>
      </c>
      <c r="D2603" s="40">
        <v>15.81</v>
      </c>
      <c r="E2603" s="40">
        <v>16.04</v>
      </c>
      <c r="K2603" s="40"/>
      <c r="P2603" s="40"/>
      <c r="Q2603" s="40"/>
      <c r="R2603" s="40"/>
    </row>
    <row r="2604" spans="1:18" x14ac:dyDescent="0.2">
      <c r="A2604" s="41">
        <v>44382</v>
      </c>
      <c r="B2604" s="40">
        <v>16.07</v>
      </c>
      <c r="C2604" s="40">
        <v>16.82</v>
      </c>
      <c r="D2604" s="40">
        <v>13.58</v>
      </c>
      <c r="E2604" s="40">
        <v>14.09</v>
      </c>
      <c r="K2604" s="40"/>
      <c r="P2604" s="40"/>
      <c r="Q2604" s="40"/>
      <c r="R2604" s="40"/>
    </row>
    <row r="2605" spans="1:18" x14ac:dyDescent="0.2">
      <c r="A2605" s="41">
        <v>44474</v>
      </c>
      <c r="B2605" s="40">
        <v>14.09</v>
      </c>
      <c r="C2605" s="40">
        <v>19.8</v>
      </c>
      <c r="D2605" s="40">
        <v>14.09</v>
      </c>
      <c r="E2605" s="40">
        <v>19.68</v>
      </c>
      <c r="K2605" s="40"/>
      <c r="P2605" s="40"/>
      <c r="Q2605" s="40"/>
      <c r="R2605" s="40"/>
    </row>
    <row r="2606" spans="1:18" x14ac:dyDescent="0.2">
      <c r="A2606" s="41">
        <v>44505</v>
      </c>
      <c r="B2606" s="40">
        <v>19.68</v>
      </c>
      <c r="C2606" s="40">
        <v>26.59</v>
      </c>
      <c r="D2606" s="40">
        <v>19.68</v>
      </c>
      <c r="E2606" s="40">
        <v>22.03</v>
      </c>
      <c r="K2606" s="40"/>
      <c r="P2606" s="40"/>
      <c r="Q2606" s="40"/>
      <c r="R2606" s="40"/>
    </row>
    <row r="2607" spans="1:18" x14ac:dyDescent="0.2">
      <c r="A2607" s="41">
        <v>44535</v>
      </c>
      <c r="B2607" s="40">
        <v>22.03</v>
      </c>
      <c r="C2607" s="40">
        <v>30.16</v>
      </c>
      <c r="D2607" s="40">
        <v>22.03</v>
      </c>
      <c r="E2607" s="40">
        <v>29.55</v>
      </c>
      <c r="K2607" s="40"/>
      <c r="P2607" s="40"/>
      <c r="Q2607" s="40"/>
      <c r="R2607" s="40"/>
    </row>
    <row r="2608" spans="1:18" x14ac:dyDescent="0.2">
      <c r="A2608" s="40" t="s">
        <v>2323</v>
      </c>
      <c r="B2608" s="40">
        <v>29.79</v>
      </c>
      <c r="C2608" s="40">
        <v>29.79</v>
      </c>
      <c r="D2608" s="40">
        <v>21.94</v>
      </c>
      <c r="E2608" s="40">
        <v>23.21</v>
      </c>
      <c r="K2608" s="40"/>
      <c r="P2608" s="40"/>
      <c r="Q2608" s="40"/>
      <c r="R2608" s="40"/>
    </row>
    <row r="2609" spans="1:18" x14ac:dyDescent="0.2">
      <c r="A2609" s="40" t="s">
        <v>2324</v>
      </c>
      <c r="B2609" s="40">
        <v>23.17</v>
      </c>
      <c r="C2609" s="40">
        <v>23.17</v>
      </c>
      <c r="D2609" s="40">
        <v>17.239999999999998</v>
      </c>
      <c r="E2609" s="40">
        <v>17.41</v>
      </c>
      <c r="K2609" s="40"/>
      <c r="P2609" s="40"/>
      <c r="Q2609" s="40"/>
      <c r="R2609" s="40"/>
    </row>
    <row r="2610" spans="1:18" x14ac:dyDescent="0.2">
      <c r="A2610" s="40" t="s">
        <v>2325</v>
      </c>
      <c r="B2610" s="40">
        <v>20.49</v>
      </c>
      <c r="C2610" s="40">
        <v>22.15</v>
      </c>
      <c r="D2610" s="40">
        <v>18.649999999999999</v>
      </c>
      <c r="E2610" s="40">
        <v>18.829999999999998</v>
      </c>
      <c r="K2610" s="40"/>
      <c r="P2610" s="40"/>
      <c r="Q2610" s="40"/>
      <c r="R2610" s="40"/>
    </row>
    <row r="2611" spans="1:18" x14ac:dyDescent="0.2">
      <c r="A2611" s="40" t="s">
        <v>2326</v>
      </c>
      <c r="B2611" s="40">
        <v>19.03</v>
      </c>
      <c r="C2611" s="40">
        <v>21.21</v>
      </c>
      <c r="D2611" s="40">
        <v>17.940000000000001</v>
      </c>
      <c r="E2611" s="40">
        <v>20.99</v>
      </c>
      <c r="K2611" s="40"/>
      <c r="P2611" s="40"/>
      <c r="Q2611" s="40"/>
      <c r="R2611" s="40"/>
    </row>
    <row r="2612" spans="1:18" x14ac:dyDescent="0.2">
      <c r="A2612" s="40" t="s">
        <v>2327</v>
      </c>
      <c r="B2612" s="40">
        <v>20.92</v>
      </c>
      <c r="C2612" s="40">
        <v>26.87</v>
      </c>
      <c r="D2612" s="40">
        <v>20.73</v>
      </c>
      <c r="E2612" s="40">
        <v>21.21</v>
      </c>
      <c r="K2612" s="40"/>
      <c r="P2612" s="40"/>
      <c r="Q2612" s="40"/>
      <c r="R2612" s="40"/>
    </row>
    <row r="2613" spans="1:18" x14ac:dyDescent="0.2">
      <c r="A2613" s="40" t="s">
        <v>2328</v>
      </c>
      <c r="B2613" s="40">
        <v>19.61</v>
      </c>
      <c r="C2613" s="40">
        <v>19.97</v>
      </c>
      <c r="D2613" s="40">
        <v>18.04</v>
      </c>
      <c r="E2613" s="40">
        <v>18.559999999999999</v>
      </c>
      <c r="K2613" s="40"/>
      <c r="P2613" s="40"/>
      <c r="Q2613" s="40"/>
      <c r="R2613" s="40"/>
    </row>
    <row r="2614" spans="1:18" x14ac:dyDescent="0.2">
      <c r="A2614" s="40" t="s">
        <v>2329</v>
      </c>
      <c r="B2614" s="40">
        <v>18.53</v>
      </c>
      <c r="C2614" s="40">
        <v>19.37</v>
      </c>
      <c r="D2614" s="40">
        <v>16.649999999999999</v>
      </c>
      <c r="E2614" s="40">
        <v>17.12</v>
      </c>
      <c r="K2614" s="40"/>
      <c r="P2614" s="40"/>
      <c r="Q2614" s="40"/>
      <c r="R2614" s="40"/>
    </row>
    <row r="2615" spans="1:18" x14ac:dyDescent="0.2">
      <c r="A2615" s="40" t="s">
        <v>2330</v>
      </c>
      <c r="B2615" s="40">
        <v>17.5</v>
      </c>
      <c r="C2615" s="40">
        <v>17.5</v>
      </c>
      <c r="D2615" s="40">
        <v>14.59</v>
      </c>
      <c r="E2615" s="40">
        <v>14.67</v>
      </c>
      <c r="K2615" s="40"/>
      <c r="P2615" s="40"/>
      <c r="Q2615" s="40"/>
      <c r="R2615" s="40"/>
    </row>
    <row r="2616" spans="1:18" x14ac:dyDescent="0.2">
      <c r="A2616" s="40" t="s">
        <v>2331</v>
      </c>
      <c r="B2616" s="40">
        <v>14.86</v>
      </c>
      <c r="C2616" s="40">
        <v>16.18</v>
      </c>
      <c r="D2616" s="40">
        <v>14.62</v>
      </c>
      <c r="E2616" s="40">
        <v>15.79</v>
      </c>
      <c r="K2616" s="40"/>
      <c r="P2616" s="40"/>
      <c r="Q2616" s="40"/>
      <c r="R2616" s="40"/>
    </row>
    <row r="2617" spans="1:18" x14ac:dyDescent="0.2">
      <c r="A2617" s="40" t="s">
        <v>2332</v>
      </c>
      <c r="B2617" s="40">
        <v>15.8</v>
      </c>
      <c r="C2617" s="40">
        <v>16.239999999999998</v>
      </c>
      <c r="D2617" s="40">
        <v>13.83</v>
      </c>
      <c r="E2617" s="40">
        <v>13.84</v>
      </c>
      <c r="K2617" s="40"/>
      <c r="P2617" s="40"/>
      <c r="Q2617" s="40"/>
      <c r="R2617" s="40"/>
    </row>
    <row r="2618" spans="1:18" x14ac:dyDescent="0.2">
      <c r="A2618" s="40" t="s">
        <v>2333</v>
      </c>
      <c r="B2618" s="40">
        <v>13.76</v>
      </c>
      <c r="C2618" s="40">
        <v>14.06</v>
      </c>
      <c r="D2618" s="40">
        <v>12.99</v>
      </c>
      <c r="E2618" s="40">
        <v>13.03</v>
      </c>
      <c r="K2618" s="40"/>
      <c r="P2618" s="40"/>
      <c r="Q2618" s="40"/>
      <c r="R2618" s="40"/>
    </row>
    <row r="2619" spans="1:18" x14ac:dyDescent="0.2">
      <c r="A2619" s="40" t="s">
        <v>2334</v>
      </c>
      <c r="B2619" s="40">
        <v>13.08</v>
      </c>
      <c r="C2619" s="40">
        <v>13.12</v>
      </c>
      <c r="D2619" s="40">
        <v>11.65</v>
      </c>
      <c r="E2619" s="40">
        <v>12.73</v>
      </c>
      <c r="K2619" s="40"/>
      <c r="P2619" s="40"/>
      <c r="Q2619" s="40"/>
      <c r="R2619" s="40"/>
    </row>
    <row r="2620" spans="1:18" x14ac:dyDescent="0.2">
      <c r="A2620" s="41">
        <v>44202</v>
      </c>
      <c r="B2620" s="40">
        <v>14.55</v>
      </c>
      <c r="C2620" s="40">
        <v>16.43</v>
      </c>
      <c r="D2620" s="40">
        <v>14.46</v>
      </c>
      <c r="E2620" s="40">
        <v>15</v>
      </c>
      <c r="K2620" s="40"/>
      <c r="P2620" s="40"/>
      <c r="Q2620" s="40"/>
      <c r="R2620" s="40"/>
    </row>
    <row r="2621" spans="1:18" x14ac:dyDescent="0.2">
      <c r="A2621" s="41">
        <v>44233</v>
      </c>
      <c r="B2621" s="40">
        <v>14.89</v>
      </c>
      <c r="C2621" s="40">
        <v>15.12</v>
      </c>
      <c r="D2621" s="40">
        <v>13.33</v>
      </c>
      <c r="E2621" s="40">
        <v>13.7</v>
      </c>
      <c r="K2621" s="40"/>
      <c r="P2621" s="40"/>
      <c r="Q2621" s="40"/>
      <c r="R2621" s="40"/>
    </row>
    <row r="2622" spans="1:18" x14ac:dyDescent="0.2">
      <c r="A2622" s="41">
        <v>44261</v>
      </c>
      <c r="B2622" s="40">
        <v>13.69</v>
      </c>
      <c r="C2622" s="40">
        <v>16.57</v>
      </c>
      <c r="D2622" s="40">
        <v>13.69</v>
      </c>
      <c r="E2622" s="40">
        <v>15.18</v>
      </c>
      <c r="K2622" s="40"/>
      <c r="P2622" s="40"/>
      <c r="Q2622" s="40"/>
      <c r="R2622" s="40"/>
    </row>
    <row r="2623" spans="1:18" x14ac:dyDescent="0.2">
      <c r="A2623" s="41">
        <v>44292</v>
      </c>
      <c r="B2623" s="40">
        <v>14.05</v>
      </c>
      <c r="C2623" s="40">
        <v>14.05</v>
      </c>
      <c r="D2623" s="40">
        <v>12.47</v>
      </c>
      <c r="E2623" s="40">
        <v>12.7</v>
      </c>
      <c r="K2623" s="40"/>
      <c r="P2623" s="40"/>
      <c r="Q2623" s="40"/>
      <c r="R2623" s="40"/>
    </row>
    <row r="2624" spans="1:18" x14ac:dyDescent="0.2">
      <c r="A2624" s="41">
        <v>44383</v>
      </c>
      <c r="B2624" s="40">
        <v>14.84</v>
      </c>
      <c r="C2624" s="40">
        <v>14.96</v>
      </c>
      <c r="D2624" s="40">
        <v>13.81</v>
      </c>
      <c r="E2624" s="40">
        <v>13.91</v>
      </c>
      <c r="K2624" s="40"/>
      <c r="P2624" s="40"/>
      <c r="Q2624" s="40"/>
      <c r="R2624" s="40"/>
    </row>
    <row r="2625" spans="1:18" x14ac:dyDescent="0.2">
      <c r="A2625" s="41">
        <v>44414</v>
      </c>
      <c r="B2625" s="40">
        <v>14.21</v>
      </c>
      <c r="C2625" s="40">
        <v>16.25</v>
      </c>
      <c r="D2625" s="40">
        <v>14.21</v>
      </c>
      <c r="E2625" s="40">
        <v>15.43</v>
      </c>
      <c r="K2625" s="40"/>
      <c r="P2625" s="40"/>
      <c r="Q2625" s="40"/>
      <c r="R2625" s="40"/>
    </row>
    <row r="2626" spans="1:18" x14ac:dyDescent="0.2">
      <c r="A2626" s="41">
        <v>44445</v>
      </c>
      <c r="B2626" s="40">
        <v>15.27</v>
      </c>
      <c r="C2626" s="40">
        <v>17.13</v>
      </c>
      <c r="D2626" s="40">
        <v>15.27</v>
      </c>
      <c r="E2626" s="40">
        <v>17.09</v>
      </c>
      <c r="K2626" s="40"/>
      <c r="P2626" s="40"/>
      <c r="Q2626" s="40"/>
      <c r="R2626" s="40"/>
    </row>
    <row r="2627" spans="1:18" x14ac:dyDescent="0.2">
      <c r="A2627" s="41">
        <v>44475</v>
      </c>
      <c r="B2627" s="40">
        <v>15.25</v>
      </c>
      <c r="C2627" s="40">
        <v>15.82</v>
      </c>
      <c r="D2627" s="40">
        <v>13.81</v>
      </c>
      <c r="E2627" s="40">
        <v>13.83</v>
      </c>
      <c r="K2627" s="40"/>
      <c r="P2627" s="40"/>
      <c r="Q2627" s="40"/>
      <c r="R2627" s="40"/>
    </row>
    <row r="2628" spans="1:18" x14ac:dyDescent="0.2">
      <c r="A2628" s="41">
        <v>44506</v>
      </c>
      <c r="B2628" s="40">
        <v>13.53</v>
      </c>
      <c r="C2628" s="40">
        <v>13.8</v>
      </c>
      <c r="D2628" s="40">
        <v>12.99</v>
      </c>
      <c r="E2628" s="40">
        <v>13.06</v>
      </c>
      <c r="K2628" s="40"/>
      <c r="P2628" s="40"/>
      <c r="Q2628" s="40"/>
      <c r="R2628" s="40"/>
    </row>
    <row r="2629" spans="1:18" x14ac:dyDescent="0.2">
      <c r="A2629" s="40" t="s">
        <v>2335</v>
      </c>
      <c r="B2629" s="40">
        <v>14.5</v>
      </c>
      <c r="C2629" s="40">
        <v>15.89</v>
      </c>
      <c r="D2629" s="40">
        <v>14.5</v>
      </c>
      <c r="E2629" s="40">
        <v>14.92</v>
      </c>
      <c r="K2629" s="40"/>
      <c r="P2629" s="40"/>
      <c r="Q2629" s="40"/>
      <c r="R2629" s="40"/>
    </row>
    <row r="2630" spans="1:18" x14ac:dyDescent="0.2">
      <c r="A2630" s="40" t="s">
        <v>2336</v>
      </c>
      <c r="B2630" s="40">
        <v>15.36</v>
      </c>
      <c r="C2630" s="40">
        <v>16.510000000000002</v>
      </c>
      <c r="D2630" s="40">
        <v>15.3</v>
      </c>
      <c r="E2630" s="40">
        <v>15.92</v>
      </c>
      <c r="K2630" s="40"/>
      <c r="P2630" s="40"/>
      <c r="Q2630" s="40"/>
      <c r="R2630" s="40"/>
    </row>
    <row r="2631" spans="1:18" x14ac:dyDescent="0.2">
      <c r="A2631" s="40" t="s">
        <v>2337</v>
      </c>
      <c r="B2631" s="40">
        <v>15.81</v>
      </c>
      <c r="C2631" s="40">
        <v>19.82</v>
      </c>
      <c r="D2631" s="40">
        <v>15.48</v>
      </c>
      <c r="E2631" s="40">
        <v>17.940000000000001</v>
      </c>
      <c r="K2631" s="40"/>
      <c r="P2631" s="40"/>
      <c r="Q2631" s="40"/>
      <c r="R2631" s="40"/>
    </row>
    <row r="2632" spans="1:18" x14ac:dyDescent="0.2">
      <c r="A2632" s="40" t="s">
        <v>2338</v>
      </c>
      <c r="B2632" s="40">
        <v>17.05</v>
      </c>
      <c r="C2632" s="40">
        <v>19.21</v>
      </c>
      <c r="D2632" s="40">
        <v>15.23</v>
      </c>
      <c r="E2632" s="40">
        <v>16.670000000000002</v>
      </c>
      <c r="K2632" s="40"/>
      <c r="P2632" s="40"/>
      <c r="Q2632" s="40"/>
      <c r="R2632" s="40"/>
    </row>
    <row r="2633" spans="1:18" x14ac:dyDescent="0.2">
      <c r="A2633" s="40" t="s">
        <v>2339</v>
      </c>
      <c r="B2633" s="40">
        <v>20.96</v>
      </c>
      <c r="C2633" s="40">
        <v>20.97</v>
      </c>
      <c r="D2633" s="40">
        <v>18.16</v>
      </c>
      <c r="E2633" s="40">
        <v>20.14</v>
      </c>
      <c r="K2633" s="40"/>
      <c r="P2633" s="40"/>
      <c r="Q2633" s="40"/>
      <c r="R2633" s="40"/>
    </row>
    <row r="2634" spans="1:18" x14ac:dyDescent="0.2">
      <c r="A2634" s="40" t="s">
        <v>2340</v>
      </c>
      <c r="B2634" s="40">
        <v>20.14</v>
      </c>
      <c r="C2634" s="40">
        <v>21.04</v>
      </c>
      <c r="D2634" s="40">
        <v>16.829999999999998</v>
      </c>
      <c r="E2634" s="40">
        <v>16.829999999999998</v>
      </c>
      <c r="K2634" s="40"/>
      <c r="P2634" s="40"/>
      <c r="Q2634" s="40"/>
      <c r="R2634" s="40"/>
    </row>
    <row r="2635" spans="1:18" x14ac:dyDescent="0.2">
      <c r="A2635" s="40" t="s">
        <v>2341</v>
      </c>
      <c r="B2635" s="40">
        <v>16.43</v>
      </c>
      <c r="C2635" s="40">
        <v>16.690000000000001</v>
      </c>
      <c r="D2635" s="40">
        <v>14.52</v>
      </c>
      <c r="E2635" s="40">
        <v>14.58</v>
      </c>
      <c r="K2635" s="40"/>
      <c r="P2635" s="40"/>
      <c r="Q2635" s="40"/>
      <c r="R2635" s="40"/>
    </row>
    <row r="2636" spans="1:18" x14ac:dyDescent="0.2">
      <c r="A2636" s="40" t="s">
        <v>2342</v>
      </c>
      <c r="B2636" s="40">
        <v>14.33</v>
      </c>
      <c r="C2636" s="40">
        <v>14.58</v>
      </c>
      <c r="D2636" s="40">
        <v>13.51</v>
      </c>
      <c r="E2636" s="40">
        <v>13.63</v>
      </c>
      <c r="K2636" s="40"/>
      <c r="P2636" s="40"/>
      <c r="Q2636" s="40"/>
      <c r="R2636" s="40"/>
    </row>
    <row r="2637" spans="1:18" x14ac:dyDescent="0.2">
      <c r="A2637" s="40" t="s">
        <v>2343</v>
      </c>
      <c r="B2637" s="40">
        <v>12.78</v>
      </c>
      <c r="C2637" s="40">
        <v>12.84</v>
      </c>
      <c r="D2637" s="40">
        <v>12.42</v>
      </c>
      <c r="E2637" s="40">
        <v>12.77</v>
      </c>
      <c r="K2637" s="40"/>
      <c r="P2637" s="40"/>
      <c r="Q2637" s="40"/>
      <c r="R2637" s="40"/>
    </row>
    <row r="2638" spans="1:18" x14ac:dyDescent="0.2">
      <c r="A2638" s="40" t="s">
        <v>2344</v>
      </c>
      <c r="B2638" s="40">
        <v>12.68</v>
      </c>
      <c r="C2638" s="40">
        <v>12.7</v>
      </c>
      <c r="D2638" s="40">
        <v>11.46</v>
      </c>
      <c r="E2638" s="40">
        <v>11.86</v>
      </c>
      <c r="K2638" s="40"/>
      <c r="P2638" s="40"/>
      <c r="Q2638" s="40"/>
      <c r="R2638" s="40"/>
    </row>
    <row r="2639" spans="1:18" x14ac:dyDescent="0.2">
      <c r="A2639" s="40" t="s">
        <v>2345</v>
      </c>
      <c r="B2639" s="40">
        <v>11.86</v>
      </c>
      <c r="C2639" s="40">
        <v>13.12</v>
      </c>
      <c r="D2639" s="40">
        <v>11.86</v>
      </c>
      <c r="E2639" s="40">
        <v>11.92</v>
      </c>
      <c r="K2639" s="40"/>
      <c r="P2639" s="40"/>
      <c r="Q2639" s="40"/>
      <c r="R2639" s="40"/>
    </row>
    <row r="2640" spans="1:18" x14ac:dyDescent="0.2">
      <c r="A2640" s="40" t="s">
        <v>2346</v>
      </c>
      <c r="B2640" s="40">
        <v>11.57</v>
      </c>
      <c r="C2640" s="40">
        <v>12.47</v>
      </c>
      <c r="D2640" s="40">
        <v>11.56</v>
      </c>
      <c r="E2640" s="40">
        <v>11.86</v>
      </c>
      <c r="K2640" s="40"/>
      <c r="P2640" s="40"/>
      <c r="Q2640" s="40"/>
      <c r="R2640" s="40"/>
    </row>
    <row r="2641" spans="1:18" x14ac:dyDescent="0.2">
      <c r="A2641" s="40" t="s">
        <v>2347</v>
      </c>
      <c r="B2641" s="40">
        <v>12.77</v>
      </c>
      <c r="C2641" s="40">
        <v>12.92</v>
      </c>
      <c r="D2641" s="40">
        <v>10.75</v>
      </c>
      <c r="E2641" s="40">
        <v>11.11</v>
      </c>
      <c r="K2641" s="40"/>
      <c r="P2641" s="40"/>
      <c r="Q2641" s="40"/>
      <c r="R2641" s="40"/>
    </row>
    <row r="2642" spans="1:18" x14ac:dyDescent="0.2">
      <c r="A2642" s="41">
        <v>44203</v>
      </c>
      <c r="B2642" s="40">
        <v>11.44</v>
      </c>
      <c r="C2642" s="40">
        <v>11.9</v>
      </c>
      <c r="D2642" s="40">
        <v>11.11</v>
      </c>
      <c r="E2642" s="40">
        <v>11.43</v>
      </c>
      <c r="K2642" s="40"/>
      <c r="P2642" s="40"/>
      <c r="Q2642" s="40"/>
      <c r="R2642" s="40"/>
    </row>
    <row r="2643" spans="1:18" x14ac:dyDescent="0.2">
      <c r="A2643" s="41">
        <v>44234</v>
      </c>
      <c r="B2643" s="40">
        <v>10.69</v>
      </c>
      <c r="C2643" s="40">
        <v>11.01</v>
      </c>
      <c r="D2643" s="40">
        <v>10.119999999999999</v>
      </c>
      <c r="E2643" s="40">
        <v>10.4</v>
      </c>
      <c r="K2643" s="40"/>
      <c r="P2643" s="40"/>
      <c r="Q2643" s="40"/>
      <c r="R2643" s="40"/>
    </row>
    <row r="2644" spans="1:18" x14ac:dyDescent="0.2">
      <c r="A2644" s="41">
        <v>44354</v>
      </c>
      <c r="B2644" s="40">
        <v>12.75</v>
      </c>
      <c r="C2644" s="40">
        <v>16.38</v>
      </c>
      <c r="D2644" s="40">
        <v>11.34</v>
      </c>
      <c r="E2644" s="40">
        <v>13.76</v>
      </c>
      <c r="K2644" s="40"/>
      <c r="P2644" s="40"/>
      <c r="Q2644" s="40"/>
      <c r="R2644" s="40"/>
    </row>
    <row r="2645" spans="1:18" x14ac:dyDescent="0.2">
      <c r="A2645" s="41">
        <v>44384</v>
      </c>
      <c r="B2645" s="40">
        <v>13.62</v>
      </c>
      <c r="C2645" s="40">
        <v>15.62</v>
      </c>
      <c r="D2645" s="40">
        <v>12.32</v>
      </c>
      <c r="E2645" s="40">
        <v>13.07</v>
      </c>
      <c r="K2645" s="40"/>
      <c r="P2645" s="40"/>
      <c r="Q2645" s="40"/>
      <c r="R2645" s="40"/>
    </row>
    <row r="2646" spans="1:18" x14ac:dyDescent="0.2">
      <c r="A2646" s="41">
        <v>44415</v>
      </c>
      <c r="B2646" s="40">
        <v>18.649999999999999</v>
      </c>
      <c r="C2646" s="40">
        <v>19.68</v>
      </c>
      <c r="D2646" s="40">
        <v>15.97</v>
      </c>
      <c r="E2646" s="40">
        <v>17.239999999999998</v>
      </c>
      <c r="K2646" s="40"/>
      <c r="P2646" s="40"/>
      <c r="Q2646" s="40"/>
      <c r="R2646" s="40"/>
    </row>
    <row r="2647" spans="1:18" x14ac:dyDescent="0.2">
      <c r="A2647" s="41">
        <v>44446</v>
      </c>
      <c r="B2647" s="40">
        <v>15.21</v>
      </c>
      <c r="C2647" s="40">
        <v>15.21</v>
      </c>
      <c r="D2647" s="40">
        <v>12.61</v>
      </c>
      <c r="E2647" s="40">
        <v>13.02</v>
      </c>
      <c r="K2647" s="40"/>
      <c r="P2647" s="40"/>
      <c r="Q2647" s="40"/>
      <c r="R2647" s="40"/>
    </row>
    <row r="2648" spans="1:18" x14ac:dyDescent="0.2">
      <c r="A2648" s="41">
        <v>44537</v>
      </c>
      <c r="B2648" s="40">
        <v>13.02</v>
      </c>
      <c r="C2648" s="40">
        <v>14.62</v>
      </c>
      <c r="D2648" s="40">
        <v>13.02</v>
      </c>
      <c r="E2648" s="40">
        <v>13.52</v>
      </c>
      <c r="K2648" s="40"/>
      <c r="P2648" s="40"/>
      <c r="Q2648" s="40"/>
      <c r="R2648" s="40"/>
    </row>
    <row r="2649" spans="1:18" x14ac:dyDescent="0.2">
      <c r="A2649" s="40" t="s">
        <v>2348</v>
      </c>
      <c r="B2649" s="40">
        <v>14.17</v>
      </c>
      <c r="C2649" s="40">
        <v>15.17</v>
      </c>
      <c r="D2649" s="40">
        <v>13.23</v>
      </c>
      <c r="E2649" s="40">
        <v>14.98</v>
      </c>
      <c r="K2649" s="40"/>
      <c r="P2649" s="40"/>
      <c r="Q2649" s="40"/>
      <c r="R2649" s="40"/>
    </row>
    <row r="2650" spans="1:18" x14ac:dyDescent="0.2">
      <c r="A2650" s="40" t="s">
        <v>2349</v>
      </c>
      <c r="B2650" s="40">
        <v>13.47</v>
      </c>
      <c r="C2650" s="40">
        <v>15.29</v>
      </c>
      <c r="D2650" s="40">
        <v>13.16</v>
      </c>
      <c r="E2650" s="40">
        <v>13.45</v>
      </c>
      <c r="K2650" s="40"/>
      <c r="P2650" s="40"/>
      <c r="Q2650" s="40"/>
      <c r="R2650" s="40"/>
    </row>
    <row r="2651" spans="1:18" x14ac:dyDescent="0.2">
      <c r="A2651" s="40" t="s">
        <v>2350</v>
      </c>
      <c r="B2651" s="40">
        <v>15.02</v>
      </c>
      <c r="C2651" s="40">
        <v>16.13</v>
      </c>
      <c r="D2651" s="40">
        <v>13.85</v>
      </c>
      <c r="E2651" s="40">
        <v>14.55</v>
      </c>
      <c r="K2651" s="40"/>
      <c r="P2651" s="40"/>
      <c r="Q2651" s="40"/>
      <c r="R2651" s="40"/>
    </row>
    <row r="2652" spans="1:18" x14ac:dyDescent="0.2">
      <c r="A2652" s="40" t="s">
        <v>2351</v>
      </c>
      <c r="B2652" s="40">
        <v>13.3</v>
      </c>
      <c r="C2652" s="40">
        <v>16.97</v>
      </c>
      <c r="D2652" s="40">
        <v>13.15</v>
      </c>
      <c r="E2652" s="40">
        <v>16.3</v>
      </c>
      <c r="K2652" s="40"/>
      <c r="P2652" s="40"/>
      <c r="Q2652" s="40"/>
      <c r="R2652" s="40"/>
    </row>
    <row r="2653" spans="1:18" x14ac:dyDescent="0.2">
      <c r="A2653" s="40" t="s">
        <v>2352</v>
      </c>
      <c r="B2653" s="40">
        <v>16.27</v>
      </c>
      <c r="C2653" s="40">
        <v>27.76</v>
      </c>
      <c r="D2653" s="40">
        <v>16.27</v>
      </c>
      <c r="E2653" s="40">
        <v>22.15</v>
      </c>
      <c r="K2653" s="40"/>
      <c r="P2653" s="40"/>
      <c r="Q2653" s="40"/>
      <c r="R2653" s="40"/>
    </row>
    <row r="2654" spans="1:18" x14ac:dyDescent="0.2">
      <c r="A2654" s="40" t="s">
        <v>2353</v>
      </c>
      <c r="B2654" s="40">
        <v>22.15</v>
      </c>
      <c r="C2654" s="40">
        <v>22.82</v>
      </c>
      <c r="D2654" s="40">
        <v>17.41</v>
      </c>
      <c r="E2654" s="40">
        <v>17.86</v>
      </c>
      <c r="K2654" s="40"/>
      <c r="P2654" s="40"/>
      <c r="Q2654" s="40"/>
      <c r="R2654" s="40"/>
    </row>
    <row r="2655" spans="1:18" x14ac:dyDescent="0.2">
      <c r="A2655" s="40" t="s">
        <v>2354</v>
      </c>
      <c r="B2655" s="40">
        <v>16.75</v>
      </c>
      <c r="C2655" s="40">
        <v>17.04</v>
      </c>
      <c r="D2655" s="40">
        <v>14.5</v>
      </c>
      <c r="E2655" s="40">
        <v>14.65</v>
      </c>
      <c r="K2655" s="40"/>
      <c r="P2655" s="40"/>
      <c r="Q2655" s="40"/>
      <c r="R2655" s="40"/>
    </row>
    <row r="2656" spans="1:18" x14ac:dyDescent="0.2">
      <c r="A2656" s="40" t="s">
        <v>2355</v>
      </c>
      <c r="B2656" s="40">
        <v>14.79</v>
      </c>
      <c r="C2656" s="40">
        <v>15.6</v>
      </c>
      <c r="D2656" s="40">
        <v>13.94</v>
      </c>
      <c r="E2656" s="40">
        <v>14.07</v>
      </c>
      <c r="K2656" s="40"/>
      <c r="P2656" s="40"/>
      <c r="Q2656" s="40"/>
      <c r="R2656" s="40"/>
    </row>
    <row r="2657" spans="1:18" x14ac:dyDescent="0.2">
      <c r="A2657" s="40" t="s">
        <v>2356</v>
      </c>
      <c r="B2657" s="40">
        <v>13.01</v>
      </c>
      <c r="C2657" s="40">
        <v>13.99</v>
      </c>
      <c r="D2657" s="40">
        <v>12.27</v>
      </c>
      <c r="E2657" s="40">
        <v>12.87</v>
      </c>
      <c r="K2657" s="40"/>
      <c r="P2657" s="40"/>
      <c r="Q2657" s="40"/>
      <c r="R2657" s="40"/>
    </row>
    <row r="2658" spans="1:18" x14ac:dyDescent="0.2">
      <c r="A2658" s="40" t="s">
        <v>2357</v>
      </c>
      <c r="B2658" s="40">
        <v>12.83</v>
      </c>
      <c r="C2658" s="40">
        <v>16.04</v>
      </c>
      <c r="D2658" s="40">
        <v>12.83</v>
      </c>
      <c r="E2658" s="40">
        <v>14.01</v>
      </c>
      <c r="K2658" s="40"/>
      <c r="P2658" s="40"/>
      <c r="Q2658" s="40"/>
      <c r="R2658" s="40"/>
    </row>
    <row r="2659" spans="1:18" x14ac:dyDescent="0.2">
      <c r="A2659" s="40" t="s">
        <v>2358</v>
      </c>
      <c r="B2659" s="40">
        <v>15.39</v>
      </c>
      <c r="C2659" s="40">
        <v>18.96</v>
      </c>
      <c r="D2659" s="40">
        <v>14.72</v>
      </c>
      <c r="E2659" s="40">
        <v>17.16</v>
      </c>
      <c r="K2659" s="40"/>
      <c r="P2659" s="40"/>
      <c r="Q2659" s="40"/>
      <c r="R2659" s="40"/>
    </row>
    <row r="2660" spans="1:18" x14ac:dyDescent="0.2">
      <c r="A2660" s="40" t="s">
        <v>2359</v>
      </c>
      <c r="B2660" s="40">
        <v>15.91</v>
      </c>
      <c r="C2660" s="40">
        <v>17.079999999999998</v>
      </c>
      <c r="D2660" s="40">
        <v>13.81</v>
      </c>
      <c r="E2660" s="40">
        <v>14.82</v>
      </c>
      <c r="K2660" s="40"/>
      <c r="P2660" s="40"/>
      <c r="Q2660" s="40"/>
      <c r="R2660" s="40"/>
    </row>
    <row r="2661" spans="1:18" x14ac:dyDescent="0.2">
      <c r="A2661" s="40" t="s">
        <v>2360</v>
      </c>
      <c r="B2661" s="40">
        <v>13.86</v>
      </c>
      <c r="C2661" s="40">
        <v>13.92</v>
      </c>
      <c r="D2661" s="40">
        <v>13.06</v>
      </c>
      <c r="E2661" s="40">
        <v>13.65</v>
      </c>
      <c r="K2661" s="40"/>
      <c r="P2661" s="40"/>
      <c r="Q2661" s="40"/>
      <c r="R2661" s="40"/>
    </row>
    <row r="2662" spans="1:18" x14ac:dyDescent="0.2">
      <c r="A2662" s="40" t="s">
        <v>2361</v>
      </c>
      <c r="B2662" s="40">
        <v>15.37</v>
      </c>
      <c r="C2662" s="40">
        <v>15.64</v>
      </c>
      <c r="D2662" s="40">
        <v>13.81</v>
      </c>
      <c r="E2662" s="40">
        <v>14.36</v>
      </c>
      <c r="K2662" s="40"/>
      <c r="P2662" s="40"/>
      <c r="Q2662" s="40"/>
      <c r="R2662" s="40"/>
    </row>
    <row r="2663" spans="1:18" x14ac:dyDescent="0.2">
      <c r="A2663" s="41">
        <v>44235</v>
      </c>
      <c r="B2663" s="40">
        <v>15.43</v>
      </c>
      <c r="C2663" s="40">
        <v>17.059999999999999</v>
      </c>
      <c r="D2663" s="40">
        <v>14.73</v>
      </c>
      <c r="E2663" s="40">
        <v>16.21</v>
      </c>
      <c r="K2663" s="40"/>
      <c r="P2663" s="40"/>
      <c r="Q2663" s="40"/>
      <c r="R2663" s="40"/>
    </row>
    <row r="2664" spans="1:18" x14ac:dyDescent="0.2">
      <c r="A2664" s="41">
        <v>44263</v>
      </c>
      <c r="B2664" s="40">
        <v>15.66</v>
      </c>
      <c r="C2664" s="40">
        <v>17.920000000000002</v>
      </c>
      <c r="D2664" s="40">
        <v>13.26</v>
      </c>
      <c r="E2664" s="40">
        <v>13.68</v>
      </c>
      <c r="K2664" s="40"/>
      <c r="P2664" s="40"/>
      <c r="Q2664" s="40"/>
      <c r="R2664" s="40"/>
    </row>
    <row r="2665" spans="1:18" x14ac:dyDescent="0.2">
      <c r="A2665" s="41">
        <v>44294</v>
      </c>
      <c r="B2665" s="40">
        <v>14.91</v>
      </c>
      <c r="C2665" s="40">
        <v>15.02</v>
      </c>
      <c r="D2665" s="40">
        <v>13.29</v>
      </c>
      <c r="E2665" s="40">
        <v>13.62</v>
      </c>
      <c r="K2665" s="40"/>
      <c r="P2665" s="40"/>
      <c r="Q2665" s="40"/>
      <c r="R2665" s="40"/>
    </row>
    <row r="2666" spans="1:18" x14ac:dyDescent="0.2">
      <c r="A2666" s="41">
        <v>44324</v>
      </c>
      <c r="B2666" s="40">
        <v>13.77</v>
      </c>
      <c r="C2666" s="40">
        <v>13.85</v>
      </c>
      <c r="D2666" s="40">
        <v>13.1</v>
      </c>
      <c r="E2666" s="40">
        <v>13.25</v>
      </c>
      <c r="K2666" s="40"/>
      <c r="P2666" s="40"/>
      <c r="Q2666" s="40"/>
      <c r="R2666" s="40"/>
    </row>
    <row r="2667" spans="1:18" x14ac:dyDescent="0.2">
      <c r="A2667" s="41">
        <v>44355</v>
      </c>
      <c r="B2667" s="40">
        <v>12.66</v>
      </c>
      <c r="C2667" s="40">
        <v>13.08</v>
      </c>
      <c r="D2667" s="40">
        <v>10.91</v>
      </c>
      <c r="E2667" s="40">
        <v>10.96</v>
      </c>
      <c r="K2667" s="40"/>
      <c r="P2667" s="40"/>
      <c r="Q2667" s="40"/>
      <c r="R2667" s="40"/>
    </row>
    <row r="2668" spans="1:18" x14ac:dyDescent="0.2">
      <c r="A2668" s="41">
        <v>44447</v>
      </c>
      <c r="B2668" s="40">
        <v>13.18</v>
      </c>
      <c r="C2668" s="40">
        <v>13.82</v>
      </c>
      <c r="D2668" s="40">
        <v>12.51</v>
      </c>
      <c r="E2668" s="40">
        <v>12.75</v>
      </c>
      <c r="K2668" s="40"/>
      <c r="P2668" s="40"/>
      <c r="Q2668" s="40"/>
      <c r="R2668" s="40"/>
    </row>
    <row r="2669" spans="1:18" x14ac:dyDescent="0.2">
      <c r="A2669" s="41">
        <v>44477</v>
      </c>
      <c r="B2669" s="40">
        <v>12.75</v>
      </c>
      <c r="C2669" s="40">
        <v>13.62</v>
      </c>
      <c r="D2669" s="40">
        <v>12.54</v>
      </c>
      <c r="E2669" s="40">
        <v>13.23</v>
      </c>
      <c r="K2669" s="40"/>
      <c r="P2669" s="40"/>
      <c r="Q2669" s="40"/>
      <c r="R2669" s="40"/>
    </row>
    <row r="2670" spans="1:18" x14ac:dyDescent="0.2">
      <c r="A2670" s="41">
        <v>44508</v>
      </c>
      <c r="B2670" s="40">
        <v>12.52</v>
      </c>
      <c r="C2670" s="40">
        <v>12.65</v>
      </c>
      <c r="D2670" s="40">
        <v>10.96</v>
      </c>
      <c r="E2670" s="40">
        <v>11.58</v>
      </c>
      <c r="K2670" s="40"/>
      <c r="P2670" s="40"/>
      <c r="Q2670" s="40"/>
      <c r="R2670" s="40"/>
    </row>
    <row r="2671" spans="1:18" x14ac:dyDescent="0.2">
      <c r="A2671" s="41">
        <v>44538</v>
      </c>
      <c r="B2671" s="40">
        <v>12.4</v>
      </c>
      <c r="C2671" s="40">
        <v>12.91</v>
      </c>
      <c r="D2671" s="40">
        <v>11.53</v>
      </c>
      <c r="E2671" s="40">
        <v>11.54</v>
      </c>
      <c r="K2671" s="40"/>
      <c r="P2671" s="40"/>
      <c r="Q2671" s="40"/>
      <c r="R2671" s="40"/>
    </row>
    <row r="2672" spans="1:18" x14ac:dyDescent="0.2">
      <c r="A2672" s="40" t="s">
        <v>2362</v>
      </c>
      <c r="B2672" s="40">
        <v>11.65</v>
      </c>
      <c r="C2672" s="40">
        <v>11.78</v>
      </c>
      <c r="D2672" s="40">
        <v>10.91</v>
      </c>
      <c r="E2672" s="40">
        <v>11.21</v>
      </c>
      <c r="K2672" s="40"/>
      <c r="P2672" s="40"/>
      <c r="Q2672" s="40"/>
      <c r="R2672" s="40"/>
    </row>
    <row r="2673" spans="1:18" x14ac:dyDescent="0.2">
      <c r="A2673" s="40" t="s">
        <v>2363</v>
      </c>
      <c r="B2673" s="40">
        <v>14.6</v>
      </c>
      <c r="C2673" s="40">
        <v>15.72</v>
      </c>
      <c r="D2673" s="40">
        <v>12.79</v>
      </c>
      <c r="E2673" s="40">
        <v>13.07</v>
      </c>
      <c r="K2673" s="40"/>
      <c r="P2673" s="40"/>
      <c r="Q2673" s="40"/>
      <c r="R2673" s="40"/>
    </row>
    <row r="2674" spans="1:18" x14ac:dyDescent="0.2">
      <c r="A2674" s="40" t="s">
        <v>2364</v>
      </c>
      <c r="B2674" s="40">
        <v>15.43</v>
      </c>
      <c r="C2674" s="40">
        <v>19.579999999999998</v>
      </c>
      <c r="D2674" s="40">
        <v>14.6</v>
      </c>
      <c r="E2674" s="40">
        <v>16.29</v>
      </c>
      <c r="K2674" s="40"/>
      <c r="P2674" s="40"/>
      <c r="Q2674" s="40"/>
      <c r="R2674" s="40"/>
    </row>
    <row r="2675" spans="1:18" x14ac:dyDescent="0.2">
      <c r="A2675" s="40" t="s">
        <v>2365</v>
      </c>
      <c r="B2675" s="40">
        <v>17.03</v>
      </c>
      <c r="C2675" s="40">
        <v>23.18</v>
      </c>
      <c r="D2675" s="40">
        <v>15.05</v>
      </c>
      <c r="E2675" s="40">
        <v>23.12</v>
      </c>
      <c r="K2675" s="40"/>
      <c r="P2675" s="40"/>
      <c r="Q2675" s="40"/>
      <c r="R2675" s="40"/>
    </row>
    <row r="2676" spans="1:18" x14ac:dyDescent="0.2">
      <c r="A2676" s="40" t="s">
        <v>2366</v>
      </c>
      <c r="B2676" s="40">
        <v>23.33</v>
      </c>
      <c r="C2676" s="40">
        <v>24.03</v>
      </c>
      <c r="D2676" s="40">
        <v>19.82</v>
      </c>
      <c r="E2676" s="40">
        <v>21.24</v>
      </c>
      <c r="K2676" s="40"/>
      <c r="P2676" s="40"/>
      <c r="Q2676" s="40"/>
      <c r="R2676" s="40"/>
    </row>
    <row r="2677" spans="1:18" x14ac:dyDescent="0.2">
      <c r="A2677" s="40" t="s">
        <v>2367</v>
      </c>
      <c r="B2677" s="40">
        <v>21.1</v>
      </c>
      <c r="C2677" s="40">
        <v>21.1</v>
      </c>
      <c r="D2677" s="40">
        <v>14.7</v>
      </c>
      <c r="E2677" s="40">
        <v>15.1</v>
      </c>
      <c r="K2677" s="40"/>
      <c r="P2677" s="40"/>
      <c r="Q2677" s="40"/>
      <c r="R2677" s="40"/>
    </row>
    <row r="2678" spans="1:18" x14ac:dyDescent="0.2">
      <c r="A2678" s="40" t="s">
        <v>2368</v>
      </c>
      <c r="B2678" s="40">
        <v>15.49</v>
      </c>
      <c r="C2678" s="40">
        <v>15.49</v>
      </c>
      <c r="D2678" s="40">
        <v>13.91</v>
      </c>
      <c r="E2678" s="40">
        <v>14.02</v>
      </c>
      <c r="K2678" s="40"/>
      <c r="P2678" s="40"/>
      <c r="Q2678" s="40"/>
      <c r="R2678" s="40"/>
    </row>
    <row r="2679" spans="1:18" x14ac:dyDescent="0.2">
      <c r="A2679" s="40" t="s">
        <v>2369</v>
      </c>
      <c r="B2679" s="40">
        <v>14.15</v>
      </c>
      <c r="C2679" s="40">
        <v>14.53</v>
      </c>
      <c r="D2679" s="40">
        <v>13.58</v>
      </c>
      <c r="E2679" s="40">
        <v>13.94</v>
      </c>
      <c r="K2679" s="40"/>
      <c r="P2679" s="40"/>
      <c r="Q2679" s="40"/>
      <c r="R2679" s="40"/>
    </row>
    <row r="2680" spans="1:18" x14ac:dyDescent="0.2">
      <c r="A2680" s="40" t="s">
        <v>2370</v>
      </c>
      <c r="B2680" s="40">
        <v>14.02</v>
      </c>
      <c r="C2680" s="40">
        <v>14.03</v>
      </c>
      <c r="D2680" s="40">
        <v>12.58</v>
      </c>
      <c r="E2680" s="40">
        <v>12.99</v>
      </c>
      <c r="K2680" s="40"/>
      <c r="P2680" s="40"/>
      <c r="Q2680" s="40"/>
      <c r="R2680" s="40"/>
    </row>
    <row r="2681" spans="1:18" x14ac:dyDescent="0.2">
      <c r="A2681" s="40" t="s">
        <v>2371</v>
      </c>
      <c r="B2681" s="40">
        <v>14.21</v>
      </c>
      <c r="C2681" s="40">
        <v>17.87</v>
      </c>
      <c r="D2681" s="40">
        <v>13.88</v>
      </c>
      <c r="E2681" s="40">
        <v>17.11</v>
      </c>
      <c r="K2681" s="40"/>
      <c r="P2681" s="40"/>
      <c r="Q2681" s="40"/>
      <c r="R2681" s="40"/>
    </row>
    <row r="2682" spans="1:18" x14ac:dyDescent="0.2">
      <c r="A2682" s="40" t="s">
        <v>2372</v>
      </c>
      <c r="B2682" s="40">
        <v>17.11</v>
      </c>
      <c r="C2682" s="40">
        <v>17.579999999999998</v>
      </c>
      <c r="D2682" s="40">
        <v>12.07</v>
      </c>
      <c r="E2682" s="40">
        <v>12.32</v>
      </c>
      <c r="K2682" s="40"/>
      <c r="P2682" s="40"/>
      <c r="Q2682" s="40"/>
      <c r="R2682" s="40"/>
    </row>
    <row r="2683" spans="1:18" x14ac:dyDescent="0.2">
      <c r="A2683" s="40" t="s">
        <v>2373</v>
      </c>
      <c r="B2683" s="40">
        <v>12.39</v>
      </c>
      <c r="C2683" s="40">
        <v>12.97</v>
      </c>
      <c r="D2683" s="40">
        <v>11.79</v>
      </c>
      <c r="E2683" s="40">
        <v>12</v>
      </c>
      <c r="K2683" s="40"/>
      <c r="P2683" s="40"/>
      <c r="Q2683" s="40"/>
      <c r="R2683" s="40"/>
    </row>
    <row r="2684" spans="1:18" x14ac:dyDescent="0.2">
      <c r="A2684" s="40" t="s">
        <v>2374</v>
      </c>
      <c r="B2684" s="40">
        <v>12.55</v>
      </c>
      <c r="C2684" s="40">
        <v>13.35</v>
      </c>
      <c r="D2684" s="40">
        <v>12.01</v>
      </c>
      <c r="E2684" s="40">
        <v>12.75</v>
      </c>
      <c r="K2684" s="40"/>
      <c r="P2684" s="40"/>
      <c r="Q2684" s="40"/>
      <c r="R2684" s="40"/>
    </row>
    <row r="2685" spans="1:18" x14ac:dyDescent="0.2">
      <c r="A2685" s="41">
        <v>44205</v>
      </c>
      <c r="B2685" s="40">
        <v>12.46</v>
      </c>
      <c r="C2685" s="40">
        <v>12.76</v>
      </c>
      <c r="D2685" s="40">
        <v>11.46</v>
      </c>
      <c r="E2685" s="40">
        <v>11.75</v>
      </c>
      <c r="K2685" s="40"/>
      <c r="P2685" s="40"/>
      <c r="Q2685" s="40"/>
      <c r="R2685" s="40"/>
    </row>
    <row r="2686" spans="1:18" x14ac:dyDescent="0.2">
      <c r="A2686" s="41">
        <v>44236</v>
      </c>
      <c r="B2686" s="40">
        <v>11.81</v>
      </c>
      <c r="C2686" s="40">
        <v>13.69</v>
      </c>
      <c r="D2686" s="40">
        <v>11.64</v>
      </c>
      <c r="E2686" s="40">
        <v>12.73</v>
      </c>
      <c r="K2686" s="40"/>
      <c r="P2686" s="40"/>
      <c r="Q2686" s="40"/>
      <c r="R2686" s="40"/>
    </row>
    <row r="2687" spans="1:18" x14ac:dyDescent="0.2">
      <c r="A2687" s="41">
        <v>44264</v>
      </c>
      <c r="B2687" s="40">
        <v>13.29</v>
      </c>
      <c r="C2687" s="40">
        <v>13.65</v>
      </c>
      <c r="D2687" s="40">
        <v>11.15</v>
      </c>
      <c r="E2687" s="40">
        <v>11.66</v>
      </c>
      <c r="K2687" s="40"/>
      <c r="P2687" s="40"/>
      <c r="Q2687" s="40"/>
      <c r="R2687" s="40"/>
    </row>
    <row r="2688" spans="1:18" x14ac:dyDescent="0.2">
      <c r="A2688" s="41">
        <v>44386</v>
      </c>
      <c r="B2688" s="40">
        <v>11.66</v>
      </c>
      <c r="C2688" s="40">
        <v>15.89</v>
      </c>
      <c r="D2688" s="40">
        <v>11.66</v>
      </c>
      <c r="E2688" s="40">
        <v>15.33</v>
      </c>
      <c r="K2688" s="40"/>
      <c r="P2688" s="40"/>
      <c r="Q2688" s="40"/>
      <c r="R2688" s="40"/>
    </row>
    <row r="2689" spans="1:18" x14ac:dyDescent="0.2">
      <c r="A2689" s="41">
        <v>44417</v>
      </c>
      <c r="B2689" s="40">
        <v>16.34</v>
      </c>
      <c r="C2689" s="40">
        <v>17.72</v>
      </c>
      <c r="D2689" s="40">
        <v>14.24</v>
      </c>
      <c r="E2689" s="40">
        <v>14.75</v>
      </c>
      <c r="K2689" s="40"/>
      <c r="P2689" s="40"/>
      <c r="Q2689" s="40"/>
      <c r="R2689" s="40"/>
    </row>
    <row r="2690" spans="1:18" x14ac:dyDescent="0.2">
      <c r="A2690" s="41">
        <v>44448</v>
      </c>
      <c r="B2690" s="40">
        <v>15.39</v>
      </c>
      <c r="C2690" s="40">
        <v>17.7</v>
      </c>
      <c r="D2690" s="40">
        <v>13.74</v>
      </c>
      <c r="E2690" s="40">
        <v>16.55</v>
      </c>
      <c r="K2690" s="40"/>
      <c r="P2690" s="40"/>
      <c r="Q2690" s="40"/>
      <c r="R2690" s="40"/>
    </row>
    <row r="2691" spans="1:18" x14ac:dyDescent="0.2">
      <c r="A2691" s="41">
        <v>44478</v>
      </c>
      <c r="B2691" s="40">
        <v>13.72</v>
      </c>
      <c r="C2691" s="40">
        <v>22.68</v>
      </c>
      <c r="D2691" s="40">
        <v>13.57</v>
      </c>
      <c r="E2691" s="40">
        <v>22.58</v>
      </c>
      <c r="K2691" s="40"/>
      <c r="P2691" s="40"/>
      <c r="Q2691" s="40"/>
      <c r="R2691" s="40"/>
    </row>
    <row r="2692" spans="1:18" x14ac:dyDescent="0.2">
      <c r="A2692" s="40" t="s">
        <v>2375</v>
      </c>
      <c r="B2692" s="40">
        <v>22.53</v>
      </c>
      <c r="C2692" s="40">
        <v>23.1</v>
      </c>
      <c r="D2692" s="40">
        <v>17.98</v>
      </c>
      <c r="E2692" s="40">
        <v>20.2</v>
      </c>
      <c r="K2692" s="40"/>
      <c r="P2692" s="40"/>
      <c r="Q2692" s="40"/>
      <c r="R2692" s="40"/>
    </row>
    <row r="2693" spans="1:18" x14ac:dyDescent="0.2">
      <c r="A2693" s="40" t="s">
        <v>2376</v>
      </c>
      <c r="B2693" s="40">
        <v>18.13</v>
      </c>
      <c r="C2693" s="40">
        <v>21.41</v>
      </c>
      <c r="D2693" s="40">
        <v>17.96</v>
      </c>
      <c r="E2693" s="40">
        <v>19.43</v>
      </c>
      <c r="K2693" s="40"/>
      <c r="P2693" s="40"/>
      <c r="Q2693" s="40"/>
      <c r="R2693" s="40"/>
    </row>
    <row r="2694" spans="1:18" x14ac:dyDescent="0.2">
      <c r="A2694" s="40" t="s">
        <v>2377</v>
      </c>
      <c r="B2694" s="40">
        <v>19</v>
      </c>
      <c r="C2694" s="40">
        <v>20.2</v>
      </c>
      <c r="D2694" s="40">
        <v>15.93</v>
      </c>
      <c r="E2694" s="40">
        <v>16.2</v>
      </c>
      <c r="K2694" s="40"/>
      <c r="P2694" s="40"/>
      <c r="Q2694" s="40"/>
      <c r="R2694" s="40"/>
    </row>
    <row r="2695" spans="1:18" x14ac:dyDescent="0.2">
      <c r="A2695" s="40" t="s">
        <v>2378</v>
      </c>
      <c r="B2695" s="40">
        <v>17.45</v>
      </c>
      <c r="C2695" s="40">
        <v>19.23</v>
      </c>
      <c r="D2695" s="40">
        <v>15.47</v>
      </c>
      <c r="E2695" s="40">
        <v>16.64</v>
      </c>
      <c r="K2695" s="40"/>
      <c r="P2695" s="40"/>
      <c r="Q2695" s="40"/>
      <c r="R2695" s="40"/>
    </row>
    <row r="2696" spans="1:18" x14ac:dyDescent="0.2">
      <c r="A2696" s="40" t="s">
        <v>2379</v>
      </c>
      <c r="B2696" s="40">
        <v>16.93</v>
      </c>
      <c r="C2696" s="40">
        <v>20.99</v>
      </c>
      <c r="D2696" s="40">
        <v>16.579999999999998</v>
      </c>
      <c r="E2696" s="40">
        <v>19.66</v>
      </c>
      <c r="K2696" s="40"/>
      <c r="P2696" s="40"/>
      <c r="Q2696" s="40"/>
      <c r="R2696" s="40"/>
    </row>
    <row r="2697" spans="1:18" x14ac:dyDescent="0.2">
      <c r="A2697" s="40" t="s">
        <v>2380</v>
      </c>
      <c r="B2697" s="40">
        <v>19.670000000000002</v>
      </c>
      <c r="C2697" s="40">
        <v>32.96</v>
      </c>
      <c r="D2697" s="40">
        <v>19.670000000000002</v>
      </c>
      <c r="E2697" s="40">
        <v>27.7</v>
      </c>
      <c r="K2697" s="40"/>
      <c r="P2697" s="40"/>
      <c r="Q2697" s="40"/>
      <c r="R2697" s="40"/>
    </row>
    <row r="2698" spans="1:18" x14ac:dyDescent="0.2">
      <c r="A2698" s="40" t="s">
        <v>2381</v>
      </c>
      <c r="B2698" s="40">
        <v>24.87</v>
      </c>
      <c r="C2698" s="40">
        <v>26.9</v>
      </c>
      <c r="D2698" s="40">
        <v>22.77</v>
      </c>
      <c r="E2698" s="40">
        <v>25.13</v>
      </c>
      <c r="K2698" s="40"/>
      <c r="P2698" s="40"/>
      <c r="Q2698" s="40"/>
      <c r="R2698" s="40"/>
    </row>
    <row r="2699" spans="1:18" x14ac:dyDescent="0.2">
      <c r="A2699" s="40" t="s">
        <v>2382</v>
      </c>
      <c r="B2699" s="40">
        <v>23.04</v>
      </c>
      <c r="C2699" s="40">
        <v>23.59</v>
      </c>
      <c r="D2699" s="40">
        <v>19.28</v>
      </c>
      <c r="E2699" s="40">
        <v>19.46</v>
      </c>
      <c r="K2699" s="40"/>
      <c r="P2699" s="40"/>
      <c r="Q2699" s="40"/>
      <c r="R2699" s="40"/>
    </row>
    <row r="2700" spans="1:18" x14ac:dyDescent="0.2">
      <c r="A2700" s="40" t="s">
        <v>2383</v>
      </c>
      <c r="B2700" s="40">
        <v>17.93</v>
      </c>
      <c r="C2700" s="40">
        <v>18.03</v>
      </c>
      <c r="D2700" s="40">
        <v>16.559999999999999</v>
      </c>
      <c r="E2700" s="40">
        <v>17.079999999999998</v>
      </c>
      <c r="K2700" s="40"/>
      <c r="P2700" s="40"/>
      <c r="Q2700" s="40"/>
      <c r="R2700" s="40"/>
    </row>
    <row r="2701" spans="1:18" x14ac:dyDescent="0.2">
      <c r="A2701" s="40" t="s">
        <v>2384</v>
      </c>
      <c r="B2701" s="40">
        <v>18.95</v>
      </c>
      <c r="C2701" s="40">
        <v>18.95</v>
      </c>
      <c r="D2701" s="40">
        <v>15.19</v>
      </c>
      <c r="E2701" s="40">
        <v>15.24</v>
      </c>
      <c r="K2701" s="40"/>
      <c r="P2701" s="40"/>
      <c r="Q2701" s="40"/>
      <c r="R2701" s="40"/>
    </row>
    <row r="2702" spans="1:18" x14ac:dyDescent="0.2">
      <c r="A2702" s="40" t="s">
        <v>2385</v>
      </c>
      <c r="B2702" s="40">
        <v>15.35</v>
      </c>
      <c r="C2702" s="40">
        <v>18.100000000000001</v>
      </c>
      <c r="D2702" s="40">
        <v>15.35</v>
      </c>
      <c r="E2702" s="40">
        <v>16.96</v>
      </c>
      <c r="K2702" s="40"/>
      <c r="P2702" s="40"/>
      <c r="Q2702" s="40"/>
      <c r="R2702" s="40"/>
    </row>
    <row r="2703" spans="1:18" x14ac:dyDescent="0.2">
      <c r="A2703" s="40" t="s">
        <v>2386</v>
      </c>
      <c r="B2703" s="40">
        <v>19.72</v>
      </c>
      <c r="C2703" s="40">
        <v>27.52</v>
      </c>
      <c r="D2703" s="40">
        <v>19.690000000000001</v>
      </c>
      <c r="E2703" s="40">
        <v>24.56</v>
      </c>
      <c r="K2703" s="40"/>
      <c r="P2703" s="40"/>
      <c r="Q2703" s="40"/>
      <c r="R2703" s="40"/>
    </row>
    <row r="2704" spans="1:18" x14ac:dyDescent="0.2">
      <c r="A2704" s="40" t="s">
        <v>2387</v>
      </c>
      <c r="B2704" s="40">
        <v>23.6</v>
      </c>
      <c r="C2704" s="40">
        <v>24.82</v>
      </c>
      <c r="D2704" s="40">
        <v>21.26</v>
      </c>
      <c r="E2704" s="40">
        <v>21.79</v>
      </c>
      <c r="K2704" s="40"/>
      <c r="P2704" s="40"/>
      <c r="Q2704" s="40"/>
      <c r="R2704" s="40"/>
    </row>
    <row r="2705" spans="1:18" x14ac:dyDescent="0.2">
      <c r="A2705" s="40" t="s">
        <v>2388</v>
      </c>
      <c r="B2705" s="40">
        <v>21.77</v>
      </c>
      <c r="C2705" s="40">
        <v>25.47</v>
      </c>
      <c r="D2705" s="40">
        <v>20.29</v>
      </c>
      <c r="E2705" s="40">
        <v>23.03</v>
      </c>
      <c r="K2705" s="40"/>
      <c r="P2705" s="40"/>
      <c r="Q2705" s="40"/>
      <c r="R2705" s="40"/>
    </row>
    <row r="2706" spans="1:18" x14ac:dyDescent="0.2">
      <c r="A2706" s="41">
        <v>44206</v>
      </c>
      <c r="B2706" s="40">
        <v>23.03</v>
      </c>
      <c r="C2706" s="40">
        <v>23.55</v>
      </c>
      <c r="D2706" s="40">
        <v>18.97</v>
      </c>
      <c r="E2706" s="40">
        <v>19.420000000000002</v>
      </c>
      <c r="K2706" s="40"/>
      <c r="P2706" s="40"/>
      <c r="Q2706" s="40"/>
      <c r="R2706" s="40"/>
    </row>
    <row r="2707" spans="1:18" x14ac:dyDescent="0.2">
      <c r="A2707" s="41">
        <v>44296</v>
      </c>
      <c r="B2707" s="40">
        <v>19.41</v>
      </c>
      <c r="C2707" s="40">
        <v>25.9</v>
      </c>
      <c r="D2707" s="40">
        <v>19.41</v>
      </c>
      <c r="E2707" s="40">
        <v>23.04</v>
      </c>
      <c r="K2707" s="40"/>
      <c r="P2707" s="40"/>
      <c r="Q2707" s="40"/>
      <c r="R2707" s="40"/>
    </row>
    <row r="2708" spans="1:18" x14ac:dyDescent="0.2">
      <c r="A2708" s="41">
        <v>44326</v>
      </c>
      <c r="B2708" s="40">
        <v>22.3</v>
      </c>
      <c r="C2708" s="40">
        <v>22.62</v>
      </c>
      <c r="D2708" s="40">
        <v>19.53</v>
      </c>
      <c r="E2708" s="40">
        <v>20.32</v>
      </c>
      <c r="K2708" s="40"/>
      <c r="P2708" s="40"/>
      <c r="Q2708" s="40"/>
      <c r="R2708" s="40"/>
    </row>
    <row r="2709" spans="1:18" x14ac:dyDescent="0.2">
      <c r="A2709" s="41">
        <v>44357</v>
      </c>
      <c r="B2709" s="40">
        <v>22.28</v>
      </c>
      <c r="C2709" s="40">
        <v>24.35</v>
      </c>
      <c r="D2709" s="40">
        <v>19.239999999999998</v>
      </c>
      <c r="E2709" s="40">
        <v>19.54</v>
      </c>
      <c r="K2709" s="40"/>
      <c r="P2709" s="40"/>
      <c r="Q2709" s="40"/>
      <c r="R2709" s="40"/>
    </row>
    <row r="2710" spans="1:18" x14ac:dyDescent="0.2">
      <c r="A2710" s="41">
        <v>44387</v>
      </c>
      <c r="B2710" s="40">
        <v>18.690000000000001</v>
      </c>
      <c r="C2710" s="40">
        <v>18.73</v>
      </c>
      <c r="D2710" s="40">
        <v>17.27</v>
      </c>
      <c r="E2710" s="40">
        <v>18.13</v>
      </c>
      <c r="K2710" s="40"/>
      <c r="P2710" s="40"/>
      <c r="Q2710" s="40"/>
      <c r="R2710" s="40"/>
    </row>
    <row r="2711" spans="1:18" x14ac:dyDescent="0.2">
      <c r="A2711" s="41">
        <v>44418</v>
      </c>
      <c r="B2711" s="40">
        <v>18.11</v>
      </c>
      <c r="C2711" s="40">
        <v>18.11</v>
      </c>
      <c r="D2711" s="40">
        <v>16.18</v>
      </c>
      <c r="E2711" s="40">
        <v>16.739999999999998</v>
      </c>
      <c r="K2711" s="40"/>
      <c r="P2711" s="40"/>
      <c r="Q2711" s="40"/>
      <c r="R2711" s="40"/>
    </row>
    <row r="2712" spans="1:18" x14ac:dyDescent="0.2">
      <c r="A2712" s="41">
        <v>44510</v>
      </c>
      <c r="B2712" s="40">
        <v>16.73</v>
      </c>
      <c r="C2712" s="40">
        <v>19.96</v>
      </c>
      <c r="D2712" s="40">
        <v>16.239999999999998</v>
      </c>
      <c r="E2712" s="40">
        <v>19.75</v>
      </c>
      <c r="K2712" s="40"/>
      <c r="P2712" s="40"/>
      <c r="Q2712" s="40"/>
      <c r="R2712" s="40"/>
    </row>
    <row r="2713" spans="1:18" x14ac:dyDescent="0.2">
      <c r="A2713" s="41">
        <v>44540</v>
      </c>
      <c r="B2713" s="40">
        <v>19.149999999999999</v>
      </c>
      <c r="C2713" s="40">
        <v>20.32</v>
      </c>
      <c r="D2713" s="40">
        <v>18.09</v>
      </c>
      <c r="E2713" s="40">
        <v>19.41</v>
      </c>
      <c r="K2713" s="40"/>
      <c r="P2713" s="40"/>
      <c r="Q2713" s="40"/>
      <c r="R2713" s="40"/>
    </row>
    <row r="2714" spans="1:18" x14ac:dyDescent="0.2">
      <c r="A2714" s="40" t="s">
        <v>2389</v>
      </c>
      <c r="B2714" s="40">
        <v>18.43</v>
      </c>
      <c r="C2714" s="40">
        <v>20</v>
      </c>
      <c r="D2714" s="40">
        <v>17.16</v>
      </c>
      <c r="E2714" s="40">
        <v>17.45</v>
      </c>
      <c r="K2714" s="40"/>
      <c r="P2714" s="40"/>
      <c r="Q2714" s="40"/>
      <c r="R2714" s="40"/>
    </row>
    <row r="2715" spans="1:18" x14ac:dyDescent="0.2">
      <c r="A2715" s="40" t="s">
        <v>2390</v>
      </c>
      <c r="B2715" s="40">
        <v>15.77</v>
      </c>
      <c r="C2715" s="40">
        <v>16.07</v>
      </c>
      <c r="D2715" s="40">
        <v>14.8</v>
      </c>
      <c r="E2715" s="40">
        <v>14.8</v>
      </c>
      <c r="K2715" s="40"/>
      <c r="P2715" s="40"/>
      <c r="Q2715" s="40"/>
      <c r="R2715" s="40"/>
    </row>
    <row r="2716" spans="1:18" x14ac:dyDescent="0.2">
      <c r="A2716" s="40" t="s">
        <v>2391</v>
      </c>
      <c r="B2716" s="40">
        <v>14.83</v>
      </c>
      <c r="C2716" s="40">
        <v>14.83</v>
      </c>
      <c r="D2716" s="40">
        <v>13.18</v>
      </c>
      <c r="E2716" s="40">
        <v>13.24</v>
      </c>
      <c r="K2716" s="40"/>
      <c r="P2716" s="40"/>
      <c r="Q2716" s="40"/>
      <c r="R2716" s="40"/>
    </row>
    <row r="2717" spans="1:18" x14ac:dyDescent="0.2">
      <c r="A2717" s="40" t="s">
        <v>2392</v>
      </c>
      <c r="B2717" s="40">
        <v>13.43</v>
      </c>
      <c r="C2717" s="40">
        <v>16.399999999999999</v>
      </c>
      <c r="D2717" s="40">
        <v>13.43</v>
      </c>
      <c r="E2717" s="40">
        <v>13.91</v>
      </c>
      <c r="K2717" s="40"/>
      <c r="P2717" s="40"/>
      <c r="Q2717" s="40"/>
      <c r="R2717" s="40"/>
    </row>
    <row r="2718" spans="1:18" x14ac:dyDescent="0.2">
      <c r="A2718" s="40" t="s">
        <v>2393</v>
      </c>
      <c r="B2718" s="40">
        <v>13.88</v>
      </c>
      <c r="C2718" s="40">
        <v>14.11</v>
      </c>
      <c r="D2718" s="40">
        <v>12.99</v>
      </c>
      <c r="E2718" s="40">
        <v>13.34</v>
      </c>
      <c r="K2718" s="40"/>
      <c r="P2718" s="40"/>
      <c r="Q2718" s="40"/>
      <c r="R2718" s="40"/>
    </row>
    <row r="2719" spans="1:18" x14ac:dyDescent="0.2">
      <c r="A2719" s="40" t="s">
        <v>2394</v>
      </c>
      <c r="B2719" s="40">
        <v>12.88</v>
      </c>
      <c r="C2719" s="40">
        <v>13.62</v>
      </c>
      <c r="D2719" s="40">
        <v>12.65</v>
      </c>
      <c r="E2719" s="40">
        <v>12.69</v>
      </c>
      <c r="K2719" s="40"/>
      <c r="P2719" s="40"/>
      <c r="Q2719" s="40"/>
      <c r="R2719" s="40"/>
    </row>
    <row r="2720" spans="1:18" x14ac:dyDescent="0.2">
      <c r="A2720" s="40" t="s">
        <v>2395</v>
      </c>
      <c r="B2720" s="40">
        <v>13.39</v>
      </c>
      <c r="C2720" s="40">
        <v>13.48</v>
      </c>
      <c r="D2720" s="40">
        <v>11.76</v>
      </c>
      <c r="E2720" s="40">
        <v>11.81</v>
      </c>
      <c r="K2720" s="40"/>
      <c r="P2720" s="40"/>
      <c r="Q2720" s="40"/>
      <c r="R2720" s="40"/>
    </row>
    <row r="2721" spans="1:18" x14ac:dyDescent="0.2">
      <c r="A2721" s="40" t="s">
        <v>2396</v>
      </c>
      <c r="B2721" s="40">
        <v>12.49</v>
      </c>
      <c r="C2721" s="40">
        <v>13.97</v>
      </c>
      <c r="D2721" s="40">
        <v>11.6</v>
      </c>
      <c r="E2721" s="40">
        <v>11.98</v>
      </c>
      <c r="K2721" s="40"/>
      <c r="P2721" s="40"/>
      <c r="Q2721" s="40"/>
      <c r="R2721" s="40"/>
    </row>
    <row r="2722" spans="1:18" x14ac:dyDescent="0.2">
      <c r="A2722" s="40" t="s">
        <v>2397</v>
      </c>
      <c r="B2722" s="40">
        <v>11.99</v>
      </c>
      <c r="C2722" s="40">
        <v>14.42</v>
      </c>
      <c r="D2722" s="40">
        <v>11.99</v>
      </c>
      <c r="E2722" s="40">
        <v>13.09</v>
      </c>
      <c r="K2722" s="40"/>
      <c r="P2722" s="40"/>
      <c r="Q2722" s="40"/>
      <c r="R2722" s="40"/>
    </row>
    <row r="2723" spans="1:18" x14ac:dyDescent="0.2">
      <c r="A2723" s="40" t="s">
        <v>2398</v>
      </c>
      <c r="B2723" s="40">
        <v>13.11</v>
      </c>
      <c r="C2723" s="40">
        <v>15.48</v>
      </c>
      <c r="D2723" s="40">
        <v>12.77</v>
      </c>
      <c r="E2723" s="40">
        <v>14.33</v>
      </c>
      <c r="K2723" s="40"/>
      <c r="P2723" s="40"/>
      <c r="Q2723" s="40"/>
      <c r="R2723" s="40"/>
    </row>
    <row r="2724" spans="1:18" x14ac:dyDescent="0.2">
      <c r="A2724" s="40" t="s">
        <v>2399</v>
      </c>
      <c r="B2724" s="40">
        <v>14.48</v>
      </c>
      <c r="C2724" s="40">
        <v>15.6</v>
      </c>
      <c r="D2724" s="40">
        <v>13.6</v>
      </c>
      <c r="E2724" s="40">
        <v>15.16</v>
      </c>
      <c r="K2724" s="40"/>
      <c r="P2724" s="40"/>
      <c r="Q2724" s="40"/>
      <c r="R2724" s="40"/>
    </row>
    <row r="2725" spans="1:18" x14ac:dyDescent="0.2">
      <c r="A2725" s="40" t="s">
        <v>2400</v>
      </c>
      <c r="B2725" s="40">
        <v>15.13</v>
      </c>
      <c r="C2725" s="40">
        <v>15.24</v>
      </c>
      <c r="D2725" s="40">
        <v>13.99</v>
      </c>
      <c r="E2725" s="40">
        <v>14.31</v>
      </c>
      <c r="K2725" s="40"/>
      <c r="P2725" s="40"/>
      <c r="Q2725" s="40"/>
      <c r="R2725" s="40"/>
    </row>
    <row r="2726" spans="1:18" x14ac:dyDescent="0.2">
      <c r="A2726" s="40" t="s">
        <v>2401</v>
      </c>
      <c r="B2726" s="40">
        <v>16.05</v>
      </c>
      <c r="C2726" s="40">
        <v>16.05</v>
      </c>
      <c r="D2726" s="40">
        <v>13.35</v>
      </c>
      <c r="E2726" s="40">
        <v>13.67</v>
      </c>
      <c r="K2726" s="40"/>
      <c r="P2726" s="40"/>
      <c r="Q2726" s="40"/>
      <c r="R2726" s="40"/>
    </row>
    <row r="2727" spans="1:18" x14ac:dyDescent="0.2">
      <c r="A2727" s="41">
        <v>44207</v>
      </c>
      <c r="B2727" s="40">
        <v>13.67</v>
      </c>
      <c r="C2727" s="40">
        <v>16.79</v>
      </c>
      <c r="D2727" s="40">
        <v>13.67</v>
      </c>
      <c r="E2727" s="40">
        <v>15.02</v>
      </c>
      <c r="K2727" s="40"/>
      <c r="P2727" s="40"/>
      <c r="Q2727" s="40"/>
      <c r="R2727" s="40"/>
    </row>
    <row r="2728" spans="1:18" x14ac:dyDescent="0.2">
      <c r="A2728" s="41">
        <v>44238</v>
      </c>
      <c r="B2728" s="40">
        <v>15.12</v>
      </c>
      <c r="C2728" s="40">
        <v>15.14</v>
      </c>
      <c r="D2728" s="40">
        <v>14.48</v>
      </c>
      <c r="E2728" s="40">
        <v>14.74</v>
      </c>
      <c r="K2728" s="40"/>
      <c r="P2728" s="40"/>
      <c r="Q2728" s="40"/>
      <c r="R2728" s="40"/>
    </row>
    <row r="2729" spans="1:18" x14ac:dyDescent="0.2">
      <c r="A2729" s="41">
        <v>44266</v>
      </c>
      <c r="B2729" s="40">
        <v>14.74</v>
      </c>
      <c r="C2729" s="40">
        <v>15.43</v>
      </c>
      <c r="D2729" s="40">
        <v>12.94</v>
      </c>
      <c r="E2729" s="40">
        <v>13.1</v>
      </c>
      <c r="K2729" s="40"/>
      <c r="P2729" s="40"/>
      <c r="Q2729" s="40"/>
      <c r="R2729" s="40"/>
    </row>
    <row r="2730" spans="1:18" x14ac:dyDescent="0.2">
      <c r="A2730" s="41">
        <v>44297</v>
      </c>
      <c r="B2730" s="40">
        <v>12.84</v>
      </c>
      <c r="C2730" s="40">
        <v>14.2</v>
      </c>
      <c r="D2730" s="40">
        <v>12.42</v>
      </c>
      <c r="E2730" s="40">
        <v>13.04</v>
      </c>
      <c r="K2730" s="40"/>
      <c r="P2730" s="40"/>
      <c r="Q2730" s="40"/>
      <c r="R2730" s="40"/>
    </row>
    <row r="2731" spans="1:18" x14ac:dyDescent="0.2">
      <c r="A2731" s="41">
        <v>44327</v>
      </c>
      <c r="B2731" s="40">
        <v>13.04</v>
      </c>
      <c r="C2731" s="40">
        <v>14.75</v>
      </c>
      <c r="D2731" s="40">
        <v>12.26</v>
      </c>
      <c r="E2731" s="40">
        <v>13.15</v>
      </c>
      <c r="K2731" s="40"/>
      <c r="P2731" s="40"/>
      <c r="Q2731" s="40"/>
      <c r="R2731" s="40"/>
    </row>
    <row r="2732" spans="1:18" x14ac:dyDescent="0.2">
      <c r="A2732" s="41">
        <v>44419</v>
      </c>
      <c r="B2732" s="40">
        <v>14.49</v>
      </c>
      <c r="C2732" s="40">
        <v>16.100000000000001</v>
      </c>
      <c r="D2732" s="40">
        <v>14.24</v>
      </c>
      <c r="E2732" s="40">
        <v>14.43</v>
      </c>
      <c r="K2732" s="40"/>
      <c r="P2732" s="40"/>
      <c r="Q2732" s="40"/>
      <c r="R2732" s="40"/>
    </row>
    <row r="2733" spans="1:18" x14ac:dyDescent="0.2">
      <c r="A2733" s="41">
        <v>44450</v>
      </c>
      <c r="B2733" s="40">
        <v>14.85</v>
      </c>
      <c r="C2733" s="40">
        <v>16.48</v>
      </c>
      <c r="D2733" s="40">
        <v>14.77</v>
      </c>
      <c r="E2733" s="40">
        <v>15.19</v>
      </c>
      <c r="K2733" s="40"/>
      <c r="P2733" s="40"/>
      <c r="Q2733" s="40"/>
      <c r="R2733" s="40"/>
    </row>
    <row r="2734" spans="1:18" x14ac:dyDescent="0.2">
      <c r="A2734" s="41">
        <v>44480</v>
      </c>
      <c r="B2734" s="40">
        <v>15.74</v>
      </c>
      <c r="C2734" s="40">
        <v>18.32</v>
      </c>
      <c r="D2734" s="40">
        <v>14.18</v>
      </c>
      <c r="E2734" s="40">
        <v>15.95</v>
      </c>
      <c r="K2734" s="40"/>
      <c r="P2734" s="40"/>
      <c r="Q2734" s="40"/>
      <c r="R2734" s="40"/>
    </row>
    <row r="2735" spans="1:18" x14ac:dyDescent="0.2">
      <c r="A2735" s="41">
        <v>44511</v>
      </c>
      <c r="B2735" s="40">
        <v>15.15</v>
      </c>
      <c r="C2735" s="40">
        <v>15.32</v>
      </c>
      <c r="D2735" s="40">
        <v>14</v>
      </c>
      <c r="E2735" s="40">
        <v>14.3</v>
      </c>
      <c r="K2735" s="40"/>
      <c r="P2735" s="40"/>
      <c r="Q2735" s="40"/>
      <c r="R2735" s="40"/>
    </row>
    <row r="2736" spans="1:18" x14ac:dyDescent="0.2">
      <c r="A2736" s="41">
        <v>44541</v>
      </c>
      <c r="B2736" s="40">
        <v>13.58</v>
      </c>
      <c r="C2736" s="40">
        <v>13.9</v>
      </c>
      <c r="D2736" s="40">
        <v>11.97</v>
      </c>
      <c r="E2736" s="40">
        <v>11.99</v>
      </c>
      <c r="K2736" s="40"/>
      <c r="P2736" s="40"/>
      <c r="Q2736" s="40"/>
      <c r="R2736" s="40"/>
    </row>
    <row r="2737" spans="1:18" x14ac:dyDescent="0.2">
      <c r="A2737" s="40" t="s">
        <v>2402</v>
      </c>
      <c r="B2737" s="40">
        <v>13.26</v>
      </c>
      <c r="C2737" s="40">
        <v>14.01</v>
      </c>
      <c r="D2737" s="40">
        <v>12.2</v>
      </c>
      <c r="E2737" s="40">
        <v>12.2</v>
      </c>
      <c r="K2737" s="40"/>
      <c r="P2737" s="40"/>
      <c r="Q2737" s="40"/>
      <c r="R2737" s="40"/>
    </row>
    <row r="2738" spans="1:18" x14ac:dyDescent="0.2">
      <c r="A2738" s="40" t="s">
        <v>2403</v>
      </c>
      <c r="B2738" s="40">
        <v>13.03</v>
      </c>
      <c r="C2738" s="40">
        <v>13.03</v>
      </c>
      <c r="D2738" s="40">
        <v>11.54</v>
      </c>
      <c r="E2738" s="40">
        <v>11.94</v>
      </c>
      <c r="K2738" s="40"/>
      <c r="P2738" s="40"/>
      <c r="Q2738" s="40"/>
      <c r="R2738" s="40"/>
    </row>
    <row r="2739" spans="1:18" x14ac:dyDescent="0.2">
      <c r="A2739" s="40" t="s">
        <v>2404</v>
      </c>
      <c r="B2739" s="40">
        <v>11.99</v>
      </c>
      <c r="C2739" s="40">
        <v>12.78</v>
      </c>
      <c r="D2739" s="40">
        <v>11.3</v>
      </c>
      <c r="E2739" s="40">
        <v>11.51</v>
      </c>
      <c r="K2739" s="40"/>
      <c r="P2739" s="40"/>
      <c r="Q2739" s="40"/>
      <c r="R2739" s="40"/>
    </row>
    <row r="2740" spans="1:18" x14ac:dyDescent="0.2">
      <c r="A2740" s="40" t="s">
        <v>2405</v>
      </c>
      <c r="B2740" s="40">
        <v>12.17</v>
      </c>
      <c r="C2740" s="40">
        <v>13.11</v>
      </c>
      <c r="D2740" s="40">
        <v>11.69</v>
      </c>
      <c r="E2740" s="40">
        <v>12.43</v>
      </c>
      <c r="K2740" s="40"/>
      <c r="P2740" s="40"/>
      <c r="Q2740" s="40"/>
      <c r="R2740" s="40"/>
    </row>
    <row r="2741" spans="1:18" x14ac:dyDescent="0.2">
      <c r="A2741" s="40" t="s">
        <v>2406</v>
      </c>
      <c r="B2741" s="40">
        <v>14.01</v>
      </c>
      <c r="C2741" s="40">
        <v>14.17</v>
      </c>
      <c r="D2741" s="40">
        <v>12.2</v>
      </c>
      <c r="E2741" s="40">
        <v>12.45</v>
      </c>
      <c r="K2741" s="40"/>
      <c r="P2741" s="40"/>
      <c r="Q2741" s="40"/>
      <c r="R2741" s="40"/>
    </row>
    <row r="2742" spans="1:18" x14ac:dyDescent="0.2">
      <c r="A2742" s="40" t="s">
        <v>2407</v>
      </c>
      <c r="B2742" s="40">
        <v>13.78</v>
      </c>
      <c r="C2742" s="40">
        <v>16.670000000000002</v>
      </c>
      <c r="D2742" s="40">
        <v>13.22</v>
      </c>
      <c r="E2742" s="40">
        <v>16.059999999999999</v>
      </c>
      <c r="K2742" s="40"/>
      <c r="P2742" s="40"/>
      <c r="Q2742" s="40"/>
      <c r="R2742" s="40"/>
    </row>
    <row r="2743" spans="1:18" x14ac:dyDescent="0.2">
      <c r="A2743" s="40" t="s">
        <v>2408</v>
      </c>
      <c r="B2743" s="40">
        <v>16.88</v>
      </c>
      <c r="C2743" s="40">
        <v>19.48</v>
      </c>
      <c r="D2743" s="40">
        <v>15.9</v>
      </c>
      <c r="E2743" s="40">
        <v>16.350000000000001</v>
      </c>
      <c r="K2743" s="40"/>
      <c r="P2743" s="40"/>
      <c r="Q2743" s="40"/>
      <c r="R2743" s="40"/>
    </row>
    <row r="2744" spans="1:18" x14ac:dyDescent="0.2">
      <c r="A2744" s="40" t="s">
        <v>2409</v>
      </c>
      <c r="B2744" s="40">
        <v>17.989999999999998</v>
      </c>
      <c r="C2744" s="40">
        <v>19.09</v>
      </c>
      <c r="D2744" s="40">
        <v>14.69</v>
      </c>
      <c r="E2744" s="40">
        <v>14.82</v>
      </c>
      <c r="K2744" s="40"/>
      <c r="P2744" s="40"/>
      <c r="Q2744" s="40"/>
      <c r="R2744" s="40"/>
    </row>
    <row r="2745" spans="1:18" x14ac:dyDescent="0.2">
      <c r="A2745" s="40" t="s">
        <v>2410</v>
      </c>
      <c r="B2745" s="40">
        <v>27.53</v>
      </c>
      <c r="C2745" s="40">
        <v>32.39</v>
      </c>
      <c r="D2745" s="40">
        <v>25.52</v>
      </c>
      <c r="E2745" s="40">
        <v>30.6</v>
      </c>
      <c r="K2745" s="40"/>
      <c r="P2745" s="40"/>
      <c r="Q2745" s="40"/>
      <c r="R2745" s="40"/>
    </row>
    <row r="2746" spans="1:18" x14ac:dyDescent="0.2">
      <c r="A2746" s="40" t="s">
        <v>2411</v>
      </c>
      <c r="B2746" s="40">
        <v>24.1</v>
      </c>
      <c r="C2746" s="40">
        <v>26.28</v>
      </c>
      <c r="D2746" s="40">
        <v>20.37</v>
      </c>
      <c r="E2746" s="40">
        <v>21.43</v>
      </c>
      <c r="K2746" s="40"/>
      <c r="P2746" s="40"/>
      <c r="Q2746" s="40"/>
      <c r="R2746" s="40"/>
    </row>
    <row r="2747" spans="1:18" x14ac:dyDescent="0.2">
      <c r="A2747" s="40" t="s">
        <v>2412</v>
      </c>
      <c r="B2747" s="40">
        <v>24.97</v>
      </c>
      <c r="C2747" s="40">
        <v>30.73</v>
      </c>
      <c r="D2747" s="40">
        <v>22.29</v>
      </c>
      <c r="E2747" s="40">
        <v>28.38</v>
      </c>
      <c r="K2747" s="40"/>
      <c r="P2747" s="40"/>
      <c r="Q2747" s="40"/>
      <c r="R2747" s="40"/>
    </row>
    <row r="2748" spans="1:18" x14ac:dyDescent="0.2">
      <c r="A2748" s="41">
        <v>44208</v>
      </c>
      <c r="B2748" s="40">
        <v>23.6</v>
      </c>
      <c r="C2748" s="40">
        <v>35.57</v>
      </c>
      <c r="D2748" s="40">
        <v>20.86</v>
      </c>
      <c r="E2748" s="40">
        <v>33.93</v>
      </c>
      <c r="K2748" s="40"/>
      <c r="P2748" s="40"/>
      <c r="Q2748" s="40"/>
      <c r="R2748" s="40"/>
    </row>
    <row r="2749" spans="1:18" x14ac:dyDescent="0.2">
      <c r="A2749" s="41">
        <v>44239</v>
      </c>
      <c r="B2749" s="40">
        <v>32.04</v>
      </c>
      <c r="C2749" s="40">
        <v>33.28</v>
      </c>
      <c r="D2749" s="40">
        <v>27.23</v>
      </c>
      <c r="E2749" s="40">
        <v>28.04</v>
      </c>
      <c r="K2749" s="40"/>
      <c r="P2749" s="40"/>
      <c r="Q2749" s="40"/>
      <c r="R2749" s="40"/>
    </row>
    <row r="2750" spans="1:18" x14ac:dyDescent="0.2">
      <c r="A2750" s="41">
        <v>44267</v>
      </c>
      <c r="B2750" s="40">
        <v>25.37</v>
      </c>
      <c r="C2750" s="40">
        <v>39.21</v>
      </c>
      <c r="D2750" s="40">
        <v>24.86</v>
      </c>
      <c r="E2750" s="40">
        <v>31.7</v>
      </c>
      <c r="K2750" s="40"/>
      <c r="P2750" s="40"/>
      <c r="Q2750" s="40"/>
      <c r="R2750" s="40"/>
    </row>
    <row r="2751" spans="1:18" x14ac:dyDescent="0.2">
      <c r="A2751" s="41">
        <v>44359</v>
      </c>
      <c r="B2751" s="40">
        <v>29.53</v>
      </c>
      <c r="C2751" s="40">
        <v>32.29</v>
      </c>
      <c r="D2751" s="40">
        <v>26.48</v>
      </c>
      <c r="E2751" s="40">
        <v>27.29</v>
      </c>
      <c r="K2751" s="40"/>
      <c r="P2751" s="40"/>
      <c r="Q2751" s="40"/>
      <c r="R2751" s="40"/>
    </row>
    <row r="2752" spans="1:18" x14ac:dyDescent="0.2">
      <c r="A2752" s="41">
        <v>44389</v>
      </c>
      <c r="B2752" s="40">
        <v>22.54</v>
      </c>
      <c r="C2752" s="40">
        <v>22.54</v>
      </c>
      <c r="D2752" s="40">
        <v>20.420000000000002</v>
      </c>
      <c r="E2752" s="40">
        <v>20.83</v>
      </c>
      <c r="K2752" s="40"/>
      <c r="P2752" s="40"/>
      <c r="Q2752" s="40"/>
      <c r="R2752" s="40"/>
    </row>
    <row r="2753" spans="1:18" x14ac:dyDescent="0.2">
      <c r="A2753" s="41">
        <v>44420</v>
      </c>
      <c r="B2753" s="40">
        <v>20.97</v>
      </c>
      <c r="C2753" s="40">
        <v>21.58</v>
      </c>
      <c r="D2753" s="40">
        <v>15.8</v>
      </c>
      <c r="E2753" s="40">
        <v>17.5</v>
      </c>
      <c r="K2753" s="40"/>
      <c r="P2753" s="40"/>
      <c r="Q2753" s="40"/>
      <c r="R2753" s="40"/>
    </row>
    <row r="2754" spans="1:18" x14ac:dyDescent="0.2">
      <c r="A2754" s="41">
        <v>44451</v>
      </c>
      <c r="B2754" s="40">
        <v>18.88</v>
      </c>
      <c r="C2754" s="40">
        <v>21.12</v>
      </c>
      <c r="D2754" s="40">
        <v>17.940000000000001</v>
      </c>
      <c r="E2754" s="40">
        <v>20.49</v>
      </c>
      <c r="K2754" s="40"/>
      <c r="P2754" s="40"/>
      <c r="Q2754" s="40"/>
      <c r="R2754" s="40"/>
    </row>
    <row r="2755" spans="1:18" x14ac:dyDescent="0.2">
      <c r="A2755" s="41">
        <v>44481</v>
      </c>
      <c r="B2755" s="40">
        <v>17.71</v>
      </c>
      <c r="C2755" s="40">
        <v>19.27</v>
      </c>
      <c r="D2755" s="40">
        <v>15.7</v>
      </c>
      <c r="E2755" s="40">
        <v>15.7</v>
      </c>
      <c r="K2755" s="40"/>
      <c r="P2755" s="40"/>
      <c r="Q2755" s="40"/>
      <c r="R2755" s="40"/>
    </row>
    <row r="2756" spans="1:18" x14ac:dyDescent="0.2">
      <c r="A2756" s="40" t="s">
        <v>2413</v>
      </c>
      <c r="B2756" s="40">
        <v>17.899999999999999</v>
      </c>
      <c r="C2756" s="40">
        <v>20.350000000000001</v>
      </c>
      <c r="D2756" s="40">
        <v>17.73</v>
      </c>
      <c r="E2756" s="40">
        <v>18.54</v>
      </c>
      <c r="K2756" s="40"/>
      <c r="P2756" s="40"/>
      <c r="Q2756" s="40"/>
      <c r="R2756" s="40"/>
    </row>
    <row r="2757" spans="1:18" x14ac:dyDescent="0.2">
      <c r="A2757" s="40" t="s">
        <v>2414</v>
      </c>
      <c r="B2757" s="40">
        <v>21.32</v>
      </c>
      <c r="C2757" s="40">
        <v>23.08</v>
      </c>
      <c r="D2757" s="40">
        <v>20.07</v>
      </c>
      <c r="E2757" s="40">
        <v>21.02</v>
      </c>
      <c r="K2757" s="40"/>
      <c r="P2757" s="40"/>
      <c r="Q2757" s="40"/>
      <c r="R2757" s="40"/>
    </row>
    <row r="2758" spans="1:18" x14ac:dyDescent="0.2">
      <c r="A2758" s="40" t="s">
        <v>2415</v>
      </c>
      <c r="B2758" s="40">
        <v>21.14</v>
      </c>
      <c r="C2758" s="40">
        <v>24.07</v>
      </c>
      <c r="D2758" s="40">
        <v>16.190000000000001</v>
      </c>
      <c r="E2758" s="40">
        <v>16.78</v>
      </c>
      <c r="K2758" s="40"/>
      <c r="P2758" s="40"/>
      <c r="Q2758" s="40"/>
      <c r="R2758" s="40"/>
    </row>
    <row r="2759" spans="1:18" x14ac:dyDescent="0.2">
      <c r="A2759" s="40" t="s">
        <v>2416</v>
      </c>
      <c r="B2759" s="40">
        <v>16.37</v>
      </c>
      <c r="C2759" s="40">
        <v>21.59</v>
      </c>
      <c r="D2759" s="40">
        <v>15.93</v>
      </c>
      <c r="E2759" s="40">
        <v>18.760000000000002</v>
      </c>
      <c r="K2759" s="40"/>
      <c r="P2759" s="40"/>
      <c r="Q2759" s="40"/>
      <c r="R2759" s="40"/>
    </row>
    <row r="2760" spans="1:18" x14ac:dyDescent="0.2">
      <c r="A2760" s="40" t="s">
        <v>2417</v>
      </c>
      <c r="B2760" s="40">
        <v>21.14</v>
      </c>
      <c r="C2760" s="40">
        <v>23.07</v>
      </c>
      <c r="D2760" s="40">
        <v>18.59</v>
      </c>
      <c r="E2760" s="40">
        <v>19.350000000000001</v>
      </c>
      <c r="K2760" s="40"/>
      <c r="P2760" s="40"/>
      <c r="Q2760" s="40"/>
      <c r="R2760" s="40"/>
    </row>
    <row r="2761" spans="1:18" x14ac:dyDescent="0.2">
      <c r="A2761" s="40" t="s">
        <v>2418</v>
      </c>
      <c r="B2761" s="40">
        <v>25.68</v>
      </c>
      <c r="C2761" s="40">
        <v>25.92</v>
      </c>
      <c r="D2761" s="40">
        <v>22.09</v>
      </c>
      <c r="E2761" s="40">
        <v>22.21</v>
      </c>
      <c r="K2761" s="40"/>
      <c r="P2761" s="40"/>
      <c r="Q2761" s="40"/>
      <c r="R2761" s="40"/>
    </row>
    <row r="2762" spans="1:18" x14ac:dyDescent="0.2">
      <c r="A2762" s="40" t="s">
        <v>2419</v>
      </c>
      <c r="B2762" s="40">
        <v>21.02</v>
      </c>
      <c r="C2762" s="40">
        <v>21.98</v>
      </c>
      <c r="D2762" s="40">
        <v>18.739999999999998</v>
      </c>
      <c r="E2762" s="40">
        <v>18.829999999999998</v>
      </c>
      <c r="K2762" s="40"/>
      <c r="P2762" s="40"/>
      <c r="Q2762" s="40"/>
      <c r="R2762" s="40"/>
    </row>
    <row r="2763" spans="1:18" x14ac:dyDescent="0.2">
      <c r="A2763" s="40" t="s">
        <v>2420</v>
      </c>
      <c r="B2763" s="40">
        <v>17.95</v>
      </c>
      <c r="C2763" s="40">
        <v>18.16</v>
      </c>
      <c r="D2763" s="40">
        <v>14.52</v>
      </c>
      <c r="E2763" s="40">
        <v>14.76</v>
      </c>
      <c r="K2763" s="40"/>
      <c r="P2763" s="40"/>
      <c r="Q2763" s="40"/>
      <c r="R2763" s="40"/>
    </row>
    <row r="2764" spans="1:18" x14ac:dyDescent="0.2">
      <c r="A2764" s="40" t="s">
        <v>2421</v>
      </c>
      <c r="B2764" s="40">
        <v>15.22</v>
      </c>
      <c r="C2764" s="40">
        <v>15.22</v>
      </c>
      <c r="D2764" s="40">
        <v>13.12</v>
      </c>
      <c r="E2764" s="40">
        <v>13.71</v>
      </c>
      <c r="K2764" s="40"/>
      <c r="P2764" s="40"/>
      <c r="Q2764" s="40"/>
      <c r="R2764" s="40"/>
    </row>
    <row r="2765" spans="1:18" x14ac:dyDescent="0.2">
      <c r="A2765" s="40" t="s">
        <v>2422</v>
      </c>
      <c r="B2765" s="40">
        <v>16.14</v>
      </c>
      <c r="C2765" s="40">
        <v>16.43</v>
      </c>
      <c r="D2765" s="40">
        <v>14.2</v>
      </c>
      <c r="E2765" s="40">
        <v>14.48</v>
      </c>
      <c r="K2765" s="40"/>
      <c r="P2765" s="40"/>
      <c r="Q2765" s="40"/>
      <c r="R2765" s="40"/>
    </row>
    <row r="2766" spans="1:18" x14ac:dyDescent="0.2">
      <c r="A2766" s="40" t="s">
        <v>2423</v>
      </c>
      <c r="B2766" s="40">
        <v>15.01</v>
      </c>
      <c r="C2766" s="40">
        <v>15.88</v>
      </c>
      <c r="D2766" s="40">
        <v>14.39</v>
      </c>
      <c r="E2766" s="40">
        <v>14.4</v>
      </c>
      <c r="K2766" s="40"/>
      <c r="P2766" s="40"/>
      <c r="Q2766" s="40"/>
      <c r="R2766" s="40"/>
    </row>
    <row r="2767" spans="1:18" x14ac:dyDescent="0.2">
      <c r="A2767" s="40" t="s">
        <v>2424</v>
      </c>
      <c r="B2767" s="40">
        <v>14.36</v>
      </c>
      <c r="C2767" s="40">
        <v>14.6</v>
      </c>
      <c r="D2767" s="40">
        <v>12.56</v>
      </c>
      <c r="E2767" s="40">
        <v>12.85</v>
      </c>
      <c r="K2767" s="40"/>
      <c r="P2767" s="40"/>
      <c r="Q2767" s="40"/>
      <c r="R2767" s="40"/>
    </row>
    <row r="2768" spans="1:18" x14ac:dyDescent="0.2">
      <c r="A2768" s="40" t="s">
        <v>2425</v>
      </c>
      <c r="B2768" s="40">
        <v>13.69</v>
      </c>
      <c r="C2768" s="40">
        <v>14.41</v>
      </c>
      <c r="D2768" s="40">
        <v>12.98</v>
      </c>
      <c r="E2768" s="40">
        <v>13.86</v>
      </c>
      <c r="K2768" s="40"/>
      <c r="P2768" s="40"/>
      <c r="Q2768" s="40"/>
      <c r="R2768" s="40"/>
    </row>
    <row r="2769" spans="1:18" x14ac:dyDescent="0.2">
      <c r="A2769" s="40" t="s">
        <v>2426</v>
      </c>
      <c r="B2769" s="40">
        <v>14.24</v>
      </c>
      <c r="C2769" s="40">
        <v>14.62</v>
      </c>
      <c r="D2769" s="40">
        <v>13.15</v>
      </c>
      <c r="E2769" s="40">
        <v>13.26</v>
      </c>
      <c r="K2769" s="40"/>
      <c r="P2769" s="40"/>
      <c r="Q2769" s="40"/>
      <c r="R2769" s="40"/>
    </row>
    <row r="2770" spans="1:18" x14ac:dyDescent="0.2">
      <c r="A2770" s="41">
        <v>44621</v>
      </c>
      <c r="B2770" s="40">
        <v>15.93</v>
      </c>
      <c r="C2770" s="40">
        <v>16.64</v>
      </c>
      <c r="D2770" s="40">
        <v>13.46</v>
      </c>
      <c r="E2770" s="40">
        <v>13.52</v>
      </c>
      <c r="K2770" s="40"/>
      <c r="P2770" s="40"/>
      <c r="Q2770" s="40"/>
      <c r="R2770" s="40"/>
    </row>
    <row r="2771" spans="1:18" x14ac:dyDescent="0.2">
      <c r="A2771" s="41">
        <v>44652</v>
      </c>
      <c r="B2771" s="40">
        <v>13.9</v>
      </c>
      <c r="C2771" s="40">
        <v>15.26</v>
      </c>
      <c r="D2771" s="40">
        <v>13.47</v>
      </c>
      <c r="E2771" s="40">
        <v>13.88</v>
      </c>
      <c r="K2771" s="40"/>
      <c r="P2771" s="40"/>
      <c r="Q2771" s="40"/>
      <c r="R2771" s="40"/>
    </row>
    <row r="2772" spans="1:18" x14ac:dyDescent="0.2">
      <c r="A2772" s="41">
        <v>44682</v>
      </c>
      <c r="B2772" s="40">
        <v>14.27</v>
      </c>
      <c r="C2772" s="40">
        <v>18.73</v>
      </c>
      <c r="D2772" s="40">
        <v>13.37</v>
      </c>
      <c r="E2772" s="40">
        <v>18.07</v>
      </c>
      <c r="K2772" s="40"/>
      <c r="P2772" s="40"/>
      <c r="Q2772" s="40"/>
      <c r="R2772" s="40"/>
    </row>
    <row r="2773" spans="1:18" x14ac:dyDescent="0.2">
      <c r="A2773" s="41">
        <v>44713</v>
      </c>
      <c r="B2773" s="40">
        <v>19.16</v>
      </c>
      <c r="C2773" s="40">
        <v>20.58</v>
      </c>
      <c r="D2773" s="40">
        <v>16.170000000000002</v>
      </c>
      <c r="E2773" s="40">
        <v>17.059999999999999</v>
      </c>
      <c r="K2773" s="40"/>
      <c r="P2773" s="40"/>
      <c r="Q2773" s="40"/>
      <c r="R2773" s="40"/>
    </row>
    <row r="2774" spans="1:18" x14ac:dyDescent="0.2">
      <c r="A2774" s="41">
        <v>44743</v>
      </c>
      <c r="B2774" s="40">
        <v>17.52</v>
      </c>
      <c r="C2774" s="40">
        <v>19.3</v>
      </c>
      <c r="D2774" s="40">
        <v>15.3</v>
      </c>
      <c r="E2774" s="40">
        <v>15.4</v>
      </c>
      <c r="K2774" s="40"/>
      <c r="P2774" s="40"/>
      <c r="Q2774" s="40"/>
      <c r="R2774" s="40"/>
    </row>
    <row r="2775" spans="1:18" x14ac:dyDescent="0.2">
      <c r="A2775" s="41">
        <v>44835</v>
      </c>
      <c r="B2775" s="40">
        <v>19.93</v>
      </c>
      <c r="C2775" s="40">
        <v>23.69</v>
      </c>
      <c r="D2775" s="40">
        <v>17.61</v>
      </c>
      <c r="E2775" s="40">
        <v>17.91</v>
      </c>
      <c r="K2775" s="40"/>
      <c r="P2775" s="40"/>
      <c r="Q2775" s="40"/>
      <c r="R2775" s="40"/>
    </row>
    <row r="2776" spans="1:18" x14ac:dyDescent="0.2">
      <c r="A2776" s="41">
        <v>44866</v>
      </c>
      <c r="B2776" s="40">
        <v>18.850000000000001</v>
      </c>
      <c r="C2776" s="40">
        <v>20.57</v>
      </c>
      <c r="D2776" s="40">
        <v>16.32</v>
      </c>
      <c r="E2776" s="40">
        <v>16.59</v>
      </c>
      <c r="K2776" s="40"/>
      <c r="P2776" s="40"/>
      <c r="Q2776" s="40"/>
      <c r="R2776" s="40"/>
    </row>
    <row r="2777" spans="1:18" x14ac:dyDescent="0.2">
      <c r="A2777" s="41">
        <v>44896</v>
      </c>
      <c r="B2777" s="40">
        <v>15.58</v>
      </c>
      <c r="C2777" s="40">
        <v>16.79</v>
      </c>
      <c r="D2777" s="40">
        <v>14.59</v>
      </c>
      <c r="E2777" s="40">
        <v>14.68</v>
      </c>
      <c r="K2777" s="40"/>
      <c r="P2777" s="40"/>
      <c r="Q2777" s="40"/>
      <c r="R2777" s="40"/>
    </row>
    <row r="2778" spans="1:18" x14ac:dyDescent="0.2">
      <c r="A2778" s="40" t="s">
        <v>2427</v>
      </c>
      <c r="B2778" s="40">
        <v>15.32</v>
      </c>
      <c r="C2778" s="40">
        <v>19.510000000000002</v>
      </c>
      <c r="D2778" s="40">
        <v>14.95</v>
      </c>
      <c r="E2778" s="40">
        <v>18.79</v>
      </c>
      <c r="K2778" s="40"/>
      <c r="P2778" s="40"/>
      <c r="Q2778" s="40"/>
      <c r="R2778" s="40"/>
    </row>
    <row r="2779" spans="1:18" x14ac:dyDescent="0.2">
      <c r="A2779" s="40" t="s">
        <v>2428</v>
      </c>
      <c r="B2779" s="40">
        <v>20.65</v>
      </c>
      <c r="C2779" s="40">
        <v>20.91</v>
      </c>
      <c r="D2779" s="40">
        <v>16.850000000000001</v>
      </c>
      <c r="E2779" s="40">
        <v>17.309999999999999</v>
      </c>
      <c r="K2779" s="40"/>
      <c r="P2779" s="40"/>
      <c r="Q2779" s="40"/>
      <c r="R2779" s="40"/>
    </row>
    <row r="2780" spans="1:18" x14ac:dyDescent="0.2">
      <c r="A2780" s="40" t="s">
        <v>2429</v>
      </c>
      <c r="B2780" s="40">
        <v>23.02</v>
      </c>
      <c r="C2780" s="40">
        <v>24.84</v>
      </c>
      <c r="D2780" s="40">
        <v>22.87</v>
      </c>
      <c r="E2780" s="40">
        <v>24.17</v>
      </c>
      <c r="K2780" s="40"/>
      <c r="P2780" s="40"/>
      <c r="Q2780" s="40"/>
      <c r="R2780" s="40"/>
    </row>
    <row r="2781" spans="1:18" x14ac:dyDescent="0.2">
      <c r="A2781" s="40" t="s">
        <v>2430</v>
      </c>
      <c r="B2781" s="40">
        <v>23.6</v>
      </c>
      <c r="C2781" s="40">
        <v>24.72</v>
      </c>
      <c r="D2781" s="40">
        <v>22.36</v>
      </c>
      <c r="E2781" s="40">
        <v>23.96</v>
      </c>
      <c r="K2781" s="40"/>
      <c r="P2781" s="40"/>
      <c r="Q2781" s="40"/>
      <c r="R2781" s="40"/>
    </row>
    <row r="2782" spans="1:18" x14ac:dyDescent="0.2">
      <c r="A2782" s="40" t="s">
        <v>2431</v>
      </c>
      <c r="B2782" s="40">
        <v>23.1</v>
      </c>
      <c r="C2782" s="40">
        <v>26.73</v>
      </c>
      <c r="D2782" s="40">
        <v>20.85</v>
      </c>
      <c r="E2782" s="40">
        <v>26.73</v>
      </c>
      <c r="K2782" s="40"/>
      <c r="P2782" s="40"/>
      <c r="Q2782" s="40"/>
      <c r="R2782" s="40"/>
    </row>
    <row r="2783" spans="1:18" x14ac:dyDescent="0.2">
      <c r="A2783" s="40" t="s">
        <v>2432</v>
      </c>
      <c r="B2783" s="40">
        <v>28.34</v>
      </c>
      <c r="C2783" s="40">
        <v>32.86</v>
      </c>
      <c r="D2783" s="40">
        <v>27.07</v>
      </c>
      <c r="E2783" s="40">
        <v>30.86</v>
      </c>
      <c r="K2783" s="40"/>
      <c r="P2783" s="40"/>
      <c r="Q2783" s="40"/>
      <c r="R2783" s="40"/>
    </row>
    <row r="2784" spans="1:18" x14ac:dyDescent="0.2">
      <c r="A2784" s="40" t="s">
        <v>2433</v>
      </c>
      <c r="B2784" s="40">
        <v>39.46</v>
      </c>
      <c r="C2784" s="40">
        <v>49.7</v>
      </c>
      <c r="D2784" s="40">
        <v>35.19</v>
      </c>
      <c r="E2784" s="40">
        <v>35.82</v>
      </c>
      <c r="K2784" s="40"/>
      <c r="P2784" s="40"/>
      <c r="Q2784" s="40"/>
      <c r="R2784" s="40"/>
    </row>
    <row r="2785" spans="1:18" x14ac:dyDescent="0.2">
      <c r="A2785" s="40" t="s">
        <v>2434</v>
      </c>
      <c r="B2785" s="40">
        <v>40.21</v>
      </c>
      <c r="C2785" s="40">
        <v>44.66</v>
      </c>
      <c r="D2785" s="40">
        <v>35</v>
      </c>
      <c r="E2785" s="40">
        <v>37.18</v>
      </c>
      <c r="K2785" s="40"/>
      <c r="P2785" s="40"/>
      <c r="Q2785" s="40"/>
      <c r="R2785" s="40"/>
    </row>
    <row r="2786" spans="1:18" x14ac:dyDescent="0.2">
      <c r="A2786" s="40" t="s">
        <v>2435</v>
      </c>
      <c r="B2786" s="40">
        <v>33.94</v>
      </c>
      <c r="C2786" s="40">
        <v>39.729999999999997</v>
      </c>
      <c r="D2786" s="40">
        <v>31.98</v>
      </c>
      <c r="E2786" s="40">
        <v>37.4</v>
      </c>
      <c r="K2786" s="40"/>
      <c r="P2786" s="40"/>
      <c r="Q2786" s="40"/>
      <c r="R2786" s="40"/>
    </row>
    <row r="2787" spans="1:18" x14ac:dyDescent="0.2">
      <c r="A2787" s="40" t="s">
        <v>2436</v>
      </c>
      <c r="B2787" s="40">
        <v>32.72</v>
      </c>
      <c r="C2787" s="40">
        <v>37.68</v>
      </c>
      <c r="D2787" s="40">
        <v>32.39</v>
      </c>
      <c r="E2787" s="40">
        <v>33.03</v>
      </c>
      <c r="K2787" s="40"/>
      <c r="P2787" s="40"/>
      <c r="Q2787" s="40"/>
      <c r="R2787" s="40"/>
    </row>
    <row r="2788" spans="1:18" x14ac:dyDescent="0.2">
      <c r="A2788" s="40" t="s">
        <v>2437</v>
      </c>
      <c r="B2788" s="40">
        <v>32.369999999999997</v>
      </c>
      <c r="C2788" s="40">
        <v>34.729999999999997</v>
      </c>
      <c r="D2788" s="40">
        <v>27.35</v>
      </c>
      <c r="E2788" s="40">
        <v>28.13</v>
      </c>
      <c r="K2788" s="40"/>
      <c r="P2788" s="40"/>
      <c r="Q2788" s="40"/>
      <c r="R2788" s="40"/>
    </row>
    <row r="2789" spans="1:18" x14ac:dyDescent="0.2">
      <c r="A2789" s="40" t="s">
        <v>2438</v>
      </c>
      <c r="B2789" s="40">
        <v>30.31</v>
      </c>
      <c r="C2789" s="40">
        <v>30.81</v>
      </c>
      <c r="D2789" s="40">
        <v>24.89</v>
      </c>
      <c r="E2789" s="40">
        <v>25.33</v>
      </c>
      <c r="K2789" s="40"/>
      <c r="P2789" s="40"/>
      <c r="Q2789" s="40"/>
      <c r="R2789" s="40"/>
    </row>
    <row r="2790" spans="1:18" x14ac:dyDescent="0.2">
      <c r="A2790" s="41">
        <v>44563</v>
      </c>
      <c r="B2790" s="40">
        <v>24.49</v>
      </c>
      <c r="C2790" s="40">
        <v>26</v>
      </c>
      <c r="D2790" s="40">
        <v>21.1</v>
      </c>
      <c r="E2790" s="40">
        <v>21.1</v>
      </c>
      <c r="K2790" s="40"/>
      <c r="P2790" s="40"/>
      <c r="Q2790" s="40"/>
      <c r="R2790" s="40"/>
    </row>
    <row r="2791" spans="1:18" x14ac:dyDescent="0.2">
      <c r="A2791" s="41">
        <v>44594</v>
      </c>
      <c r="B2791" s="40">
        <v>21.33</v>
      </c>
      <c r="C2791" s="40">
        <v>22.74</v>
      </c>
      <c r="D2791" s="40">
        <v>19.190000000000001</v>
      </c>
      <c r="E2791" s="40">
        <v>21.6</v>
      </c>
      <c r="K2791" s="40"/>
      <c r="P2791" s="40"/>
      <c r="Q2791" s="40"/>
      <c r="R2791" s="40"/>
    </row>
    <row r="2792" spans="1:18" x14ac:dyDescent="0.2">
      <c r="A2792" s="41">
        <v>44622</v>
      </c>
      <c r="B2792" s="40">
        <v>24.25</v>
      </c>
      <c r="C2792" s="40">
        <v>26.59</v>
      </c>
      <c r="D2792" s="40">
        <v>21.46</v>
      </c>
      <c r="E2792" s="40">
        <v>24.11</v>
      </c>
      <c r="K2792" s="40"/>
      <c r="P2792" s="40"/>
      <c r="Q2792" s="40"/>
      <c r="R2792" s="40"/>
    </row>
    <row r="2793" spans="1:18" x14ac:dyDescent="0.2">
      <c r="A2793" s="41">
        <v>44653</v>
      </c>
      <c r="B2793" s="40">
        <v>25.53</v>
      </c>
      <c r="C2793" s="40">
        <v>26.32</v>
      </c>
      <c r="D2793" s="40">
        <v>20.55</v>
      </c>
      <c r="E2793" s="40">
        <v>21.86</v>
      </c>
      <c r="K2793" s="40"/>
      <c r="P2793" s="40"/>
      <c r="Q2793" s="40"/>
      <c r="R2793" s="40"/>
    </row>
    <row r="2794" spans="1:18" x14ac:dyDescent="0.2">
      <c r="A2794" s="41">
        <v>44744</v>
      </c>
      <c r="B2794" s="40">
        <v>23.52</v>
      </c>
      <c r="C2794" s="40">
        <v>23.83</v>
      </c>
      <c r="D2794" s="40">
        <v>20.72</v>
      </c>
      <c r="E2794" s="40">
        <v>21.61</v>
      </c>
      <c r="K2794" s="40"/>
      <c r="P2794" s="40"/>
      <c r="Q2794" s="40"/>
      <c r="R2794" s="40"/>
    </row>
    <row r="2795" spans="1:18" x14ac:dyDescent="0.2">
      <c r="A2795" s="41">
        <v>44775</v>
      </c>
      <c r="B2795" s="40">
        <v>21.76</v>
      </c>
      <c r="C2795" s="40">
        <v>22.72</v>
      </c>
      <c r="D2795" s="40">
        <v>19.920000000000002</v>
      </c>
      <c r="E2795" s="40">
        <v>20.07</v>
      </c>
      <c r="K2795" s="40"/>
      <c r="P2795" s="40"/>
      <c r="Q2795" s="40"/>
      <c r="R2795" s="40"/>
    </row>
    <row r="2796" spans="1:18" x14ac:dyDescent="0.2">
      <c r="A2796" s="41">
        <v>44806</v>
      </c>
      <c r="B2796" s="40">
        <v>19.11</v>
      </c>
      <c r="C2796" s="40">
        <v>19.54</v>
      </c>
      <c r="D2796" s="40">
        <v>18.52</v>
      </c>
      <c r="E2796" s="40">
        <v>18.670000000000002</v>
      </c>
      <c r="K2796" s="40"/>
      <c r="P2796" s="40"/>
      <c r="Q2796" s="40"/>
      <c r="R2796" s="40"/>
    </row>
    <row r="2797" spans="1:18" x14ac:dyDescent="0.2">
      <c r="A2797" s="41">
        <v>44836</v>
      </c>
      <c r="B2797" s="40">
        <v>21.13</v>
      </c>
      <c r="C2797" s="40">
        <v>24.92</v>
      </c>
      <c r="D2797" s="40">
        <v>19.02</v>
      </c>
      <c r="E2797" s="40">
        <v>23.71</v>
      </c>
      <c r="K2797" s="40"/>
      <c r="P2797" s="40"/>
      <c r="Q2797" s="40"/>
      <c r="R2797" s="40"/>
    </row>
    <row r="2798" spans="1:18" x14ac:dyDescent="0.2">
      <c r="A2798" s="41">
        <v>44867</v>
      </c>
      <c r="B2798" s="40">
        <v>23.61</v>
      </c>
      <c r="C2798" s="40">
        <v>34.659999999999997</v>
      </c>
      <c r="D2798" s="40">
        <v>22.61</v>
      </c>
      <c r="E2798" s="40">
        <v>26.84</v>
      </c>
      <c r="K2798" s="40"/>
      <c r="P2798" s="40"/>
      <c r="Q2798" s="40"/>
      <c r="R2798" s="40"/>
    </row>
    <row r="2799" spans="1:18" x14ac:dyDescent="0.2">
      <c r="A2799" s="40" t="s">
        <v>2439</v>
      </c>
      <c r="B2799" s="40">
        <v>30.28</v>
      </c>
      <c r="C2799" s="40">
        <v>33.979999999999997</v>
      </c>
      <c r="D2799" s="40">
        <v>27.62</v>
      </c>
      <c r="E2799" s="40">
        <v>27.62</v>
      </c>
      <c r="K2799" s="40"/>
      <c r="P2799" s="40"/>
      <c r="Q2799" s="40"/>
      <c r="R2799" s="40"/>
    </row>
    <row r="2800" spans="1:18" x14ac:dyDescent="0.2">
      <c r="A2800" s="40" t="s">
        <v>2440</v>
      </c>
      <c r="B2800" s="40">
        <v>26.15</v>
      </c>
      <c r="C2800" s="40">
        <v>26.29</v>
      </c>
      <c r="D2800" s="40">
        <v>23.94</v>
      </c>
      <c r="E2800" s="40">
        <v>24.49</v>
      </c>
      <c r="K2800" s="40"/>
      <c r="P2800" s="40"/>
      <c r="Q2800" s="40"/>
      <c r="R2800" s="40"/>
    </row>
    <row r="2801" spans="1:18" x14ac:dyDescent="0.2">
      <c r="A2801" s="40" t="s">
        <v>2441</v>
      </c>
      <c r="B2801" s="40">
        <v>25.09</v>
      </c>
      <c r="C2801" s="40">
        <v>26.39</v>
      </c>
      <c r="D2801" s="40">
        <v>20.83</v>
      </c>
      <c r="E2801" s="40">
        <v>21.32</v>
      </c>
      <c r="K2801" s="40"/>
      <c r="P2801" s="40"/>
      <c r="Q2801" s="40"/>
      <c r="R2801" s="40"/>
    </row>
    <row r="2802" spans="1:18" x14ac:dyDescent="0.2">
      <c r="A2802" s="40" t="s">
        <v>2442</v>
      </c>
      <c r="B2802" s="40">
        <v>24.63</v>
      </c>
      <c r="C2802" s="40">
        <v>28.49</v>
      </c>
      <c r="D2802" s="40">
        <v>24.59</v>
      </c>
      <c r="E2802" s="40">
        <v>27.69</v>
      </c>
      <c r="K2802" s="40"/>
      <c r="P2802" s="40"/>
      <c r="Q2802" s="40"/>
      <c r="R2802" s="40"/>
    </row>
    <row r="2803" spans="1:18" x14ac:dyDescent="0.2">
      <c r="A2803" s="40" t="s">
        <v>2443</v>
      </c>
      <c r="B2803" s="40">
        <v>27.25</v>
      </c>
      <c r="C2803" s="40">
        <v>29.39</v>
      </c>
      <c r="D2803" s="40">
        <v>25.44</v>
      </c>
      <c r="E2803" s="40">
        <v>26.03</v>
      </c>
      <c r="K2803" s="40"/>
      <c r="P2803" s="40"/>
      <c r="Q2803" s="40"/>
      <c r="R2803" s="40"/>
    </row>
    <row r="2804" spans="1:18" x14ac:dyDescent="0.2">
      <c r="A2804" s="40" t="s">
        <v>2444</v>
      </c>
      <c r="B2804" s="40">
        <v>30.4</v>
      </c>
      <c r="C2804" s="40">
        <v>32.83</v>
      </c>
      <c r="D2804" s="40">
        <v>28.54</v>
      </c>
      <c r="E2804" s="40">
        <v>28.62</v>
      </c>
      <c r="K2804" s="40"/>
      <c r="P2804" s="40"/>
      <c r="Q2804" s="40"/>
      <c r="R2804" s="40"/>
    </row>
    <row r="2805" spans="1:18" x14ac:dyDescent="0.2">
      <c r="A2805" s="40" t="s">
        <v>2445</v>
      </c>
      <c r="B2805" s="40">
        <v>27.86</v>
      </c>
      <c r="C2805" s="40">
        <v>30.95</v>
      </c>
      <c r="D2805" s="40">
        <v>27.49</v>
      </c>
      <c r="E2805" s="40">
        <v>30.71</v>
      </c>
      <c r="K2805" s="40"/>
      <c r="P2805" s="40"/>
      <c r="Q2805" s="40"/>
      <c r="R2805" s="40"/>
    </row>
    <row r="2806" spans="1:18" x14ac:dyDescent="0.2">
      <c r="A2806" s="40" t="s">
        <v>2446</v>
      </c>
      <c r="B2806" s="40">
        <v>39.909999999999997</v>
      </c>
      <c r="C2806" s="40">
        <v>39.909999999999997</v>
      </c>
      <c r="D2806" s="40">
        <v>28.69</v>
      </c>
      <c r="E2806" s="40">
        <v>30.04</v>
      </c>
      <c r="K2806" s="40"/>
      <c r="P2806" s="40"/>
      <c r="Q2806" s="40"/>
      <c r="R2806" s="40"/>
    </row>
    <row r="2807" spans="1:18" x14ac:dyDescent="0.2">
      <c r="A2807" s="40" t="s">
        <v>2447</v>
      </c>
      <c r="B2807" s="40">
        <v>29.07</v>
      </c>
      <c r="C2807" s="40">
        <v>29.73</v>
      </c>
      <c r="D2807" s="40">
        <v>25.3</v>
      </c>
      <c r="E2807" s="40">
        <v>26.15</v>
      </c>
      <c r="K2807" s="40"/>
      <c r="P2807" s="40"/>
      <c r="Q2807" s="40"/>
      <c r="R2807" s="40"/>
    </row>
    <row r="2808" spans="1:18" x14ac:dyDescent="0.2">
      <c r="A2808" s="40" t="s">
        <v>2448</v>
      </c>
      <c r="B2808" s="40">
        <v>34.08</v>
      </c>
      <c r="C2808" s="40">
        <v>35.15</v>
      </c>
      <c r="D2808" s="40">
        <v>29.01</v>
      </c>
      <c r="E2808" s="40">
        <v>31.5</v>
      </c>
      <c r="K2808" s="40"/>
      <c r="P2808" s="40"/>
      <c r="Q2808" s="40"/>
      <c r="R2808" s="40"/>
    </row>
    <row r="2809" spans="1:18" x14ac:dyDescent="0.2">
      <c r="A2809" s="41">
        <v>44564</v>
      </c>
      <c r="B2809" s="40">
        <v>32.44</v>
      </c>
      <c r="C2809" s="40">
        <v>37.979999999999997</v>
      </c>
      <c r="D2809" s="40">
        <v>32.4</v>
      </c>
      <c r="E2809" s="40">
        <v>34.799999999999997</v>
      </c>
      <c r="K2809" s="40"/>
      <c r="P2809" s="40"/>
      <c r="Q2809" s="40"/>
      <c r="R2809" s="40"/>
    </row>
    <row r="2810" spans="1:18" x14ac:dyDescent="0.2">
      <c r="A2810" s="41">
        <v>44595</v>
      </c>
      <c r="B2810" s="40">
        <v>34.28</v>
      </c>
      <c r="C2810" s="40">
        <v>34.86</v>
      </c>
      <c r="D2810" s="40">
        <v>29.68</v>
      </c>
      <c r="E2810" s="40">
        <v>30.79</v>
      </c>
      <c r="K2810" s="40"/>
      <c r="P2810" s="40"/>
      <c r="Q2810" s="40"/>
      <c r="R2810" s="40"/>
    </row>
    <row r="2811" spans="1:18" x14ac:dyDescent="0.2">
      <c r="A2811" s="41">
        <v>44623</v>
      </c>
      <c r="B2811" s="40">
        <v>29.04</v>
      </c>
      <c r="C2811" s="40">
        <v>32.85</v>
      </c>
      <c r="D2811" s="40">
        <v>29.04</v>
      </c>
      <c r="E2811" s="40">
        <v>30.02</v>
      </c>
      <c r="K2811" s="40"/>
      <c r="P2811" s="40"/>
      <c r="Q2811" s="40"/>
      <c r="R2811" s="40"/>
    </row>
    <row r="2812" spans="1:18" x14ac:dyDescent="0.2">
      <c r="A2812" s="41">
        <v>44654</v>
      </c>
      <c r="B2812" s="40">
        <v>34.409999999999997</v>
      </c>
      <c r="C2812" s="40">
        <v>36.28</v>
      </c>
      <c r="D2812" s="40">
        <v>30.03</v>
      </c>
      <c r="E2812" s="40">
        <v>31.11</v>
      </c>
      <c r="K2812" s="40"/>
      <c r="P2812" s="40"/>
      <c r="Q2812" s="40"/>
      <c r="R2812" s="40"/>
    </row>
    <row r="2813" spans="1:18" x14ac:dyDescent="0.2">
      <c r="A2813" s="41">
        <v>44745</v>
      </c>
      <c r="B2813" s="40">
        <v>34.33</v>
      </c>
      <c r="C2813" s="40">
        <v>38.630000000000003</v>
      </c>
      <c r="D2813" s="40">
        <v>34.28</v>
      </c>
      <c r="E2813" s="40">
        <v>38.57</v>
      </c>
      <c r="K2813" s="40"/>
      <c r="P2813" s="40"/>
      <c r="Q2813" s="40"/>
      <c r="R2813" s="40"/>
    </row>
    <row r="2814" spans="1:18" x14ac:dyDescent="0.2">
      <c r="A2814" s="41">
        <v>44776</v>
      </c>
      <c r="B2814" s="40">
        <v>37.32</v>
      </c>
      <c r="C2814" s="40">
        <v>39.6</v>
      </c>
      <c r="D2814" s="40">
        <v>33.82</v>
      </c>
      <c r="E2814" s="40">
        <v>36.659999999999997</v>
      </c>
      <c r="K2814" s="40"/>
      <c r="P2814" s="40"/>
      <c r="Q2814" s="40"/>
      <c r="R2814" s="40"/>
    </row>
    <row r="2815" spans="1:18" x14ac:dyDescent="0.2">
      <c r="A2815" s="41">
        <v>44807</v>
      </c>
      <c r="B2815" s="40">
        <v>34.049999999999997</v>
      </c>
      <c r="C2815" s="40">
        <v>35.26</v>
      </c>
      <c r="D2815" s="40">
        <v>32</v>
      </c>
      <c r="E2815" s="40">
        <v>33.44</v>
      </c>
      <c r="K2815" s="40"/>
      <c r="P2815" s="40"/>
      <c r="Q2815" s="40"/>
      <c r="R2815" s="40"/>
    </row>
    <row r="2816" spans="1:18" x14ac:dyDescent="0.2">
      <c r="A2816" s="41">
        <v>44837</v>
      </c>
      <c r="B2816" s="40">
        <v>33.770000000000003</v>
      </c>
      <c r="C2816" s="40">
        <v>33.840000000000003</v>
      </c>
      <c r="D2816" s="40">
        <v>29.94</v>
      </c>
      <c r="E2816" s="40">
        <v>30.01</v>
      </c>
      <c r="K2816" s="40"/>
      <c r="P2816" s="40"/>
      <c r="Q2816" s="40"/>
      <c r="R2816" s="40"/>
    </row>
    <row r="2817" spans="1:18" x14ac:dyDescent="0.2">
      <c r="A2817" s="41">
        <v>44868</v>
      </c>
      <c r="B2817" s="40">
        <v>29.27</v>
      </c>
      <c r="C2817" s="40">
        <v>31</v>
      </c>
      <c r="D2817" s="40">
        <v>28.42</v>
      </c>
      <c r="E2817" s="40">
        <v>30.63</v>
      </c>
      <c r="K2817" s="40"/>
      <c r="P2817" s="40"/>
      <c r="Q2817" s="40"/>
      <c r="R2817" s="40"/>
    </row>
    <row r="2818" spans="1:18" x14ac:dyDescent="0.2">
      <c r="A2818" s="40" t="s">
        <v>2449</v>
      </c>
      <c r="B2818" s="40">
        <v>33.130000000000003</v>
      </c>
      <c r="C2818" s="40">
        <v>36.08</v>
      </c>
      <c r="D2818" s="40">
        <v>31.88</v>
      </c>
      <c r="E2818" s="40">
        <v>34.229999999999997</v>
      </c>
      <c r="K2818" s="40"/>
      <c r="P2818" s="40"/>
      <c r="Q2818" s="40"/>
      <c r="R2818" s="40"/>
    </row>
    <row r="2819" spans="1:18" x14ac:dyDescent="0.2">
      <c r="A2819" s="40" t="s">
        <v>2450</v>
      </c>
      <c r="B2819" s="40">
        <v>33.97</v>
      </c>
      <c r="C2819" s="40">
        <v>34.520000000000003</v>
      </c>
      <c r="D2819" s="40">
        <v>30.59</v>
      </c>
      <c r="E2819" s="40">
        <v>30.71</v>
      </c>
      <c r="K2819" s="40"/>
      <c r="P2819" s="40"/>
      <c r="Q2819" s="40"/>
      <c r="R2819" s="40"/>
    </row>
    <row r="2820" spans="1:18" x14ac:dyDescent="0.2">
      <c r="A2820" s="40" t="s">
        <v>2451</v>
      </c>
      <c r="B2820" s="40">
        <v>29.43</v>
      </c>
      <c r="C2820" s="40">
        <v>30.84</v>
      </c>
      <c r="D2820" s="40">
        <v>25.92</v>
      </c>
      <c r="E2820" s="40">
        <v>26.51</v>
      </c>
      <c r="K2820" s="40"/>
      <c r="P2820" s="40"/>
      <c r="Q2820" s="40"/>
      <c r="R2820" s="40"/>
    </row>
    <row r="2821" spans="1:18" x14ac:dyDescent="0.2">
      <c r="A2821" s="40" t="s">
        <v>2452</v>
      </c>
      <c r="B2821" s="40">
        <v>26.85</v>
      </c>
      <c r="C2821" s="40">
        <v>26.94</v>
      </c>
      <c r="D2821" s="40">
        <v>24.43</v>
      </c>
      <c r="E2821" s="40">
        <v>24.94</v>
      </c>
      <c r="K2821" s="40"/>
      <c r="P2821" s="40"/>
      <c r="Q2821" s="40"/>
      <c r="R2821" s="40"/>
    </row>
    <row r="2822" spans="1:18" x14ac:dyDescent="0.2">
      <c r="A2822" s="40" t="s">
        <v>2453</v>
      </c>
      <c r="B2822" s="40">
        <v>25.99</v>
      </c>
      <c r="C2822" s="40">
        <v>26.07</v>
      </c>
      <c r="D2822" s="40">
        <v>22.04</v>
      </c>
      <c r="E2822" s="40">
        <v>22.19</v>
      </c>
      <c r="K2822" s="40"/>
      <c r="P2822" s="40"/>
      <c r="Q2822" s="40"/>
      <c r="R2822" s="40"/>
    </row>
    <row r="2823" spans="1:18" x14ac:dyDescent="0.2">
      <c r="A2823" s="40" t="s">
        <v>2454</v>
      </c>
      <c r="B2823" s="40">
        <v>24.4</v>
      </c>
      <c r="C2823" s="40">
        <v>25.46</v>
      </c>
      <c r="D2823" s="40">
        <v>22.68</v>
      </c>
      <c r="E2823" s="40">
        <v>22.73</v>
      </c>
      <c r="K2823" s="40"/>
      <c r="P2823" s="40"/>
      <c r="Q2823" s="40"/>
      <c r="R2823" s="40"/>
    </row>
    <row r="2824" spans="1:18" x14ac:dyDescent="0.2">
      <c r="A2824" s="40" t="s">
        <v>2455</v>
      </c>
      <c r="B2824" s="40">
        <v>22.25</v>
      </c>
      <c r="C2824" s="40">
        <v>23.23</v>
      </c>
      <c r="D2824" s="40">
        <v>22.14</v>
      </c>
      <c r="E2824" s="40">
        <v>22.57</v>
      </c>
      <c r="K2824" s="40"/>
      <c r="P2824" s="40"/>
      <c r="Q2824" s="40"/>
      <c r="R2824" s="40"/>
    </row>
    <row r="2825" spans="1:18" x14ac:dyDescent="0.2">
      <c r="A2825" s="40" t="s">
        <v>2456</v>
      </c>
      <c r="B2825" s="40">
        <v>23.94</v>
      </c>
      <c r="C2825" s="40">
        <v>24.11</v>
      </c>
      <c r="D2825" s="40">
        <v>22.18</v>
      </c>
      <c r="E2825" s="40">
        <v>23.21</v>
      </c>
      <c r="K2825" s="40"/>
      <c r="P2825" s="40"/>
      <c r="Q2825" s="40"/>
      <c r="R2825" s="40"/>
    </row>
    <row r="2826" spans="1:18" x14ac:dyDescent="0.2">
      <c r="A2826" s="40" t="s">
        <v>2457</v>
      </c>
      <c r="B2826" s="40">
        <v>23.33</v>
      </c>
      <c r="C2826" s="40">
        <v>23.94</v>
      </c>
      <c r="D2826" s="40">
        <v>20.329999999999998</v>
      </c>
      <c r="E2826" s="40">
        <v>20.420000000000002</v>
      </c>
      <c r="K2826" s="40"/>
      <c r="P2826" s="40"/>
      <c r="Q2826" s="40"/>
      <c r="R2826" s="40"/>
    </row>
    <row r="2827" spans="1:18" x14ac:dyDescent="0.2">
      <c r="A2827" s="40" t="s">
        <v>2458</v>
      </c>
      <c r="B2827" s="40">
        <v>20.94</v>
      </c>
      <c r="C2827" s="40">
        <v>22.32</v>
      </c>
      <c r="D2827" s="40">
        <v>18.45</v>
      </c>
      <c r="E2827" s="40">
        <v>18.45</v>
      </c>
      <c r="K2827" s="40"/>
      <c r="P2827" s="40"/>
      <c r="Q2827" s="40"/>
      <c r="R2827" s="40"/>
    </row>
    <row r="2828" spans="1:18" x14ac:dyDescent="0.2">
      <c r="A2828" s="40" t="s">
        <v>2459</v>
      </c>
      <c r="B2828" s="40">
        <v>21.27</v>
      </c>
      <c r="C2828" s="40">
        <v>21.65</v>
      </c>
      <c r="D2828" s="40">
        <v>17.66</v>
      </c>
      <c r="E2828" s="40">
        <v>17.82</v>
      </c>
      <c r="K2828" s="40"/>
      <c r="P2828" s="40"/>
      <c r="Q2828" s="40"/>
      <c r="R2828" s="40"/>
    </row>
    <row r="2829" spans="1:18" x14ac:dyDescent="0.2">
      <c r="A2829" s="40" t="s">
        <v>2460</v>
      </c>
      <c r="B2829" s="40">
        <v>17.23</v>
      </c>
      <c r="C2829" s="40">
        <v>18.86</v>
      </c>
      <c r="D2829" s="40">
        <v>17.2</v>
      </c>
      <c r="E2829" s="40">
        <v>17.54</v>
      </c>
      <c r="K2829" s="40"/>
      <c r="P2829" s="40"/>
      <c r="Q2829" s="40"/>
      <c r="R2829" s="40"/>
    </row>
    <row r="2830" spans="1:18" x14ac:dyDescent="0.2">
      <c r="A2830" s="40" t="s">
        <v>2461</v>
      </c>
      <c r="B2830" s="40">
        <v>17.940000000000001</v>
      </c>
      <c r="C2830" s="40">
        <v>19.2</v>
      </c>
      <c r="D2830" s="40">
        <v>17.260000000000002</v>
      </c>
      <c r="E2830" s="40">
        <v>17.43</v>
      </c>
      <c r="K2830" s="40"/>
      <c r="P2830" s="40"/>
      <c r="Q2830" s="40"/>
      <c r="R2830" s="40"/>
    </row>
    <row r="2831" spans="1:18" x14ac:dyDescent="0.2">
      <c r="A2831" s="40" t="s">
        <v>2462</v>
      </c>
      <c r="B2831" s="40">
        <v>18.32</v>
      </c>
      <c r="C2831" s="40">
        <v>19.72</v>
      </c>
      <c r="D2831" s="40">
        <v>17.510000000000002</v>
      </c>
      <c r="E2831" s="40">
        <v>18.399999999999999</v>
      </c>
      <c r="K2831" s="40"/>
      <c r="P2831" s="40"/>
      <c r="Q2831" s="40"/>
      <c r="R2831" s="40"/>
    </row>
    <row r="2832" spans="1:18" x14ac:dyDescent="0.2">
      <c r="A2832" s="41">
        <v>44565</v>
      </c>
      <c r="B2832" s="40">
        <v>17.89</v>
      </c>
      <c r="C2832" s="40">
        <v>18.02</v>
      </c>
      <c r="D2832" s="40">
        <v>15.58</v>
      </c>
      <c r="E2832" s="40">
        <v>16</v>
      </c>
      <c r="K2832" s="40"/>
      <c r="P2832" s="40"/>
      <c r="Q2832" s="40"/>
      <c r="R2832" s="40"/>
    </row>
    <row r="2833" spans="1:18" x14ac:dyDescent="0.2">
      <c r="A2833" s="41">
        <v>44655</v>
      </c>
      <c r="B2833" s="40">
        <v>18.010000000000002</v>
      </c>
      <c r="C2833" s="40">
        <v>18.11</v>
      </c>
      <c r="D2833" s="40">
        <v>15.36</v>
      </c>
      <c r="E2833" s="40">
        <v>15.76</v>
      </c>
      <c r="K2833" s="40"/>
      <c r="P2833" s="40"/>
      <c r="Q2833" s="40"/>
      <c r="R2833" s="40"/>
    </row>
    <row r="2834" spans="1:18" x14ac:dyDescent="0.2">
      <c r="A2834" s="41">
        <v>44685</v>
      </c>
      <c r="B2834" s="40">
        <v>16.760000000000002</v>
      </c>
      <c r="C2834" s="40">
        <v>19.59</v>
      </c>
      <c r="D2834" s="40">
        <v>16.28</v>
      </c>
      <c r="E2834" s="40">
        <v>18.62</v>
      </c>
      <c r="K2834" s="40"/>
      <c r="P2834" s="40"/>
      <c r="Q2834" s="40"/>
      <c r="R2834" s="40"/>
    </row>
    <row r="2835" spans="1:18" x14ac:dyDescent="0.2">
      <c r="A2835" s="41">
        <v>44716</v>
      </c>
      <c r="B2835" s="40">
        <v>20.73</v>
      </c>
      <c r="C2835" s="40">
        <v>23.65</v>
      </c>
      <c r="D2835" s="40">
        <v>19.28</v>
      </c>
      <c r="E2835" s="40">
        <v>19.64</v>
      </c>
      <c r="K2835" s="40"/>
      <c r="P2835" s="40"/>
      <c r="Q2835" s="40"/>
      <c r="R2835" s="40"/>
    </row>
    <row r="2836" spans="1:18" x14ac:dyDescent="0.2">
      <c r="A2836" s="41">
        <v>44746</v>
      </c>
      <c r="B2836" s="40">
        <v>20.2</v>
      </c>
      <c r="C2836" s="40">
        <v>22.41</v>
      </c>
      <c r="D2836" s="40">
        <v>18.61</v>
      </c>
      <c r="E2836" s="40">
        <v>19.05</v>
      </c>
      <c r="K2836" s="40"/>
      <c r="P2836" s="40"/>
      <c r="Q2836" s="40"/>
      <c r="R2836" s="40"/>
    </row>
    <row r="2837" spans="1:18" x14ac:dyDescent="0.2">
      <c r="A2837" s="41">
        <v>44777</v>
      </c>
      <c r="B2837" s="40">
        <v>19.32</v>
      </c>
      <c r="C2837" s="40">
        <v>19.86</v>
      </c>
      <c r="D2837" s="40">
        <v>17.14</v>
      </c>
      <c r="E2837" s="40">
        <v>17.3</v>
      </c>
      <c r="K2837" s="40"/>
      <c r="P2837" s="40"/>
      <c r="Q2837" s="40"/>
      <c r="R2837" s="40"/>
    </row>
    <row r="2838" spans="1:18" x14ac:dyDescent="0.2">
      <c r="A2838" s="41">
        <v>44869</v>
      </c>
      <c r="B2838" s="40">
        <v>20.71</v>
      </c>
      <c r="C2838" s="40">
        <v>22.85</v>
      </c>
      <c r="D2838" s="40">
        <v>20.58</v>
      </c>
      <c r="E2838" s="40">
        <v>22.85</v>
      </c>
      <c r="K2838" s="40"/>
      <c r="P2838" s="40"/>
      <c r="Q2838" s="40"/>
      <c r="R2838" s="40"/>
    </row>
    <row r="2839" spans="1:18" x14ac:dyDescent="0.2">
      <c r="A2839" s="41">
        <v>44899</v>
      </c>
      <c r="B2839" s="40">
        <v>21.41</v>
      </c>
      <c r="C2839" s="40">
        <v>23.97</v>
      </c>
      <c r="D2839" s="40">
        <v>19.89</v>
      </c>
      <c r="E2839" s="40">
        <v>22.49</v>
      </c>
      <c r="K2839" s="40"/>
      <c r="P2839" s="40"/>
      <c r="Q2839" s="40"/>
      <c r="R2839" s="40"/>
    </row>
    <row r="2840" spans="1:18" x14ac:dyDescent="0.2">
      <c r="A2840" s="40" t="s">
        <v>2463</v>
      </c>
      <c r="B2840" s="40">
        <v>22.6</v>
      </c>
      <c r="C2840" s="40">
        <v>22.63</v>
      </c>
      <c r="D2840" s="40">
        <v>18.53</v>
      </c>
      <c r="E2840" s="40">
        <v>19.149999999999999</v>
      </c>
      <c r="K2840" s="40"/>
      <c r="P2840" s="40"/>
      <c r="Q2840" s="40"/>
      <c r="R2840" s="40"/>
    </row>
    <row r="2841" spans="1:18" x14ac:dyDescent="0.2">
      <c r="A2841" s="40" t="s">
        <v>2464</v>
      </c>
      <c r="B2841" s="40">
        <v>18.670000000000002</v>
      </c>
      <c r="C2841" s="40">
        <v>19.39</v>
      </c>
      <c r="D2841" s="40">
        <v>18.04</v>
      </c>
      <c r="E2841" s="40">
        <v>19.34</v>
      </c>
      <c r="K2841" s="40"/>
      <c r="P2841" s="40"/>
      <c r="Q2841" s="40"/>
      <c r="R2841" s="40"/>
    </row>
    <row r="2842" spans="1:18" x14ac:dyDescent="0.2">
      <c r="A2842" s="40" t="s">
        <v>2465</v>
      </c>
      <c r="B2842" s="40">
        <v>23.1</v>
      </c>
      <c r="C2842" s="40">
        <v>23.19</v>
      </c>
      <c r="D2842" s="40">
        <v>19.739999999999998</v>
      </c>
      <c r="E2842" s="40">
        <v>20.88</v>
      </c>
      <c r="K2842" s="40"/>
      <c r="P2842" s="40"/>
      <c r="Q2842" s="40"/>
      <c r="R2842" s="40"/>
    </row>
    <row r="2843" spans="1:18" x14ac:dyDescent="0.2">
      <c r="A2843" s="40" t="s">
        <v>2466</v>
      </c>
      <c r="B2843" s="40">
        <v>21.72</v>
      </c>
      <c r="C2843" s="40">
        <v>21.88</v>
      </c>
      <c r="D2843" s="40">
        <v>19.37</v>
      </c>
      <c r="E2843" s="40">
        <v>20.7</v>
      </c>
      <c r="K2843" s="40"/>
      <c r="P2843" s="40"/>
      <c r="Q2843" s="40"/>
      <c r="R2843" s="40"/>
    </row>
    <row r="2844" spans="1:18" x14ac:dyDescent="0.2">
      <c r="A2844" s="40" t="s">
        <v>2467</v>
      </c>
      <c r="B2844" s="40">
        <v>19.52</v>
      </c>
      <c r="C2844" s="40">
        <v>20.72</v>
      </c>
      <c r="D2844" s="40">
        <v>18.52</v>
      </c>
      <c r="E2844" s="40">
        <v>19.3</v>
      </c>
      <c r="K2844" s="40"/>
      <c r="P2844" s="40"/>
      <c r="Q2844" s="40"/>
      <c r="R2844" s="40"/>
    </row>
    <row r="2845" spans="1:18" x14ac:dyDescent="0.2">
      <c r="A2845" s="40" t="s">
        <v>2468</v>
      </c>
      <c r="B2845" s="40">
        <v>18.96</v>
      </c>
      <c r="C2845" s="40">
        <v>23.28</v>
      </c>
      <c r="D2845" s="40">
        <v>18.579999999999998</v>
      </c>
      <c r="E2845" s="40">
        <v>22.21</v>
      </c>
      <c r="K2845" s="40"/>
      <c r="P2845" s="40"/>
      <c r="Q2845" s="40"/>
      <c r="R2845" s="40"/>
    </row>
    <row r="2846" spans="1:18" x14ac:dyDescent="0.2">
      <c r="A2846" s="40" t="s">
        <v>2469</v>
      </c>
      <c r="B2846" s="40">
        <v>23.25</v>
      </c>
      <c r="C2846" s="40">
        <v>29.83</v>
      </c>
      <c r="D2846" s="40">
        <v>22.74</v>
      </c>
      <c r="E2846" s="40">
        <v>29.07</v>
      </c>
      <c r="K2846" s="40"/>
      <c r="P2846" s="40"/>
      <c r="Q2846" s="40"/>
      <c r="R2846" s="40"/>
    </row>
    <row r="2847" spans="1:18" x14ac:dyDescent="0.2">
      <c r="A2847" s="40" t="s">
        <v>2470</v>
      </c>
      <c r="B2847" s="40">
        <v>32.92</v>
      </c>
      <c r="C2847" s="40">
        <v>36.47</v>
      </c>
      <c r="D2847" s="40">
        <v>28.7</v>
      </c>
      <c r="E2847" s="40">
        <v>28.95</v>
      </c>
      <c r="K2847" s="40"/>
      <c r="P2847" s="40"/>
      <c r="Q2847" s="40"/>
      <c r="R2847" s="40"/>
    </row>
    <row r="2848" spans="1:18" x14ac:dyDescent="0.2">
      <c r="A2848" s="40" t="s">
        <v>2471</v>
      </c>
      <c r="B2848" s="40">
        <v>30.63</v>
      </c>
      <c r="C2848" s="40">
        <v>38.159999999999997</v>
      </c>
      <c r="D2848" s="40">
        <v>30.05</v>
      </c>
      <c r="E2848" s="40">
        <v>37.74</v>
      </c>
      <c r="K2848" s="40"/>
      <c r="P2848" s="40"/>
      <c r="Q2848" s="40"/>
      <c r="R2848" s="40"/>
    </row>
    <row r="2849" spans="1:18" x14ac:dyDescent="0.2">
      <c r="A2849" s="40" t="s">
        <v>2472</v>
      </c>
      <c r="B2849" s="40">
        <v>35.43</v>
      </c>
      <c r="C2849" s="40">
        <v>37.18</v>
      </c>
      <c r="D2849" s="40">
        <v>33.19</v>
      </c>
      <c r="E2849" s="40">
        <v>34.82</v>
      </c>
      <c r="K2849" s="40"/>
      <c r="P2849" s="40"/>
      <c r="Q2849" s="40"/>
      <c r="R2849" s="40"/>
    </row>
    <row r="2850" spans="1:18" x14ac:dyDescent="0.2">
      <c r="A2850" s="40" t="s">
        <v>2473</v>
      </c>
      <c r="B2850" s="40">
        <v>32.6</v>
      </c>
      <c r="C2850" s="40">
        <v>36.24</v>
      </c>
      <c r="D2850" s="40">
        <v>30.04</v>
      </c>
      <c r="E2850" s="40">
        <v>32.25</v>
      </c>
      <c r="K2850" s="40"/>
      <c r="P2850" s="40"/>
      <c r="Q2850" s="40"/>
      <c r="R2850" s="40"/>
    </row>
    <row r="2851" spans="1:18" x14ac:dyDescent="0.2">
      <c r="A2851" s="40" t="s">
        <v>2474</v>
      </c>
      <c r="B2851" s="40">
        <v>31.62</v>
      </c>
      <c r="C2851" s="40">
        <v>37.72</v>
      </c>
      <c r="D2851" s="40">
        <v>30.46</v>
      </c>
      <c r="E2851" s="40">
        <v>36.11</v>
      </c>
      <c r="K2851" s="40"/>
      <c r="P2851" s="40"/>
      <c r="Q2851" s="40"/>
      <c r="R2851" s="40"/>
    </row>
    <row r="2852" spans="1:18" x14ac:dyDescent="0.2">
      <c r="A2852" s="41">
        <v>44597</v>
      </c>
      <c r="B2852" s="40">
        <v>39.049999999999997</v>
      </c>
      <c r="C2852" s="40">
        <v>41.67</v>
      </c>
      <c r="D2852" s="40">
        <v>34.909999999999997</v>
      </c>
      <c r="E2852" s="40">
        <v>35.4</v>
      </c>
      <c r="K2852" s="40"/>
      <c r="P2852" s="40"/>
      <c r="Q2852" s="40"/>
      <c r="R2852" s="40"/>
    </row>
    <row r="2853" spans="1:18" x14ac:dyDescent="0.2">
      <c r="A2853" s="41">
        <v>44625</v>
      </c>
      <c r="B2853" s="40">
        <v>35.14</v>
      </c>
      <c r="C2853" s="40">
        <v>35.479999999999997</v>
      </c>
      <c r="D2853" s="40">
        <v>31.27</v>
      </c>
      <c r="E2853" s="40">
        <v>31.61</v>
      </c>
      <c r="K2853" s="40"/>
      <c r="P2853" s="40"/>
      <c r="Q2853" s="40"/>
      <c r="R2853" s="40"/>
    </row>
    <row r="2854" spans="1:18" x14ac:dyDescent="0.2">
      <c r="A2854" s="41">
        <v>44656</v>
      </c>
      <c r="B2854" s="40">
        <v>32.090000000000003</v>
      </c>
      <c r="C2854" s="40">
        <v>33.229999999999997</v>
      </c>
      <c r="D2854" s="40">
        <v>25.65</v>
      </c>
      <c r="E2854" s="40">
        <v>26.16</v>
      </c>
      <c r="K2854" s="40"/>
      <c r="P2854" s="40"/>
      <c r="Q2854" s="40"/>
      <c r="R2854" s="40"/>
    </row>
    <row r="2855" spans="1:18" x14ac:dyDescent="0.2">
      <c r="A2855" s="41">
        <v>44686</v>
      </c>
      <c r="B2855" s="40">
        <v>27.51</v>
      </c>
      <c r="C2855" s="40">
        <v>36.35</v>
      </c>
      <c r="D2855" s="40">
        <v>27.19</v>
      </c>
      <c r="E2855" s="40">
        <v>33.25</v>
      </c>
      <c r="K2855" s="40"/>
      <c r="P2855" s="40"/>
      <c r="Q2855" s="40"/>
      <c r="R2855" s="40"/>
    </row>
    <row r="2856" spans="1:18" x14ac:dyDescent="0.2">
      <c r="A2856" s="41">
        <v>44717</v>
      </c>
      <c r="B2856" s="40">
        <v>35.53</v>
      </c>
      <c r="C2856" s="40">
        <v>38.93</v>
      </c>
      <c r="D2856" s="40">
        <v>29.55</v>
      </c>
      <c r="E2856" s="40">
        <v>29.79</v>
      </c>
      <c r="K2856" s="40"/>
      <c r="P2856" s="40"/>
      <c r="Q2856" s="40"/>
      <c r="R2856" s="40"/>
    </row>
    <row r="2857" spans="1:18" x14ac:dyDescent="0.2">
      <c r="A2857" s="41">
        <v>44809</v>
      </c>
      <c r="B2857" s="40">
        <v>35.159999999999997</v>
      </c>
      <c r="C2857" s="40">
        <v>37.89</v>
      </c>
      <c r="D2857" s="40">
        <v>34.49</v>
      </c>
      <c r="E2857" s="40">
        <v>36.65</v>
      </c>
      <c r="K2857" s="40"/>
      <c r="P2857" s="40"/>
      <c r="Q2857" s="40"/>
      <c r="R2857" s="40"/>
    </row>
    <row r="2858" spans="1:18" x14ac:dyDescent="0.2">
      <c r="A2858" s="41">
        <v>44839</v>
      </c>
      <c r="B2858" s="40">
        <v>34</v>
      </c>
      <c r="C2858" s="40">
        <v>36.770000000000003</v>
      </c>
      <c r="D2858" s="40">
        <v>33.909999999999997</v>
      </c>
      <c r="E2858" s="40">
        <v>34.700000000000003</v>
      </c>
      <c r="K2858" s="40"/>
      <c r="P2858" s="40"/>
      <c r="Q2858" s="40"/>
      <c r="R2858" s="40"/>
    </row>
    <row r="2859" spans="1:18" x14ac:dyDescent="0.2">
      <c r="A2859" s="41">
        <v>44870</v>
      </c>
      <c r="B2859" s="40">
        <v>35.32</v>
      </c>
      <c r="C2859" s="40">
        <v>35.57</v>
      </c>
      <c r="D2859" s="40">
        <v>32.19</v>
      </c>
      <c r="E2859" s="40">
        <v>33.92</v>
      </c>
      <c r="K2859" s="40"/>
      <c r="P2859" s="40"/>
      <c r="Q2859" s="40"/>
      <c r="R2859" s="40"/>
    </row>
    <row r="2860" spans="1:18" x14ac:dyDescent="0.2">
      <c r="A2860" s="41">
        <v>44900</v>
      </c>
      <c r="B2860" s="40">
        <v>36.729999999999997</v>
      </c>
      <c r="C2860" s="40">
        <v>38.78</v>
      </c>
      <c r="D2860" s="40">
        <v>33.22</v>
      </c>
      <c r="E2860" s="40">
        <v>33.32</v>
      </c>
      <c r="K2860" s="40"/>
      <c r="P2860" s="40"/>
      <c r="Q2860" s="40"/>
      <c r="R2860" s="40"/>
    </row>
    <row r="2861" spans="1:18" x14ac:dyDescent="0.2">
      <c r="A2861" s="40" t="s">
        <v>2475</v>
      </c>
      <c r="B2861" s="40">
        <v>31.59</v>
      </c>
      <c r="C2861" s="40">
        <v>31.9</v>
      </c>
      <c r="D2861" s="40">
        <v>29.07</v>
      </c>
      <c r="E2861" s="40">
        <v>29.38</v>
      </c>
      <c r="K2861" s="40"/>
      <c r="P2861" s="40"/>
      <c r="Q2861" s="40"/>
      <c r="R2861" s="40"/>
    </row>
    <row r="2862" spans="1:18" x14ac:dyDescent="0.2">
      <c r="A2862" s="40" t="s">
        <v>2476</v>
      </c>
      <c r="B2862" s="40">
        <v>31.79</v>
      </c>
      <c r="C2862" s="40">
        <v>32.299999999999997</v>
      </c>
      <c r="D2862" s="40">
        <v>28.37</v>
      </c>
      <c r="E2862" s="40">
        <v>28.52</v>
      </c>
      <c r="K2862" s="40"/>
      <c r="P2862" s="40"/>
      <c r="Q2862" s="40"/>
      <c r="R2862" s="40"/>
    </row>
    <row r="2863" spans="1:18" x14ac:dyDescent="0.2">
      <c r="A2863" s="40" t="s">
        <v>2477</v>
      </c>
      <c r="B2863" s="40">
        <v>27.92</v>
      </c>
      <c r="C2863" s="40">
        <v>28.63</v>
      </c>
      <c r="D2863" s="40">
        <v>26.29</v>
      </c>
      <c r="E2863" s="40">
        <v>26.92</v>
      </c>
      <c r="K2863" s="40"/>
      <c r="P2863" s="40"/>
      <c r="Q2863" s="40"/>
      <c r="R2863" s="40"/>
    </row>
    <row r="2864" spans="1:18" x14ac:dyDescent="0.2">
      <c r="A2864" s="40" t="s">
        <v>2478</v>
      </c>
      <c r="B2864" s="40">
        <v>28.87</v>
      </c>
      <c r="C2864" s="40">
        <v>33.11</v>
      </c>
      <c r="D2864" s="40">
        <v>28.7</v>
      </c>
      <c r="E2864" s="40">
        <v>32.299999999999997</v>
      </c>
      <c r="K2864" s="40"/>
      <c r="P2864" s="40"/>
      <c r="Q2864" s="40"/>
      <c r="R2864" s="40"/>
    </row>
    <row r="2865" spans="1:18" x14ac:dyDescent="0.2">
      <c r="A2865" s="40" t="s">
        <v>2479</v>
      </c>
      <c r="B2865" s="40">
        <v>33.64</v>
      </c>
      <c r="C2865" s="40">
        <v>35.479999999999997</v>
      </c>
      <c r="D2865" s="40">
        <v>30.2</v>
      </c>
      <c r="E2865" s="40">
        <v>30.69</v>
      </c>
      <c r="K2865" s="40"/>
      <c r="P2865" s="40"/>
      <c r="Q2865" s="40"/>
      <c r="R2865" s="40"/>
    </row>
    <row r="2866" spans="1:18" x14ac:dyDescent="0.2">
      <c r="A2866" s="40" t="s">
        <v>2480</v>
      </c>
      <c r="B2866" s="40">
        <v>30.2</v>
      </c>
      <c r="C2866" s="40">
        <v>35.85</v>
      </c>
      <c r="D2866" s="40">
        <v>29.17</v>
      </c>
      <c r="E2866" s="40">
        <v>29.19</v>
      </c>
      <c r="K2866" s="40"/>
      <c r="P2866" s="40"/>
      <c r="Q2866" s="40"/>
      <c r="R2866" s="40"/>
    </row>
    <row r="2867" spans="1:18" x14ac:dyDescent="0.2">
      <c r="A2867" s="40" t="s">
        <v>2481</v>
      </c>
      <c r="B2867" s="40">
        <v>30.85</v>
      </c>
      <c r="C2867" s="40">
        <v>32.200000000000003</v>
      </c>
      <c r="D2867" s="40">
        <v>28.74</v>
      </c>
      <c r="E2867" s="40">
        <v>28.98</v>
      </c>
      <c r="K2867" s="40"/>
      <c r="P2867" s="40"/>
      <c r="Q2867" s="40"/>
      <c r="R2867" s="40"/>
    </row>
    <row r="2868" spans="1:18" x14ac:dyDescent="0.2">
      <c r="A2868" s="40" t="s">
        <v>2482</v>
      </c>
      <c r="B2868" s="40">
        <v>30.25</v>
      </c>
      <c r="C2868" s="40">
        <v>32.56</v>
      </c>
      <c r="D2868" s="40">
        <v>29.29</v>
      </c>
      <c r="E2868" s="40">
        <v>29.48</v>
      </c>
      <c r="K2868" s="40"/>
      <c r="P2868" s="40"/>
      <c r="Q2868" s="40"/>
      <c r="R2868" s="40"/>
    </row>
    <row r="2869" spans="1:18" x14ac:dyDescent="0.2">
      <c r="A2869" s="40" t="s">
        <v>2483</v>
      </c>
      <c r="B2869" s="40">
        <v>30.58</v>
      </c>
      <c r="C2869" s="40">
        <v>30.7</v>
      </c>
      <c r="D2869" s="40">
        <v>27.17</v>
      </c>
      <c r="E2869" s="40">
        <v>27.37</v>
      </c>
      <c r="K2869" s="40"/>
      <c r="P2869" s="40"/>
      <c r="Q2869" s="40"/>
      <c r="R2869" s="40"/>
    </row>
    <row r="2870" spans="1:18" x14ac:dyDescent="0.2">
      <c r="A2870" s="40" t="s">
        <v>2484</v>
      </c>
      <c r="B2870" s="40">
        <v>27.59</v>
      </c>
      <c r="C2870" s="40">
        <v>27.7</v>
      </c>
      <c r="D2870" s="40">
        <v>25.23</v>
      </c>
      <c r="E2870" s="40">
        <v>25.67</v>
      </c>
      <c r="K2870" s="40"/>
      <c r="P2870" s="40"/>
      <c r="Q2870" s="40"/>
      <c r="R2870" s="40"/>
    </row>
    <row r="2871" spans="1:18" x14ac:dyDescent="0.2">
      <c r="A2871" s="40" t="s">
        <v>2485</v>
      </c>
      <c r="B2871" s="40">
        <v>24.75</v>
      </c>
      <c r="C2871" s="40">
        <v>24.79</v>
      </c>
      <c r="D2871" s="40">
        <v>22.59</v>
      </c>
      <c r="E2871" s="40">
        <v>23.13</v>
      </c>
      <c r="K2871" s="40"/>
      <c r="P2871" s="40"/>
      <c r="Q2871" s="40"/>
      <c r="R2871" s="40"/>
    </row>
    <row r="2872" spans="1:18" x14ac:dyDescent="0.2">
      <c r="A2872" s="40" t="s">
        <v>2486</v>
      </c>
      <c r="B2872" s="40">
        <v>28.43</v>
      </c>
      <c r="C2872" s="40">
        <v>29.47</v>
      </c>
      <c r="D2872" s="40">
        <v>24.43</v>
      </c>
      <c r="E2872" s="40">
        <v>25.91</v>
      </c>
      <c r="K2872" s="40"/>
      <c r="P2872" s="40"/>
      <c r="Q2872" s="40"/>
      <c r="R2872" s="40"/>
    </row>
    <row r="2873" spans="1:18" x14ac:dyDescent="0.2">
      <c r="A2873" s="41">
        <v>44567</v>
      </c>
      <c r="B2873" s="40">
        <v>25.39</v>
      </c>
      <c r="C2873" s="40">
        <v>28.1</v>
      </c>
      <c r="D2873" s="40">
        <v>24.81</v>
      </c>
      <c r="E2873" s="40">
        <v>25.12</v>
      </c>
      <c r="K2873" s="40"/>
      <c r="P2873" s="40"/>
      <c r="Q2873" s="40"/>
      <c r="R2873" s="40"/>
    </row>
    <row r="2874" spans="1:18" x14ac:dyDescent="0.2">
      <c r="A2874" s="41">
        <v>44598</v>
      </c>
      <c r="B2874" s="40">
        <v>26.34</v>
      </c>
      <c r="C2874" s="40">
        <v>26.83</v>
      </c>
      <c r="D2874" s="40">
        <v>23.27</v>
      </c>
      <c r="E2874" s="40">
        <v>23.57</v>
      </c>
      <c r="K2874" s="40"/>
      <c r="P2874" s="40"/>
      <c r="Q2874" s="40"/>
      <c r="R2874" s="40"/>
    </row>
    <row r="2875" spans="1:18" x14ac:dyDescent="0.2">
      <c r="A2875" s="41">
        <v>44626</v>
      </c>
      <c r="B2875" s="40">
        <v>25.49</v>
      </c>
      <c r="C2875" s="40">
        <v>26.14</v>
      </c>
      <c r="D2875" s="40">
        <v>23.05</v>
      </c>
      <c r="E2875" s="40">
        <v>23.05</v>
      </c>
      <c r="K2875" s="40"/>
      <c r="P2875" s="40"/>
      <c r="Q2875" s="40"/>
      <c r="R2875" s="40"/>
    </row>
    <row r="2876" spans="1:18" x14ac:dyDescent="0.2">
      <c r="A2876" s="41">
        <v>44718</v>
      </c>
      <c r="B2876" s="40">
        <v>25.79</v>
      </c>
      <c r="C2876" s="40">
        <v>27.01</v>
      </c>
      <c r="D2876" s="40">
        <v>25.32</v>
      </c>
      <c r="E2876" s="40">
        <v>25.57</v>
      </c>
      <c r="K2876" s="40"/>
      <c r="P2876" s="40"/>
      <c r="Q2876" s="40"/>
      <c r="R2876" s="40"/>
    </row>
    <row r="2877" spans="1:18" x14ac:dyDescent="0.2">
      <c r="A2877" s="41">
        <v>44748</v>
      </c>
      <c r="B2877" s="40">
        <v>27.12</v>
      </c>
      <c r="C2877" s="40">
        <v>27.36</v>
      </c>
      <c r="D2877" s="40">
        <v>24</v>
      </c>
      <c r="E2877" s="40">
        <v>24.23</v>
      </c>
      <c r="K2877" s="40"/>
      <c r="P2877" s="40"/>
      <c r="Q2877" s="40"/>
      <c r="R2877" s="40"/>
    </row>
    <row r="2878" spans="1:18" x14ac:dyDescent="0.2">
      <c r="A2878" s="41">
        <v>44779</v>
      </c>
      <c r="B2878" s="40">
        <v>25.53</v>
      </c>
      <c r="C2878" s="40">
        <v>25.73</v>
      </c>
      <c r="D2878" s="40">
        <v>23.8</v>
      </c>
      <c r="E2878" s="40">
        <v>23.91</v>
      </c>
      <c r="K2878" s="40"/>
      <c r="P2878" s="40"/>
      <c r="Q2878" s="40"/>
      <c r="R2878" s="40"/>
    </row>
    <row r="2879" spans="1:18" x14ac:dyDescent="0.2">
      <c r="A2879" s="41">
        <v>44810</v>
      </c>
      <c r="B2879" s="40">
        <v>25.47</v>
      </c>
      <c r="C2879" s="40">
        <v>27.76</v>
      </c>
      <c r="D2879" s="40">
        <v>24.25</v>
      </c>
      <c r="E2879" s="40">
        <v>27.54</v>
      </c>
      <c r="K2879" s="40"/>
      <c r="P2879" s="40"/>
      <c r="Q2879" s="40"/>
      <c r="R2879" s="40"/>
    </row>
    <row r="2880" spans="1:18" x14ac:dyDescent="0.2">
      <c r="A2880" s="41">
        <v>44840</v>
      </c>
      <c r="B2880" s="40">
        <v>29.15</v>
      </c>
      <c r="C2880" s="40">
        <v>32.229999999999997</v>
      </c>
      <c r="D2880" s="40">
        <v>27.59</v>
      </c>
      <c r="E2880" s="40">
        <v>28.78</v>
      </c>
      <c r="K2880" s="40"/>
      <c r="P2880" s="40"/>
      <c r="Q2880" s="40"/>
      <c r="R2880" s="40"/>
    </row>
    <row r="2881" spans="1:18" x14ac:dyDescent="0.2">
      <c r="A2881" s="40" t="s">
        <v>2487</v>
      </c>
      <c r="B2881" s="40">
        <v>37.51</v>
      </c>
      <c r="C2881" s="40">
        <v>41.52</v>
      </c>
      <c r="D2881" s="40">
        <v>36.409999999999997</v>
      </c>
      <c r="E2881" s="40">
        <v>38.86</v>
      </c>
      <c r="K2881" s="40"/>
      <c r="P2881" s="40"/>
      <c r="Q2881" s="40"/>
      <c r="R2881" s="40"/>
    </row>
    <row r="2882" spans="1:18" x14ac:dyDescent="0.2">
      <c r="A2882" s="40" t="s">
        <v>2488</v>
      </c>
      <c r="B2882" s="40">
        <v>38.08</v>
      </c>
      <c r="C2882" s="40">
        <v>39.01</v>
      </c>
      <c r="D2882" s="40">
        <v>33.979999999999997</v>
      </c>
      <c r="E2882" s="40">
        <v>36.950000000000003</v>
      </c>
      <c r="K2882" s="40"/>
      <c r="P2882" s="40"/>
      <c r="Q2882" s="40"/>
      <c r="R2882" s="40"/>
    </row>
    <row r="2883" spans="1:18" x14ac:dyDescent="0.2">
      <c r="A2883" s="40" t="s">
        <v>2489</v>
      </c>
      <c r="B2883" s="40">
        <v>36.99</v>
      </c>
      <c r="C2883" s="40">
        <v>36.99</v>
      </c>
      <c r="D2883" s="40">
        <v>30.32</v>
      </c>
      <c r="E2883" s="40">
        <v>32.53</v>
      </c>
      <c r="K2883" s="40"/>
      <c r="P2883" s="40"/>
      <c r="Q2883" s="40"/>
      <c r="R2883" s="40"/>
    </row>
    <row r="2884" spans="1:18" x14ac:dyDescent="0.2">
      <c r="A2884" s="40" t="s">
        <v>2490</v>
      </c>
      <c r="B2884" s="40">
        <v>34.19</v>
      </c>
      <c r="C2884" s="40">
        <v>38.47</v>
      </c>
      <c r="D2884" s="40">
        <v>33.33</v>
      </c>
      <c r="E2884" s="40">
        <v>36.58</v>
      </c>
      <c r="K2884" s="40"/>
      <c r="P2884" s="40"/>
      <c r="Q2884" s="40"/>
      <c r="R2884" s="40"/>
    </row>
    <row r="2885" spans="1:18" x14ac:dyDescent="0.2">
      <c r="A2885" s="40" t="s">
        <v>2491</v>
      </c>
      <c r="B2885" s="40">
        <v>35.21</v>
      </c>
      <c r="C2885" s="40">
        <v>36.299999999999997</v>
      </c>
      <c r="D2885" s="40">
        <v>29.96</v>
      </c>
      <c r="E2885" s="40">
        <v>30.4</v>
      </c>
      <c r="K2885" s="40"/>
      <c r="P2885" s="40"/>
      <c r="Q2885" s="40"/>
      <c r="R2885" s="40"/>
    </row>
    <row r="2886" spans="1:18" x14ac:dyDescent="0.2">
      <c r="A2886" s="40" t="s">
        <v>2492</v>
      </c>
      <c r="B2886" s="40">
        <v>32.43</v>
      </c>
      <c r="C2886" s="40">
        <v>32.44</v>
      </c>
      <c r="D2886" s="40">
        <v>29.9</v>
      </c>
      <c r="E2886" s="40">
        <v>30.38</v>
      </c>
      <c r="K2886" s="40"/>
      <c r="P2886" s="40"/>
      <c r="Q2886" s="40"/>
      <c r="R2886" s="40"/>
    </row>
    <row r="2887" spans="1:18" x14ac:dyDescent="0.2">
      <c r="A2887" s="40" t="s">
        <v>2493</v>
      </c>
      <c r="B2887" s="40">
        <v>31.26</v>
      </c>
      <c r="C2887" s="40">
        <v>31.42</v>
      </c>
      <c r="D2887" s="40">
        <v>28.24</v>
      </c>
      <c r="E2887" s="40">
        <v>28.3</v>
      </c>
      <c r="K2887" s="40"/>
      <c r="P2887" s="40"/>
      <c r="Q2887" s="40"/>
      <c r="R2887" s="40"/>
    </row>
    <row r="2888" spans="1:18" x14ac:dyDescent="0.2">
      <c r="A2888" s="40" t="s">
        <v>2494</v>
      </c>
      <c r="B2888" s="40">
        <v>29.02</v>
      </c>
      <c r="C2888" s="40">
        <v>29.37</v>
      </c>
      <c r="D2888" s="40">
        <v>28.02</v>
      </c>
      <c r="E2888" s="40">
        <v>28.29</v>
      </c>
      <c r="K2888" s="40"/>
      <c r="P2888" s="40"/>
      <c r="Q2888" s="40"/>
      <c r="R2888" s="40"/>
    </row>
    <row r="2889" spans="1:18" x14ac:dyDescent="0.2">
      <c r="A2889" s="40" t="s">
        <v>2495</v>
      </c>
      <c r="B2889" s="40">
        <v>28.18</v>
      </c>
      <c r="C2889" s="40">
        <v>28.18</v>
      </c>
      <c r="D2889" s="40">
        <v>25.1</v>
      </c>
      <c r="E2889" s="40">
        <v>26.04</v>
      </c>
      <c r="K2889" s="40"/>
      <c r="P2889" s="40"/>
      <c r="Q2889" s="40"/>
      <c r="R2889" s="40"/>
    </row>
    <row r="2890" spans="1:18" x14ac:dyDescent="0.2">
      <c r="A2890" s="40" t="s">
        <v>2496</v>
      </c>
      <c r="B2890" s="40">
        <v>28.35</v>
      </c>
      <c r="C2890" s="40">
        <v>29.02</v>
      </c>
      <c r="D2890" s="40">
        <v>25.79</v>
      </c>
      <c r="E2890" s="40">
        <v>25.81</v>
      </c>
      <c r="K2890" s="40"/>
      <c r="P2890" s="40"/>
      <c r="Q2890" s="40"/>
      <c r="R2890" s="40"/>
    </row>
    <row r="2891" spans="1:18" x14ac:dyDescent="0.2">
      <c r="A2891" s="40" t="s">
        <v>2497</v>
      </c>
      <c r="B2891" s="40">
        <v>26</v>
      </c>
      <c r="C2891" s="40">
        <v>27.87</v>
      </c>
      <c r="D2891" s="40">
        <v>25.19</v>
      </c>
      <c r="E2891" s="40">
        <v>27.18</v>
      </c>
      <c r="K2891" s="40"/>
      <c r="P2891" s="40"/>
      <c r="Q2891" s="40"/>
      <c r="R2891" s="40"/>
    </row>
    <row r="2892" spans="1:18" x14ac:dyDescent="0.2">
      <c r="A2892" s="40" t="s">
        <v>2498</v>
      </c>
      <c r="B2892" s="40">
        <v>27.89</v>
      </c>
      <c r="C2892" s="40">
        <v>28.75</v>
      </c>
      <c r="D2892" s="40">
        <v>26.25</v>
      </c>
      <c r="E2892" s="40">
        <v>26.56</v>
      </c>
      <c r="K2892" s="40"/>
      <c r="P2892" s="40"/>
      <c r="Q2892" s="40"/>
      <c r="R2892" s="40"/>
    </row>
    <row r="2893" spans="1:18" x14ac:dyDescent="0.2">
      <c r="A2893" s="40" t="s">
        <v>2499</v>
      </c>
      <c r="B2893" s="40">
        <v>28.24</v>
      </c>
      <c r="C2893" s="40">
        <v>29.1</v>
      </c>
      <c r="D2893" s="40">
        <v>26.53</v>
      </c>
      <c r="E2893" s="40">
        <v>26.86</v>
      </c>
      <c r="K2893" s="40"/>
      <c r="P2893" s="40"/>
      <c r="Q2893" s="40"/>
      <c r="R2893" s="40"/>
    </row>
    <row r="2894" spans="1:18" x14ac:dyDescent="0.2">
      <c r="A2894" s="41">
        <v>44568</v>
      </c>
      <c r="B2894" s="40">
        <v>26.39</v>
      </c>
      <c r="C2894" s="40">
        <v>26.99</v>
      </c>
      <c r="D2894" s="40">
        <v>23.28</v>
      </c>
      <c r="E2894" s="40">
        <v>23.56</v>
      </c>
      <c r="K2894" s="40"/>
      <c r="P2894" s="40"/>
      <c r="Q2894" s="40"/>
      <c r="R2894" s="40"/>
    </row>
    <row r="2895" spans="1:18" x14ac:dyDescent="0.2">
      <c r="A2895" s="41">
        <v>44688</v>
      </c>
      <c r="B2895" s="40">
        <v>30.38</v>
      </c>
      <c r="C2895" s="40">
        <v>30.71</v>
      </c>
      <c r="D2895" s="40">
        <v>27.25</v>
      </c>
      <c r="E2895" s="40">
        <v>27.34</v>
      </c>
      <c r="K2895" s="40"/>
      <c r="P2895" s="40"/>
      <c r="Q2895" s="40"/>
      <c r="R2895" s="40"/>
    </row>
    <row r="2896" spans="1:18" x14ac:dyDescent="0.2">
      <c r="A2896" s="41">
        <v>44719</v>
      </c>
      <c r="B2896" s="40">
        <v>28.09</v>
      </c>
      <c r="C2896" s="40">
        <v>28.3</v>
      </c>
      <c r="D2896" s="40">
        <v>25.72</v>
      </c>
      <c r="E2896" s="40">
        <v>25.95</v>
      </c>
      <c r="K2896" s="40"/>
      <c r="P2896" s="40"/>
      <c r="Q2896" s="40"/>
      <c r="R2896" s="40"/>
    </row>
    <row r="2897" spans="1:18" x14ac:dyDescent="0.2">
      <c r="A2897" s="41">
        <v>44749</v>
      </c>
      <c r="B2897" s="40">
        <v>25.71</v>
      </c>
      <c r="C2897" s="40">
        <v>25.86</v>
      </c>
      <c r="D2897" s="40">
        <v>23.98</v>
      </c>
      <c r="E2897" s="40">
        <v>24.79</v>
      </c>
      <c r="K2897" s="40"/>
      <c r="P2897" s="40"/>
      <c r="Q2897" s="40"/>
      <c r="R2897" s="40"/>
    </row>
    <row r="2898" spans="1:18" x14ac:dyDescent="0.2">
      <c r="A2898" s="41">
        <v>44780</v>
      </c>
      <c r="B2898" s="40">
        <v>25.01</v>
      </c>
      <c r="C2898" s="40">
        <v>25.05</v>
      </c>
      <c r="D2898" s="40">
        <v>21.78</v>
      </c>
      <c r="E2898" s="40">
        <v>21.91</v>
      </c>
      <c r="K2898" s="40"/>
      <c r="P2898" s="40"/>
      <c r="Q2898" s="40"/>
      <c r="R2898" s="40"/>
    </row>
    <row r="2899" spans="1:18" x14ac:dyDescent="0.2">
      <c r="A2899" s="41">
        <v>44872</v>
      </c>
      <c r="B2899" s="40">
        <v>25.95</v>
      </c>
      <c r="C2899" s="40">
        <v>26.53</v>
      </c>
      <c r="D2899" s="40">
        <v>24.43</v>
      </c>
      <c r="E2899" s="40">
        <v>24.46</v>
      </c>
      <c r="K2899" s="40"/>
      <c r="P2899" s="40"/>
      <c r="Q2899" s="40"/>
      <c r="R2899" s="40"/>
    </row>
    <row r="2900" spans="1:18" x14ac:dyDescent="0.2">
      <c r="A2900" s="41">
        <v>44902</v>
      </c>
      <c r="B2900" s="40">
        <v>25.66</v>
      </c>
      <c r="C2900" s="40">
        <v>27.67</v>
      </c>
      <c r="D2900" s="40">
        <v>24.9</v>
      </c>
      <c r="E2900" s="40">
        <v>27.13</v>
      </c>
      <c r="K2900" s="40"/>
      <c r="P2900" s="40"/>
      <c r="Q2900" s="40"/>
      <c r="R2900" s="40"/>
    </row>
    <row r="2901" spans="1:18" x14ac:dyDescent="0.2">
      <c r="A2901" s="40" t="s">
        <v>2500</v>
      </c>
      <c r="B2901" s="40">
        <v>28.87</v>
      </c>
      <c r="C2901" s="40">
        <v>29.17</v>
      </c>
      <c r="D2901" s="40">
        <v>25.54</v>
      </c>
      <c r="E2901" s="40">
        <v>25.94</v>
      </c>
      <c r="K2901" s="40"/>
      <c r="P2901" s="40"/>
      <c r="Q2901" s="40"/>
      <c r="R2901" s="40"/>
    </row>
    <row r="2902" spans="1:18" x14ac:dyDescent="0.2">
      <c r="A2902" s="40" t="s">
        <v>2501</v>
      </c>
      <c r="B2902" s="40">
        <v>27.59</v>
      </c>
      <c r="C2902" s="40">
        <v>28.32</v>
      </c>
      <c r="D2902" s="40">
        <v>25.02</v>
      </c>
      <c r="E2902" s="40">
        <v>25.22</v>
      </c>
      <c r="K2902" s="40"/>
      <c r="P2902" s="40"/>
      <c r="Q2902" s="40"/>
      <c r="R2902" s="40"/>
    </row>
    <row r="2903" spans="1:18" x14ac:dyDescent="0.2">
      <c r="A2903" s="40" t="s">
        <v>2502</v>
      </c>
      <c r="B2903" s="40">
        <v>24.25</v>
      </c>
      <c r="C2903" s="40">
        <v>24.77</v>
      </c>
      <c r="D2903" s="40">
        <v>22.02</v>
      </c>
      <c r="E2903" s="40">
        <v>22.14</v>
      </c>
      <c r="K2903" s="40"/>
      <c r="P2903" s="40"/>
      <c r="Q2903" s="40"/>
      <c r="R2903" s="40"/>
    </row>
    <row r="2904" spans="1:18" x14ac:dyDescent="0.2">
      <c r="A2904" s="40" t="s">
        <v>2503</v>
      </c>
      <c r="B2904" s="40">
        <v>25.69</v>
      </c>
      <c r="C2904" s="40">
        <v>26.55</v>
      </c>
      <c r="D2904" s="40">
        <v>24.63</v>
      </c>
      <c r="E2904" s="40">
        <v>25.6</v>
      </c>
      <c r="K2904" s="40"/>
      <c r="P2904" s="40"/>
      <c r="Q2904" s="40"/>
      <c r="R2904" s="40"/>
    </row>
    <row r="2905" spans="1:18" x14ac:dyDescent="0.2">
      <c r="A2905" s="40" t="s">
        <v>2504</v>
      </c>
      <c r="B2905" s="40">
        <v>25.31</v>
      </c>
      <c r="C2905" s="40">
        <v>26.6</v>
      </c>
      <c r="D2905" s="40">
        <v>24.99</v>
      </c>
      <c r="E2905" s="40">
        <v>26.2</v>
      </c>
      <c r="K2905" s="40"/>
      <c r="P2905" s="40"/>
      <c r="Q2905" s="40"/>
      <c r="R2905" s="40"/>
    </row>
    <row r="2906" spans="1:18" x14ac:dyDescent="0.2">
      <c r="A2906" s="40" t="s">
        <v>2505</v>
      </c>
      <c r="B2906" s="40">
        <v>26.94</v>
      </c>
      <c r="C2906" s="40">
        <v>26.98</v>
      </c>
      <c r="D2906" s="40">
        <v>24.65</v>
      </c>
      <c r="E2906" s="40">
        <v>25.18</v>
      </c>
      <c r="K2906" s="40"/>
      <c r="P2906" s="40"/>
      <c r="Q2906" s="40"/>
      <c r="R2906" s="40"/>
    </row>
    <row r="2907" spans="1:18" x14ac:dyDescent="0.2">
      <c r="A2907" s="40" t="s">
        <v>2506</v>
      </c>
      <c r="B2907" s="40">
        <v>25.62</v>
      </c>
      <c r="C2907" s="40">
        <v>26.29</v>
      </c>
      <c r="D2907" s="40">
        <v>23.09</v>
      </c>
      <c r="E2907" s="40">
        <v>23.44</v>
      </c>
      <c r="K2907" s="40"/>
      <c r="P2907" s="40"/>
      <c r="Q2907" s="40"/>
      <c r="R2907" s="40"/>
    </row>
    <row r="2908" spans="1:18" x14ac:dyDescent="0.2">
      <c r="A2908" s="40" t="s">
        <v>2507</v>
      </c>
      <c r="B2908" s="40">
        <v>23.03</v>
      </c>
      <c r="C2908" s="40">
        <v>23.81</v>
      </c>
      <c r="D2908" s="40">
        <v>22</v>
      </c>
      <c r="E2908" s="40">
        <v>22.09</v>
      </c>
      <c r="K2908" s="40"/>
      <c r="P2908" s="40"/>
      <c r="Q2908" s="40"/>
      <c r="R2908" s="40"/>
    </row>
    <row r="2909" spans="1:18" x14ac:dyDescent="0.2">
      <c r="A2909" s="40" t="s">
        <v>2508</v>
      </c>
      <c r="B2909" s="40">
        <v>24.62</v>
      </c>
      <c r="C2909" s="40">
        <v>25.12</v>
      </c>
      <c r="D2909" s="40">
        <v>22.79</v>
      </c>
      <c r="E2909" s="40">
        <v>23.09</v>
      </c>
      <c r="K2909" s="40"/>
      <c r="P2909" s="40"/>
      <c r="Q2909" s="40"/>
      <c r="R2909" s="40"/>
    </row>
    <row r="2910" spans="1:18" x14ac:dyDescent="0.2">
      <c r="A2910" s="40" t="s">
        <v>2509</v>
      </c>
      <c r="B2910" s="40">
        <v>24.32</v>
      </c>
      <c r="C2910" s="40">
        <v>25.71</v>
      </c>
      <c r="D2910" s="40">
        <v>24.19</v>
      </c>
      <c r="E2910" s="40">
        <v>24.95</v>
      </c>
      <c r="K2910" s="40"/>
      <c r="P2910" s="40"/>
      <c r="Q2910" s="40"/>
      <c r="R2910" s="40"/>
    </row>
    <row r="2911" spans="1:18" x14ac:dyDescent="0.2">
      <c r="A2911" s="40" t="s">
        <v>2510</v>
      </c>
      <c r="B2911" s="40">
        <v>24.46</v>
      </c>
      <c r="C2911" s="40">
        <v>24.74</v>
      </c>
      <c r="D2911" s="40">
        <v>21.86</v>
      </c>
      <c r="E2911" s="40">
        <v>22.14</v>
      </c>
      <c r="K2911" s="40"/>
      <c r="P2911" s="40"/>
      <c r="Q2911" s="40"/>
      <c r="R2911" s="40"/>
    </row>
    <row r="2912" spans="1:18" x14ac:dyDescent="0.2">
      <c r="A2912" s="40" t="s">
        <v>2511</v>
      </c>
      <c r="B2912" s="40">
        <v>21.34</v>
      </c>
      <c r="C2912" s="40">
        <v>22.56</v>
      </c>
      <c r="D2912" s="40">
        <v>20.53</v>
      </c>
      <c r="E2912" s="40">
        <v>20.81</v>
      </c>
      <c r="K2912" s="40"/>
      <c r="P2912" s="40"/>
      <c r="Q2912" s="40"/>
      <c r="R2912" s="40"/>
    </row>
    <row r="2913" spans="1:18" x14ac:dyDescent="0.2">
      <c r="A2913" s="40" t="s">
        <v>2512</v>
      </c>
      <c r="B2913" s="40">
        <v>20.239999999999998</v>
      </c>
      <c r="C2913" s="40">
        <v>20.38</v>
      </c>
      <c r="D2913" s="40">
        <v>18.57</v>
      </c>
      <c r="E2913" s="40">
        <v>18.57</v>
      </c>
      <c r="K2913" s="40"/>
      <c r="P2913" s="40"/>
      <c r="Q2913" s="40"/>
      <c r="R2913" s="40"/>
    </row>
    <row r="2914" spans="1:18" x14ac:dyDescent="0.2">
      <c r="A2914" s="41">
        <v>44569</v>
      </c>
      <c r="B2914" s="40">
        <v>22.3</v>
      </c>
      <c r="C2914" s="40">
        <v>22.72</v>
      </c>
      <c r="D2914" s="40">
        <v>21.65</v>
      </c>
      <c r="E2914" s="40">
        <v>21.94</v>
      </c>
      <c r="K2914" s="40"/>
      <c r="P2914" s="40"/>
      <c r="Q2914" s="40"/>
      <c r="R2914" s="40"/>
    </row>
    <row r="2915" spans="1:18" x14ac:dyDescent="0.2">
      <c r="A2915" s="41">
        <v>44600</v>
      </c>
      <c r="B2915" s="40">
        <v>23.84</v>
      </c>
      <c r="C2915" s="40">
        <v>24.75</v>
      </c>
      <c r="D2915" s="40">
        <v>22.07</v>
      </c>
      <c r="E2915" s="40">
        <v>23.25</v>
      </c>
      <c r="K2915" s="40"/>
      <c r="P2915" s="40"/>
      <c r="Q2915" s="40"/>
      <c r="R2915" s="40"/>
    </row>
    <row r="2916" spans="1:18" x14ac:dyDescent="0.2">
      <c r="A2916" s="41">
        <v>44628</v>
      </c>
      <c r="B2916" s="40">
        <v>22.21</v>
      </c>
      <c r="C2916" s="40">
        <v>22.37</v>
      </c>
      <c r="D2916" s="40">
        <v>20.170000000000002</v>
      </c>
      <c r="E2916" s="40">
        <v>20.56</v>
      </c>
      <c r="K2916" s="40"/>
      <c r="P2916" s="40"/>
      <c r="Q2916" s="40"/>
      <c r="R2916" s="40"/>
    </row>
    <row r="2917" spans="1:18" x14ac:dyDescent="0.2">
      <c r="A2917" s="41">
        <v>44659</v>
      </c>
      <c r="B2917" s="40">
        <v>21.41</v>
      </c>
      <c r="C2917" s="40">
        <v>21.73</v>
      </c>
      <c r="D2917" s="40">
        <v>19.690000000000001</v>
      </c>
      <c r="E2917" s="40">
        <v>19.690000000000001</v>
      </c>
      <c r="K2917" s="40"/>
      <c r="P2917" s="40"/>
      <c r="Q2917" s="40"/>
      <c r="R2917" s="40"/>
    </row>
    <row r="2918" spans="1:18" x14ac:dyDescent="0.2">
      <c r="A2918" s="41">
        <v>44689</v>
      </c>
      <c r="B2918" s="40">
        <v>21.06</v>
      </c>
      <c r="C2918" s="40">
        <v>21.06</v>
      </c>
      <c r="D2918" s="40">
        <v>18.57</v>
      </c>
      <c r="E2918" s="40">
        <v>19.32</v>
      </c>
      <c r="K2918" s="40"/>
      <c r="P2918" s="40"/>
      <c r="Q2918" s="40"/>
      <c r="R2918" s="40"/>
    </row>
    <row r="2919" spans="1:18" x14ac:dyDescent="0.2">
      <c r="A2919" s="41">
        <v>44781</v>
      </c>
      <c r="B2919" s="40">
        <v>21.06</v>
      </c>
      <c r="C2919" s="40">
        <v>21.85</v>
      </c>
      <c r="D2919" s="40">
        <v>19.8</v>
      </c>
      <c r="E2919" s="40">
        <v>19.93</v>
      </c>
      <c r="K2919" s="40"/>
      <c r="P2919" s="40"/>
      <c r="Q2919" s="40"/>
      <c r="R2919" s="40"/>
    </row>
    <row r="2920" spans="1:18" x14ac:dyDescent="0.2">
      <c r="A2920" s="41">
        <v>44812</v>
      </c>
      <c r="B2920" s="40">
        <v>21.16</v>
      </c>
      <c r="C2920" s="40">
        <v>21.54</v>
      </c>
      <c r="D2920" s="40">
        <v>20.5</v>
      </c>
      <c r="E2920" s="40">
        <v>20.81</v>
      </c>
      <c r="K2920" s="40"/>
      <c r="P2920" s="40"/>
      <c r="Q2920" s="40"/>
      <c r="R2920" s="40"/>
    </row>
    <row r="2921" spans="1:18" x14ac:dyDescent="0.2">
      <c r="A2921" s="41">
        <v>44842</v>
      </c>
      <c r="B2921" s="40">
        <v>18.89</v>
      </c>
      <c r="C2921" s="40">
        <v>19.399999999999999</v>
      </c>
      <c r="D2921" s="40">
        <v>17.489999999999998</v>
      </c>
      <c r="E2921" s="40">
        <v>17.59</v>
      </c>
      <c r="K2921" s="40"/>
      <c r="P2921" s="40"/>
      <c r="Q2921" s="40"/>
      <c r="R2921" s="40"/>
    </row>
    <row r="2922" spans="1:18" x14ac:dyDescent="0.2">
      <c r="A2922" s="41">
        <v>44873</v>
      </c>
      <c r="B2922" s="40">
        <v>18.149999999999999</v>
      </c>
      <c r="C2922" s="40">
        <v>19</v>
      </c>
      <c r="D2922" s="40">
        <v>17.940000000000001</v>
      </c>
      <c r="E2922" s="40">
        <v>18.03</v>
      </c>
      <c r="K2922" s="40"/>
      <c r="P2922" s="40"/>
      <c r="Q2922" s="40"/>
      <c r="R2922" s="40"/>
    </row>
    <row r="2923" spans="1:18" x14ac:dyDescent="0.2">
      <c r="A2923" s="41">
        <v>44903</v>
      </c>
      <c r="B2923" s="40">
        <v>17.89</v>
      </c>
      <c r="C2923" s="40">
        <v>19.27</v>
      </c>
      <c r="D2923" s="40">
        <v>16.579999999999998</v>
      </c>
      <c r="E2923" s="40">
        <v>16.78</v>
      </c>
      <c r="K2923" s="40"/>
      <c r="P2923" s="40"/>
      <c r="Q2923" s="40"/>
      <c r="R2923" s="40"/>
    </row>
    <row r="2924" spans="1:18" x14ac:dyDescent="0.2">
      <c r="A2924" s="40" t="s">
        <v>2513</v>
      </c>
      <c r="B2924" s="40">
        <v>19.989999999999998</v>
      </c>
      <c r="C2924" s="40">
        <v>19.989999999999998</v>
      </c>
      <c r="D2924" s="40">
        <v>18.48</v>
      </c>
      <c r="E2924" s="40">
        <v>18.54</v>
      </c>
      <c r="K2924" s="40"/>
      <c r="P2924" s="40"/>
      <c r="Q2924" s="40"/>
      <c r="R2924" s="40"/>
    </row>
    <row r="2925" spans="1:18" x14ac:dyDescent="0.2">
      <c r="A2925" s="40" t="s">
        <v>2514</v>
      </c>
      <c r="B2925" s="40">
        <v>18.89</v>
      </c>
      <c r="C2925" s="40">
        <v>19.38</v>
      </c>
      <c r="D2925" s="40">
        <v>18.079999999999998</v>
      </c>
      <c r="E2925" s="40">
        <v>18.600000000000001</v>
      </c>
      <c r="K2925" s="40"/>
      <c r="P2925" s="40"/>
      <c r="Q2925" s="40"/>
      <c r="R2925" s="40"/>
    </row>
    <row r="2926" spans="1:18" x14ac:dyDescent="0.2">
      <c r="A2926" s="40" t="s">
        <v>2515</v>
      </c>
      <c r="B2926" s="40">
        <v>19.55</v>
      </c>
      <c r="C2926" s="40">
        <v>19.71</v>
      </c>
      <c r="D2926" s="40">
        <v>18.38</v>
      </c>
      <c r="E2926" s="40">
        <v>18.64</v>
      </c>
      <c r="K2926" s="40"/>
      <c r="P2926" s="40"/>
      <c r="Q2926" s="40"/>
      <c r="R2926" s="40"/>
    </row>
    <row r="2927" spans="1:18" x14ac:dyDescent="0.2">
      <c r="A2927" s="40" t="s">
        <v>2516</v>
      </c>
      <c r="B2927" s="40">
        <v>19.07</v>
      </c>
      <c r="C2927" s="40">
        <v>19.39</v>
      </c>
      <c r="D2927" s="40">
        <v>17.579999999999998</v>
      </c>
      <c r="E2927" s="40">
        <v>17.670000000000002</v>
      </c>
      <c r="K2927" s="40"/>
      <c r="P2927" s="40"/>
      <c r="Q2927" s="40"/>
      <c r="R2927" s="40"/>
    </row>
    <row r="2928" spans="1:18" x14ac:dyDescent="0.2">
      <c r="A2928" s="40" t="s">
        <v>2517</v>
      </c>
      <c r="B2928" s="40">
        <v>18.66</v>
      </c>
      <c r="C2928" s="40">
        <v>19.510000000000002</v>
      </c>
      <c r="D2928" s="40">
        <v>18.05</v>
      </c>
      <c r="E2928" s="40">
        <v>18.239999999999998</v>
      </c>
      <c r="K2928" s="40"/>
      <c r="P2928" s="40"/>
      <c r="Q2928" s="40"/>
      <c r="R2928" s="40"/>
    </row>
    <row r="2929" spans="1:18" x14ac:dyDescent="0.2">
      <c r="A2929" s="40" t="s">
        <v>2518</v>
      </c>
      <c r="B2929" s="40">
        <v>22.62</v>
      </c>
      <c r="C2929" s="40">
        <v>24.29</v>
      </c>
      <c r="D2929" s="40">
        <v>22.36</v>
      </c>
      <c r="E2929" s="40">
        <v>22.85</v>
      </c>
      <c r="K2929" s="40"/>
      <c r="P2929" s="40"/>
      <c r="Q2929" s="40"/>
      <c r="R2929" s="40"/>
    </row>
    <row r="2930" spans="1:18" x14ac:dyDescent="0.2">
      <c r="A2930" s="40" t="s">
        <v>2519</v>
      </c>
      <c r="B2930" s="40">
        <v>23.1</v>
      </c>
      <c r="C2930" s="40">
        <v>23.49</v>
      </c>
      <c r="D2930" s="40">
        <v>22.27</v>
      </c>
      <c r="E2930" s="40">
        <v>23.35</v>
      </c>
      <c r="K2930" s="40"/>
      <c r="P2930" s="40"/>
      <c r="Q2930" s="40"/>
      <c r="R2930" s="40"/>
    </row>
    <row r="2931" spans="1:18" x14ac:dyDescent="0.2">
      <c r="A2931" s="40" t="s">
        <v>2520</v>
      </c>
      <c r="B2931" s="40">
        <v>23.11</v>
      </c>
      <c r="C2931" s="40">
        <v>23.37</v>
      </c>
      <c r="D2931" s="40">
        <v>21.11</v>
      </c>
      <c r="E2931" s="40">
        <v>21.2</v>
      </c>
      <c r="K2931" s="40"/>
      <c r="P2931" s="40"/>
      <c r="Q2931" s="40"/>
      <c r="R2931" s="40"/>
    </row>
    <row r="2932" spans="1:18" x14ac:dyDescent="0.2">
      <c r="A2932" s="40" t="s">
        <v>2521</v>
      </c>
      <c r="B2932" s="40">
        <v>21.6</v>
      </c>
      <c r="C2932" s="40">
        <v>21.87</v>
      </c>
      <c r="D2932" s="40">
        <v>20.149999999999999</v>
      </c>
      <c r="E2932" s="40">
        <v>20.34</v>
      </c>
      <c r="K2932" s="40"/>
      <c r="P2932" s="40"/>
      <c r="Q2932" s="40"/>
      <c r="R2932" s="40"/>
    </row>
    <row r="2933" spans="1:18" x14ac:dyDescent="0.2">
      <c r="A2933" s="40" t="s">
        <v>2522</v>
      </c>
      <c r="B2933" s="40">
        <v>20.54</v>
      </c>
      <c r="C2933" s="40">
        <v>24.63</v>
      </c>
      <c r="D2933" s="40">
        <v>19.93</v>
      </c>
      <c r="E2933" s="40">
        <v>23.9</v>
      </c>
      <c r="K2933" s="40"/>
      <c r="P2933" s="40"/>
      <c r="Q2933" s="40"/>
      <c r="R2933" s="40"/>
    </row>
    <row r="2934" spans="1:18" x14ac:dyDescent="0.2">
      <c r="A2934" s="40" t="s">
        <v>2523</v>
      </c>
      <c r="B2934" s="40">
        <v>26.88</v>
      </c>
      <c r="C2934" s="40">
        <v>26.88</v>
      </c>
      <c r="D2934" s="40">
        <v>24.14</v>
      </c>
      <c r="E2934" s="40">
        <v>24.76</v>
      </c>
      <c r="K2934" s="40"/>
      <c r="P2934" s="40"/>
      <c r="Q2934" s="40"/>
      <c r="R2934" s="40"/>
    </row>
    <row r="2935" spans="1:18" x14ac:dyDescent="0.2">
      <c r="A2935" s="40" t="s">
        <v>2524</v>
      </c>
      <c r="B2935" s="40">
        <v>24.38</v>
      </c>
      <c r="C2935" s="40">
        <v>27.16</v>
      </c>
      <c r="D2935" s="40">
        <v>24.36</v>
      </c>
      <c r="E2935" s="40">
        <v>24.41</v>
      </c>
      <c r="K2935" s="40"/>
      <c r="P2935" s="40"/>
      <c r="Q2935" s="40"/>
      <c r="R2935" s="40"/>
    </row>
    <row r="2936" spans="1:18" x14ac:dyDescent="0.2">
      <c r="A2936" s="40" t="s">
        <v>2525</v>
      </c>
      <c r="B2936" s="40">
        <v>24.43</v>
      </c>
      <c r="C2936" s="40">
        <v>24.78</v>
      </c>
      <c r="D2936" s="40">
        <v>23.09</v>
      </c>
      <c r="E2936" s="40">
        <v>23.69</v>
      </c>
      <c r="K2936" s="40"/>
      <c r="P2936" s="40"/>
      <c r="Q2936" s="40"/>
      <c r="R2936" s="40"/>
    </row>
    <row r="2937" spans="1:18" x14ac:dyDescent="0.2">
      <c r="A2937" s="41">
        <v>44570</v>
      </c>
      <c r="B2937" s="40">
        <v>24.95</v>
      </c>
      <c r="C2937" s="40">
        <v>25.87</v>
      </c>
      <c r="D2937" s="40">
        <v>23.17</v>
      </c>
      <c r="E2937" s="40">
        <v>23.76</v>
      </c>
      <c r="K2937" s="40"/>
      <c r="P2937" s="40"/>
      <c r="Q2937" s="40"/>
      <c r="R2937" s="40"/>
    </row>
    <row r="2938" spans="1:18" x14ac:dyDescent="0.2">
      <c r="A2938" s="41">
        <v>44601</v>
      </c>
      <c r="B2938" s="40">
        <v>21.63</v>
      </c>
      <c r="C2938" s="40">
        <v>24.38</v>
      </c>
      <c r="D2938" s="40">
        <v>20.309999999999999</v>
      </c>
      <c r="E2938" s="40">
        <v>22.97</v>
      </c>
      <c r="K2938" s="40"/>
      <c r="P2938" s="40"/>
      <c r="Q2938" s="40"/>
      <c r="R2938" s="40"/>
    </row>
    <row r="2939" spans="1:18" x14ac:dyDescent="0.2">
      <c r="A2939" s="41">
        <v>44721</v>
      </c>
      <c r="B2939" s="40">
        <v>26.51</v>
      </c>
      <c r="C2939" s="40">
        <v>29.41</v>
      </c>
      <c r="D2939" s="40">
        <v>26.31</v>
      </c>
      <c r="E2939" s="40">
        <v>26.99</v>
      </c>
      <c r="K2939" s="40"/>
      <c r="P2939" s="40"/>
      <c r="Q2939" s="40"/>
      <c r="R2939" s="40"/>
    </row>
    <row r="2940" spans="1:18" x14ac:dyDescent="0.2">
      <c r="A2940" s="41">
        <v>44751</v>
      </c>
      <c r="B2940" s="40">
        <v>27.01</v>
      </c>
      <c r="C2940" s="40">
        <v>27.11</v>
      </c>
      <c r="D2940" s="40">
        <v>23.97</v>
      </c>
      <c r="E2940" s="40">
        <v>24.05</v>
      </c>
      <c r="K2940" s="40"/>
      <c r="P2940" s="40"/>
      <c r="Q2940" s="40"/>
      <c r="R2940" s="40"/>
    </row>
    <row r="2941" spans="1:18" x14ac:dyDescent="0.2">
      <c r="A2941" s="41">
        <v>44782</v>
      </c>
      <c r="B2941" s="40">
        <v>26.32</v>
      </c>
      <c r="C2941" s="40">
        <v>27.88</v>
      </c>
      <c r="D2941" s="40">
        <v>22.72</v>
      </c>
      <c r="E2941" s="40">
        <v>22.84</v>
      </c>
      <c r="K2941" s="40"/>
      <c r="P2941" s="40"/>
      <c r="Q2941" s="40"/>
      <c r="R2941" s="40"/>
    </row>
    <row r="2942" spans="1:18" x14ac:dyDescent="0.2">
      <c r="A2942" s="41">
        <v>44813</v>
      </c>
      <c r="B2942" s="40">
        <v>22.46</v>
      </c>
      <c r="C2942" s="40">
        <v>23.13</v>
      </c>
      <c r="D2942" s="40">
        <v>21.56</v>
      </c>
      <c r="E2942" s="40">
        <v>21.71</v>
      </c>
      <c r="K2942" s="40"/>
      <c r="P2942" s="40"/>
      <c r="Q2942" s="40"/>
      <c r="R2942" s="40"/>
    </row>
    <row r="2943" spans="1:18" x14ac:dyDescent="0.2">
      <c r="A2943" s="41">
        <v>44904</v>
      </c>
      <c r="B2943" s="40">
        <v>24.2</v>
      </c>
      <c r="C2943" s="40">
        <v>25.6</v>
      </c>
      <c r="D2943" s="40">
        <v>24.17</v>
      </c>
      <c r="E2943" s="40">
        <v>25.26</v>
      </c>
      <c r="K2943" s="40"/>
      <c r="P2943" s="40"/>
      <c r="Q2943" s="40"/>
      <c r="R2943" s="40"/>
    </row>
    <row r="2944" spans="1:18" x14ac:dyDescent="0.2">
      <c r="A2944" s="40" t="s">
        <v>2526</v>
      </c>
      <c r="B2944" s="40">
        <v>24.98</v>
      </c>
      <c r="C2944" s="40">
        <v>31.26</v>
      </c>
      <c r="D2944" s="40">
        <v>24.58</v>
      </c>
      <c r="E2944" s="40">
        <v>29.14</v>
      </c>
      <c r="K2944" s="40"/>
      <c r="P2944" s="40"/>
      <c r="Q2944" s="40"/>
      <c r="R2944" s="40"/>
    </row>
    <row r="2945" spans="1:18" x14ac:dyDescent="0.2">
      <c r="A2945" s="40" t="s">
        <v>2527</v>
      </c>
      <c r="B2945" s="40">
        <v>28.64</v>
      </c>
      <c r="C2945" s="40">
        <v>29.31</v>
      </c>
      <c r="D2945" s="40">
        <v>27.21</v>
      </c>
      <c r="E2945" s="40">
        <v>27.28</v>
      </c>
      <c r="K2945" s="40"/>
      <c r="P2945" s="40"/>
      <c r="Q2945" s="40"/>
      <c r="R2945" s="40"/>
    </row>
    <row r="2946" spans="1:18" x14ac:dyDescent="0.2">
      <c r="A2946" s="40" t="s">
        <v>2528</v>
      </c>
      <c r="B2946" s="40">
        <v>27.92</v>
      </c>
      <c r="C2946" s="40">
        <v>28.32</v>
      </c>
      <c r="D2946" s="40">
        <v>26.37</v>
      </c>
      <c r="E2946" s="40">
        <v>27.11</v>
      </c>
      <c r="K2946" s="40"/>
      <c r="P2946" s="40"/>
      <c r="Q2946" s="40"/>
      <c r="R2946" s="40"/>
    </row>
    <row r="2947" spans="1:18" x14ac:dyDescent="0.2">
      <c r="A2947" s="40" t="s">
        <v>2529</v>
      </c>
      <c r="B2947" s="40">
        <v>29.29</v>
      </c>
      <c r="C2947" s="40">
        <v>30.54</v>
      </c>
      <c r="D2947" s="40">
        <v>26.86</v>
      </c>
      <c r="E2947" s="40">
        <v>27.06</v>
      </c>
      <c r="K2947" s="40"/>
      <c r="P2947" s="40"/>
      <c r="Q2947" s="40"/>
      <c r="R2947" s="40"/>
    </row>
    <row r="2948" spans="1:18" x14ac:dyDescent="0.2">
      <c r="A2948" s="40" t="s">
        <v>2530</v>
      </c>
      <c r="B2948" s="40">
        <v>30.76</v>
      </c>
      <c r="C2948" s="40">
        <v>30.76</v>
      </c>
      <c r="D2948" s="40">
        <v>27.49</v>
      </c>
      <c r="E2948" s="40">
        <v>27.78</v>
      </c>
      <c r="K2948" s="40"/>
      <c r="P2948" s="40"/>
      <c r="Q2948" s="40"/>
      <c r="R2948" s="40"/>
    </row>
    <row r="2949" spans="1:18" x14ac:dyDescent="0.2">
      <c r="A2949" s="40" t="s">
        <v>2531</v>
      </c>
      <c r="B2949" s="40">
        <v>29.57</v>
      </c>
      <c r="C2949" s="40">
        <v>31.54</v>
      </c>
      <c r="D2949" s="40">
        <v>29.02</v>
      </c>
      <c r="E2949" s="40">
        <v>30.39</v>
      </c>
      <c r="K2949" s="40"/>
      <c r="P2949" s="40"/>
      <c r="Q2949" s="40"/>
      <c r="R2949" s="40"/>
    </row>
    <row r="2950" spans="1:18" x14ac:dyDescent="0.2">
      <c r="A2950" s="40" t="s">
        <v>2532</v>
      </c>
      <c r="B2950" s="40">
        <v>30.39</v>
      </c>
      <c r="C2950" s="40">
        <v>32.22</v>
      </c>
      <c r="D2950" s="40">
        <v>27.23</v>
      </c>
      <c r="E2950" s="40">
        <v>30.34</v>
      </c>
      <c r="K2950" s="40"/>
      <c r="P2950" s="40"/>
      <c r="Q2950" s="40"/>
      <c r="R2950" s="40"/>
    </row>
    <row r="2951" spans="1:18" x14ac:dyDescent="0.2">
      <c r="A2951" s="40" t="s">
        <v>2533</v>
      </c>
      <c r="B2951" s="40">
        <v>29.59</v>
      </c>
      <c r="C2951" s="40">
        <v>30.28</v>
      </c>
      <c r="D2951" s="40">
        <v>26.93</v>
      </c>
      <c r="E2951" s="40">
        <v>27.67</v>
      </c>
      <c r="K2951" s="40"/>
      <c r="P2951" s="40"/>
      <c r="Q2951" s="40"/>
      <c r="R2951" s="40"/>
    </row>
    <row r="2952" spans="1:18" x14ac:dyDescent="0.2">
      <c r="A2952" s="40" t="s">
        <v>2534</v>
      </c>
      <c r="B2952" s="40">
        <v>29.71</v>
      </c>
      <c r="C2952" s="40">
        <v>33.83</v>
      </c>
      <c r="D2952" s="40">
        <v>29.04</v>
      </c>
      <c r="E2952" s="40">
        <v>30.25</v>
      </c>
      <c r="K2952" s="40"/>
      <c r="P2952" s="40"/>
      <c r="Q2952" s="40"/>
      <c r="R2952" s="40"/>
    </row>
    <row r="2953" spans="1:18" x14ac:dyDescent="0.2">
      <c r="A2953" s="40" t="s">
        <v>2535</v>
      </c>
      <c r="B2953" s="40">
        <v>34.54</v>
      </c>
      <c r="C2953" s="40">
        <v>35.130000000000003</v>
      </c>
      <c r="D2953" s="40">
        <v>31.8</v>
      </c>
      <c r="E2953" s="40">
        <v>34.14</v>
      </c>
      <c r="K2953" s="40"/>
      <c r="P2953" s="40"/>
      <c r="Q2953" s="40"/>
      <c r="R2953" s="40"/>
    </row>
    <row r="2954" spans="1:18" x14ac:dyDescent="0.2">
      <c r="A2954" s="40" t="s">
        <v>2536</v>
      </c>
      <c r="B2954" s="40">
        <v>33.08</v>
      </c>
      <c r="C2954" s="40">
        <v>36.479999999999997</v>
      </c>
      <c r="D2954" s="40">
        <v>31.86</v>
      </c>
      <c r="E2954" s="40">
        <v>33.49</v>
      </c>
      <c r="K2954" s="40"/>
      <c r="P2954" s="40"/>
      <c r="Q2954" s="40"/>
      <c r="R2954" s="40"/>
    </row>
    <row r="2955" spans="1:18" x14ac:dyDescent="0.2">
      <c r="A2955" s="40" t="s">
        <v>2537</v>
      </c>
      <c r="B2955" s="40">
        <v>34.71</v>
      </c>
      <c r="C2955" s="40">
        <v>35.840000000000003</v>
      </c>
      <c r="D2955" s="40">
        <v>31</v>
      </c>
      <c r="E2955" s="40">
        <v>31.16</v>
      </c>
      <c r="K2955" s="40"/>
      <c r="P2955" s="40"/>
      <c r="Q2955" s="40"/>
      <c r="R2955" s="40"/>
    </row>
    <row r="2956" spans="1:18" x14ac:dyDescent="0.2">
      <c r="A2956" s="40" t="s">
        <v>2538</v>
      </c>
      <c r="B2956" s="40">
        <v>33.1</v>
      </c>
      <c r="C2956" s="40">
        <v>35.29</v>
      </c>
      <c r="D2956" s="40">
        <v>32.42</v>
      </c>
      <c r="E2956" s="40">
        <v>32.67</v>
      </c>
      <c r="K2956" s="40"/>
      <c r="P2956" s="40"/>
      <c r="Q2956" s="40"/>
      <c r="R2956" s="40"/>
    </row>
    <row r="2957" spans="1:18" x14ac:dyDescent="0.2">
      <c r="A2957" s="40" t="s">
        <v>2539</v>
      </c>
      <c r="B2957" s="40">
        <v>32.4</v>
      </c>
      <c r="C2957" s="40">
        <v>33.01</v>
      </c>
      <c r="D2957" s="40">
        <v>28.91</v>
      </c>
      <c r="E2957" s="40">
        <v>31.19</v>
      </c>
      <c r="K2957" s="40"/>
      <c r="P2957" s="40"/>
      <c r="Q2957" s="40"/>
      <c r="R2957" s="40"/>
    </row>
    <row r="2958" spans="1:18" x14ac:dyDescent="0.2">
      <c r="A2958" s="41">
        <v>44630</v>
      </c>
      <c r="B2958" s="40">
        <v>32.83</v>
      </c>
      <c r="C2958" s="40">
        <v>33.53</v>
      </c>
      <c r="D2958" s="40">
        <v>30.15</v>
      </c>
      <c r="E2958" s="40">
        <v>30.65</v>
      </c>
      <c r="K2958" s="40"/>
      <c r="P2958" s="40"/>
      <c r="Q2958" s="40"/>
      <c r="R2958" s="40"/>
    </row>
    <row r="2959" spans="1:18" x14ac:dyDescent="0.2">
      <c r="A2959" s="41">
        <v>44661</v>
      </c>
      <c r="B2959" s="40">
        <v>29.67</v>
      </c>
      <c r="C2959" s="40">
        <v>30.33</v>
      </c>
      <c r="D2959" s="40">
        <v>29.12</v>
      </c>
      <c r="E2959" s="40">
        <v>29.82</v>
      </c>
      <c r="K2959" s="40"/>
      <c r="P2959" s="40"/>
      <c r="Q2959" s="40"/>
      <c r="R2959" s="40"/>
    </row>
    <row r="2960" spans="1:18" x14ac:dyDescent="0.2">
      <c r="A2960" s="41">
        <v>44691</v>
      </c>
      <c r="B2960" s="40">
        <v>30.63</v>
      </c>
      <c r="C2960" s="40">
        <v>30.98</v>
      </c>
      <c r="D2960" s="40">
        <v>28.77</v>
      </c>
      <c r="E2960" s="40">
        <v>28.81</v>
      </c>
      <c r="K2960" s="40"/>
      <c r="P2960" s="40"/>
      <c r="Q2960" s="40"/>
      <c r="R2960" s="40"/>
    </row>
    <row r="2961" spans="1:18" x14ac:dyDescent="0.2">
      <c r="A2961" s="41">
        <v>44722</v>
      </c>
      <c r="B2961" s="40">
        <v>29.63</v>
      </c>
      <c r="C2961" s="40">
        <v>31.84</v>
      </c>
      <c r="D2961" s="40">
        <v>29.41</v>
      </c>
      <c r="E2961" s="40">
        <v>31.3</v>
      </c>
      <c r="K2961" s="40"/>
      <c r="P2961" s="40"/>
      <c r="Q2961" s="40"/>
      <c r="R2961" s="40"/>
    </row>
    <row r="2962" spans="1:18" x14ac:dyDescent="0.2">
      <c r="A2962" s="41">
        <v>44752</v>
      </c>
      <c r="B2962" s="40">
        <v>30.52</v>
      </c>
      <c r="C2962" s="40">
        <v>31.96</v>
      </c>
      <c r="D2962" s="40">
        <v>30.44</v>
      </c>
      <c r="E2962" s="40">
        <v>30.55</v>
      </c>
      <c r="K2962" s="40"/>
      <c r="P2962" s="40"/>
      <c r="Q2962" s="40"/>
      <c r="R2962" s="40"/>
    </row>
    <row r="2963" spans="1:18" x14ac:dyDescent="0.2">
      <c r="A2963" s="41">
        <v>44844</v>
      </c>
      <c r="B2963" s="40">
        <v>33.340000000000003</v>
      </c>
      <c r="C2963" s="40">
        <v>34.549999999999997</v>
      </c>
      <c r="D2963" s="40">
        <v>31.87</v>
      </c>
      <c r="E2963" s="40">
        <v>32.22</v>
      </c>
      <c r="K2963" s="40"/>
      <c r="P2963" s="40"/>
      <c r="Q2963" s="40"/>
      <c r="R2963" s="40"/>
    </row>
    <row r="2964" spans="1:18" x14ac:dyDescent="0.2">
      <c r="A2964" s="41">
        <v>44875</v>
      </c>
      <c r="B2964" s="40">
        <v>33.869999999999997</v>
      </c>
      <c r="C2964" s="40">
        <v>35.770000000000003</v>
      </c>
      <c r="D2964" s="40">
        <v>32.869999999999997</v>
      </c>
      <c r="E2964" s="40">
        <v>34.659999999999997</v>
      </c>
      <c r="K2964" s="40"/>
      <c r="P2964" s="40"/>
      <c r="Q2964" s="40"/>
      <c r="R2964" s="40"/>
    </row>
    <row r="2965" spans="1:18" x14ac:dyDescent="0.2">
      <c r="A2965" s="41">
        <v>44905</v>
      </c>
      <c r="B2965" s="40">
        <v>35.56</v>
      </c>
      <c r="C2965" s="40">
        <v>36.17</v>
      </c>
      <c r="D2965" s="40">
        <v>34.22</v>
      </c>
      <c r="E2965" s="40">
        <v>34.61</v>
      </c>
      <c r="K2965" s="40"/>
      <c r="P2965" s="40"/>
      <c r="Q2965" s="40"/>
      <c r="R2965" s="40"/>
    </row>
    <row r="2966" spans="1:18" x14ac:dyDescent="0.2">
      <c r="A2966" s="40" t="s">
        <v>2540</v>
      </c>
      <c r="B2966" s="40">
        <v>32.75</v>
      </c>
      <c r="C2966" s="40">
        <v>33.86</v>
      </c>
      <c r="D2966" s="40">
        <v>30.6</v>
      </c>
      <c r="E2966" s="40">
        <v>31.51</v>
      </c>
      <c r="K2966" s="40"/>
      <c r="P2966" s="40"/>
      <c r="Q2966" s="40"/>
      <c r="R2966" s="40"/>
    </row>
    <row r="2967" spans="1:18" x14ac:dyDescent="0.2">
      <c r="A2967" s="40" t="s">
        <v>2541</v>
      </c>
      <c r="B2967" s="40">
        <v>31.21</v>
      </c>
      <c r="C2967" s="40">
        <v>32.83</v>
      </c>
      <c r="D2967" s="40">
        <v>29.49</v>
      </c>
      <c r="E2967" s="40">
        <v>29.67</v>
      </c>
      <c r="K2967" s="40"/>
      <c r="P2967" s="40"/>
      <c r="Q2967" s="40"/>
      <c r="R2967" s="40"/>
    </row>
    <row r="2968" spans="1:18" x14ac:dyDescent="0.2">
      <c r="A2968" s="40" t="s">
        <v>2542</v>
      </c>
      <c r="B2968" s="40">
        <v>31.13</v>
      </c>
      <c r="C2968" s="40">
        <v>31.55</v>
      </c>
      <c r="D2968" s="40">
        <v>30.03</v>
      </c>
      <c r="E2968" s="40">
        <v>30.6</v>
      </c>
      <c r="K2968" s="40"/>
      <c r="P2968" s="40"/>
      <c r="Q2968" s="40"/>
      <c r="R2968" s="40"/>
    </row>
    <row r="2969" spans="1:18" x14ac:dyDescent="0.2">
      <c r="A2969" s="40" t="s">
        <v>2543</v>
      </c>
      <c r="B2969" s="40">
        <v>30.42</v>
      </c>
      <c r="C2969" s="40">
        <v>31.52</v>
      </c>
      <c r="D2969" s="40">
        <v>28.95</v>
      </c>
      <c r="E2969" s="40">
        <v>28.99</v>
      </c>
      <c r="K2969" s="40"/>
      <c r="P2969" s="40"/>
      <c r="Q2969" s="40"/>
      <c r="R2969" s="40"/>
    </row>
    <row r="2970" spans="1:18" x14ac:dyDescent="0.2">
      <c r="A2970" s="40" t="s">
        <v>2544</v>
      </c>
      <c r="B2970" s="40">
        <v>30.3</v>
      </c>
      <c r="C2970" s="40">
        <v>30.77</v>
      </c>
      <c r="D2970" s="40">
        <v>28.63</v>
      </c>
      <c r="E2970" s="40">
        <v>28.67</v>
      </c>
      <c r="K2970" s="40"/>
      <c r="P2970" s="40"/>
      <c r="Q2970" s="40"/>
      <c r="R2970" s="40"/>
    </row>
    <row r="2971" spans="1:18" x14ac:dyDescent="0.2">
      <c r="A2971" s="40" t="s">
        <v>2545</v>
      </c>
      <c r="B2971" s="40">
        <v>29.32</v>
      </c>
      <c r="C2971" s="40">
        <v>29.48</v>
      </c>
      <c r="D2971" s="40">
        <v>27.87</v>
      </c>
      <c r="E2971" s="40">
        <v>27.87</v>
      </c>
      <c r="K2971" s="40"/>
      <c r="P2971" s="40"/>
      <c r="Q2971" s="40"/>
      <c r="R2971" s="40"/>
    </row>
    <row r="2972" spans="1:18" x14ac:dyDescent="0.2">
      <c r="A2972" s="40" t="s">
        <v>2546</v>
      </c>
      <c r="B2972" s="40">
        <v>28.98</v>
      </c>
      <c r="C2972" s="40">
        <v>29.18</v>
      </c>
      <c r="D2972" s="40">
        <v>27.83</v>
      </c>
      <c r="E2972" s="40">
        <v>28.46</v>
      </c>
      <c r="K2972" s="40"/>
      <c r="P2972" s="40"/>
      <c r="Q2972" s="40"/>
      <c r="R2972" s="40"/>
    </row>
    <row r="2973" spans="1:18" x14ac:dyDescent="0.2">
      <c r="A2973" s="40" t="s">
        <v>2547</v>
      </c>
      <c r="B2973" s="40">
        <v>32.69</v>
      </c>
      <c r="C2973" s="40">
        <v>33.28</v>
      </c>
      <c r="D2973" s="40">
        <v>31.47</v>
      </c>
      <c r="E2973" s="40">
        <v>31.66</v>
      </c>
      <c r="K2973" s="40"/>
      <c r="P2973" s="40"/>
      <c r="Q2973" s="40"/>
      <c r="R2973" s="40"/>
    </row>
    <row r="2974" spans="1:18" x14ac:dyDescent="0.2">
      <c r="A2974" s="40" t="s">
        <v>2548</v>
      </c>
      <c r="B2974" s="40">
        <v>32.19</v>
      </c>
      <c r="C2974" s="40">
        <v>32.28</v>
      </c>
      <c r="D2974" s="40">
        <v>30.43</v>
      </c>
      <c r="E2974" s="40">
        <v>30.67</v>
      </c>
      <c r="K2974" s="40"/>
      <c r="P2974" s="40"/>
      <c r="Q2974" s="40"/>
      <c r="R2974" s="40"/>
    </row>
    <row r="2975" spans="1:18" x14ac:dyDescent="0.2">
      <c r="A2975" s="40" t="s">
        <v>2549</v>
      </c>
      <c r="B2975" s="40">
        <v>31.17</v>
      </c>
      <c r="C2975" s="40">
        <v>31.23</v>
      </c>
      <c r="D2975" s="40">
        <v>29.25</v>
      </c>
      <c r="E2975" s="40">
        <v>29.32</v>
      </c>
      <c r="K2975" s="40"/>
      <c r="P2975" s="40"/>
      <c r="Q2975" s="40"/>
      <c r="R2975" s="40"/>
    </row>
    <row r="2976" spans="1:18" x14ac:dyDescent="0.2">
      <c r="A2976" s="40" t="s">
        <v>2550</v>
      </c>
      <c r="B2976" s="40">
        <v>30.39</v>
      </c>
      <c r="C2976" s="40">
        <v>30.88</v>
      </c>
      <c r="D2976" s="40">
        <v>29.43</v>
      </c>
      <c r="E2976" s="40">
        <v>29.77</v>
      </c>
      <c r="K2976" s="40"/>
      <c r="P2976" s="40"/>
      <c r="Q2976" s="40"/>
      <c r="R2976" s="40"/>
    </row>
    <row r="2977" spans="1:18" x14ac:dyDescent="0.2">
      <c r="A2977" s="40" t="s">
        <v>2551</v>
      </c>
      <c r="B2977" s="40">
        <v>29.61</v>
      </c>
      <c r="C2977" s="40">
        <v>29.74</v>
      </c>
      <c r="D2977" s="40">
        <v>27.8</v>
      </c>
      <c r="E2977" s="40">
        <v>27.81</v>
      </c>
      <c r="K2977" s="40"/>
      <c r="P2977" s="40"/>
      <c r="Q2977" s="40"/>
      <c r="R2977" s="40"/>
    </row>
    <row r="2978" spans="1:18" x14ac:dyDescent="0.2">
      <c r="A2978" s="40" t="s">
        <v>2552</v>
      </c>
      <c r="B2978" s="40">
        <v>31.83</v>
      </c>
      <c r="C2978" s="40">
        <v>32.01</v>
      </c>
      <c r="D2978" s="40">
        <v>29.75</v>
      </c>
      <c r="E2978" s="40">
        <v>29.8</v>
      </c>
      <c r="K2978" s="40"/>
      <c r="P2978" s="40"/>
      <c r="Q2978" s="40"/>
      <c r="R2978" s="40"/>
    </row>
    <row r="2979" spans="1:18" x14ac:dyDescent="0.2">
      <c r="A2979" s="41">
        <v>44572</v>
      </c>
      <c r="B2979" s="40">
        <v>30.56</v>
      </c>
      <c r="C2979" s="40">
        <v>31.58</v>
      </c>
      <c r="D2979" s="40">
        <v>30.13</v>
      </c>
      <c r="E2979" s="40">
        <v>30.51</v>
      </c>
      <c r="K2979" s="40"/>
      <c r="P2979" s="40"/>
      <c r="Q2979" s="40"/>
      <c r="R2979" s="40"/>
    </row>
    <row r="2980" spans="1:18" x14ac:dyDescent="0.2">
      <c r="A2980" s="41">
        <v>44603</v>
      </c>
      <c r="B2980" s="40">
        <v>31.85</v>
      </c>
      <c r="C2980" s="40">
        <v>32.49</v>
      </c>
      <c r="D2980" s="40">
        <v>29.06</v>
      </c>
      <c r="E2980" s="40">
        <v>29.37</v>
      </c>
      <c r="K2980" s="40"/>
      <c r="P2980" s="40"/>
      <c r="Q2980" s="40"/>
      <c r="R2980" s="40"/>
    </row>
    <row r="2981" spans="1:18" x14ac:dyDescent="0.2">
      <c r="A2981" s="41">
        <v>44631</v>
      </c>
      <c r="B2981" s="40">
        <v>30.62</v>
      </c>
      <c r="C2981" s="40">
        <v>30.75</v>
      </c>
      <c r="D2981" s="40">
        <v>28.12</v>
      </c>
      <c r="E2981" s="40">
        <v>28.4</v>
      </c>
      <c r="K2981" s="40"/>
      <c r="P2981" s="40"/>
      <c r="Q2981" s="40"/>
      <c r="R2981" s="40"/>
    </row>
    <row r="2982" spans="1:18" x14ac:dyDescent="0.2">
      <c r="A2982" s="41">
        <v>44662</v>
      </c>
      <c r="B2982" s="40">
        <v>27.74</v>
      </c>
      <c r="C2982" s="40">
        <v>28.26</v>
      </c>
      <c r="D2982" s="40">
        <v>26.56</v>
      </c>
      <c r="E2982" s="40">
        <v>27.04</v>
      </c>
      <c r="K2982" s="40"/>
      <c r="P2982" s="40"/>
      <c r="Q2982" s="40"/>
      <c r="R2982" s="40"/>
    </row>
    <row r="2983" spans="1:18" x14ac:dyDescent="0.2">
      <c r="A2983" s="41">
        <v>44753</v>
      </c>
      <c r="B2983" s="40">
        <v>29.6</v>
      </c>
      <c r="C2983" s="40">
        <v>30</v>
      </c>
      <c r="D2983" s="40">
        <v>27.13</v>
      </c>
      <c r="E2983" s="40">
        <v>27.16</v>
      </c>
      <c r="K2983" s="40"/>
      <c r="P2983" s="40"/>
      <c r="Q2983" s="40"/>
      <c r="R2983" s="40"/>
    </row>
    <row r="2984" spans="1:18" x14ac:dyDescent="0.2">
      <c r="A2984" s="41">
        <v>44784</v>
      </c>
      <c r="B2984" s="40">
        <v>27.41</v>
      </c>
      <c r="C2984" s="40">
        <v>29.89</v>
      </c>
      <c r="D2984" s="40">
        <v>26.85</v>
      </c>
      <c r="E2984" s="40">
        <v>28.7</v>
      </c>
      <c r="K2984" s="40"/>
      <c r="P2984" s="40"/>
      <c r="Q2984" s="40"/>
      <c r="R2984" s="40"/>
    </row>
    <row r="2985" spans="1:18" x14ac:dyDescent="0.2">
      <c r="A2985" s="41">
        <v>44815</v>
      </c>
      <c r="B2985" s="40">
        <v>28.82</v>
      </c>
      <c r="C2985" s="40">
        <v>29.39</v>
      </c>
      <c r="D2985" s="40">
        <v>27.69</v>
      </c>
      <c r="E2985" s="40">
        <v>28.9</v>
      </c>
      <c r="K2985" s="40"/>
      <c r="P2985" s="40"/>
      <c r="Q2985" s="40"/>
      <c r="R2985" s="40"/>
    </row>
    <row r="2986" spans="1:18" x14ac:dyDescent="0.2">
      <c r="A2986" s="41">
        <v>44845</v>
      </c>
      <c r="B2986" s="40">
        <v>23.6</v>
      </c>
      <c r="C2986" s="40">
        <v>25.04</v>
      </c>
      <c r="D2986" s="40">
        <v>23.09</v>
      </c>
      <c r="E2986" s="40">
        <v>24.46</v>
      </c>
      <c r="K2986" s="40"/>
      <c r="P2986" s="40"/>
      <c r="Q2986" s="40"/>
      <c r="R2986" s="40"/>
    </row>
    <row r="2987" spans="1:18" x14ac:dyDescent="0.2">
      <c r="A2987" s="41">
        <v>44876</v>
      </c>
      <c r="B2987" s="40">
        <v>23.7</v>
      </c>
      <c r="C2987" s="40">
        <v>23.82</v>
      </c>
      <c r="D2987" s="40">
        <v>20.99</v>
      </c>
      <c r="E2987" s="40">
        <v>21.31</v>
      </c>
      <c r="K2987" s="40"/>
      <c r="P2987" s="40"/>
      <c r="Q2987" s="40"/>
      <c r="R2987" s="40"/>
    </row>
    <row r="2988" spans="1:18" x14ac:dyDescent="0.2">
      <c r="A2988" s="40" t="s">
        <v>2553</v>
      </c>
      <c r="B2988" s="40">
        <v>22.55</v>
      </c>
      <c r="C2988" s="40">
        <v>22.56</v>
      </c>
      <c r="D2988" s="40">
        <v>20.399999999999999</v>
      </c>
      <c r="E2988" s="40">
        <v>21.19</v>
      </c>
      <c r="K2988" s="40"/>
      <c r="P2988" s="40"/>
      <c r="Q2988" s="40"/>
      <c r="R2988" s="40"/>
    </row>
    <row r="2989" spans="1:18" x14ac:dyDescent="0.2">
      <c r="A2989" s="40" t="s">
        <v>2554</v>
      </c>
      <c r="B2989" s="40">
        <v>20.76</v>
      </c>
      <c r="C2989" s="40">
        <v>25.72</v>
      </c>
      <c r="D2989" s="40">
        <v>20.47</v>
      </c>
      <c r="E2989" s="40">
        <v>21.8</v>
      </c>
      <c r="K2989" s="40"/>
      <c r="P2989" s="40"/>
      <c r="Q2989" s="40"/>
      <c r="R2989" s="40"/>
    </row>
    <row r="2990" spans="1:18" x14ac:dyDescent="0.2">
      <c r="A2990" s="40" t="s">
        <v>2555</v>
      </c>
      <c r="B2990" s="40">
        <v>21.35</v>
      </c>
      <c r="C2990" s="40">
        <v>21.39</v>
      </c>
      <c r="D2990" s="40">
        <v>19.600000000000001</v>
      </c>
      <c r="E2990" s="40">
        <v>19.670000000000002</v>
      </c>
      <c r="K2990" s="40"/>
      <c r="P2990" s="40"/>
      <c r="Q2990" s="40"/>
      <c r="R2990" s="40"/>
    </row>
    <row r="2991" spans="1:18" x14ac:dyDescent="0.2">
      <c r="A2991" s="40" t="s">
        <v>2556</v>
      </c>
      <c r="B2991" s="40">
        <v>21.02</v>
      </c>
      <c r="C2991" s="40">
        <v>21.14</v>
      </c>
      <c r="D2991" s="40">
        <v>19.57</v>
      </c>
      <c r="E2991" s="40">
        <v>19.739999999999998</v>
      </c>
      <c r="K2991" s="40"/>
      <c r="P2991" s="40"/>
      <c r="Q2991" s="40"/>
      <c r="R2991" s="40"/>
    </row>
    <row r="2992" spans="1:18" x14ac:dyDescent="0.2">
      <c r="A2992" s="40" t="s">
        <v>2557</v>
      </c>
      <c r="B2992" s="40">
        <v>19.23</v>
      </c>
      <c r="C2992" s="40">
        <v>19.91</v>
      </c>
      <c r="D2992" s="40">
        <v>18.29</v>
      </c>
      <c r="E2992" s="40">
        <v>18.34</v>
      </c>
      <c r="K2992" s="40"/>
      <c r="P2992" s="40"/>
      <c r="Q2992" s="40"/>
      <c r="R2992" s="40"/>
    </row>
    <row r="2993" spans="1:18" x14ac:dyDescent="0.2">
      <c r="A2993" s="40" t="s">
        <v>2558</v>
      </c>
      <c r="B2993" s="40">
        <v>21.32</v>
      </c>
      <c r="C2993" s="40">
        <v>21.33</v>
      </c>
      <c r="D2993" s="40">
        <v>19.29</v>
      </c>
      <c r="E2993" s="40">
        <v>19.510000000000002</v>
      </c>
      <c r="K2993" s="40"/>
      <c r="P2993" s="40"/>
      <c r="Q2993" s="40"/>
      <c r="R2993" s="40"/>
    </row>
    <row r="2994" spans="1:18" x14ac:dyDescent="0.2">
      <c r="A2994" s="40" t="s">
        <v>2559</v>
      </c>
      <c r="B2994" s="40">
        <v>19.71</v>
      </c>
      <c r="C2994" s="40">
        <v>19.8</v>
      </c>
      <c r="D2994" s="40">
        <v>19.03</v>
      </c>
      <c r="E2994" s="40">
        <v>19.03</v>
      </c>
      <c r="K2994" s="40"/>
      <c r="P2994" s="40"/>
      <c r="Q2994" s="40"/>
      <c r="R2994" s="40"/>
    </row>
    <row r="2995" spans="1:18" x14ac:dyDescent="0.2">
      <c r="A2995" s="40" t="s">
        <v>2560</v>
      </c>
      <c r="B2995" s="40">
        <v>19.73</v>
      </c>
      <c r="C2995" s="40">
        <v>19.850000000000001</v>
      </c>
      <c r="D2995" s="40">
        <v>16.91</v>
      </c>
      <c r="E2995" s="40">
        <v>16.91</v>
      </c>
      <c r="K2995" s="40"/>
      <c r="P2995" s="40"/>
      <c r="Q2995" s="40"/>
      <c r="R2995" s="40"/>
    </row>
    <row r="2996" spans="1:18" x14ac:dyDescent="0.2">
      <c r="A2996" s="40" t="s">
        <v>2561</v>
      </c>
      <c r="B2996" s="40">
        <v>18.5</v>
      </c>
      <c r="C2996" s="40">
        <v>18.66</v>
      </c>
      <c r="D2996" s="40">
        <v>17.010000000000002</v>
      </c>
      <c r="E2996" s="40">
        <v>17.059999999999999</v>
      </c>
      <c r="K2996" s="40"/>
      <c r="P2996" s="40"/>
      <c r="Q2996" s="40"/>
      <c r="R2996" s="40"/>
    </row>
    <row r="2997" spans="1:18" x14ac:dyDescent="0.2">
      <c r="A2997" s="40" t="s">
        <v>2562</v>
      </c>
      <c r="B2997" s="40">
        <v>20.45</v>
      </c>
      <c r="C2997" s="40">
        <v>20.7</v>
      </c>
      <c r="D2997" s="40">
        <v>19.600000000000001</v>
      </c>
      <c r="E2997" s="40">
        <v>20.07</v>
      </c>
      <c r="K2997" s="40"/>
      <c r="P2997" s="40"/>
      <c r="Q2997" s="40"/>
      <c r="R2997" s="40"/>
    </row>
    <row r="2998" spans="1:18" x14ac:dyDescent="0.2">
      <c r="A2998" s="40" t="s">
        <v>2563</v>
      </c>
      <c r="B2998" s="40">
        <v>20.47</v>
      </c>
      <c r="C2998" s="40">
        <v>21.26</v>
      </c>
      <c r="D2998" s="40">
        <v>20.16</v>
      </c>
      <c r="E2998" s="40">
        <v>20.39</v>
      </c>
      <c r="K2998" s="40"/>
      <c r="P2998" s="40"/>
      <c r="Q2998" s="40"/>
      <c r="R2998" s="40"/>
    </row>
    <row r="2999" spans="1:18" x14ac:dyDescent="0.2">
      <c r="A2999" s="40" t="s">
        <v>2564</v>
      </c>
      <c r="B2999" s="40">
        <v>21.23</v>
      </c>
      <c r="C2999" s="40">
        <v>22.4</v>
      </c>
      <c r="D2999" s="40">
        <v>18.52</v>
      </c>
      <c r="E2999" s="40">
        <v>18.87</v>
      </c>
      <c r="K2999" s="40"/>
      <c r="P2999" s="40"/>
      <c r="Q2999" s="40"/>
      <c r="R2999" s="40"/>
    </row>
    <row r="3000" spans="1:18" x14ac:dyDescent="0.2">
      <c r="A3000" s="41">
        <v>44573</v>
      </c>
      <c r="B3000" s="40">
        <v>19.850000000000001</v>
      </c>
      <c r="C3000" s="40">
        <v>20.350000000000001</v>
      </c>
      <c r="D3000" s="40">
        <v>18.38</v>
      </c>
      <c r="E3000" s="40">
        <v>18.38</v>
      </c>
      <c r="K3000" s="40"/>
      <c r="P3000" s="40"/>
      <c r="Q3000" s="40"/>
      <c r="R3000" s="40"/>
    </row>
    <row r="3001" spans="1:18" x14ac:dyDescent="0.2">
      <c r="A3001" s="41">
        <v>44604</v>
      </c>
      <c r="B3001" s="40">
        <v>19.78</v>
      </c>
      <c r="C3001" s="40">
        <v>19.78</v>
      </c>
      <c r="D3001" s="40">
        <v>17.8</v>
      </c>
      <c r="E3001" s="40">
        <v>17.95</v>
      </c>
      <c r="K3001" s="40"/>
      <c r="P3001" s="40"/>
      <c r="Q3001" s="40"/>
      <c r="R3001" s="40"/>
    </row>
    <row r="3002" spans="1:18" x14ac:dyDescent="0.2">
      <c r="A3002" s="41">
        <v>44693</v>
      </c>
      <c r="B3002" s="40">
        <v>23.03</v>
      </c>
      <c r="C3002" s="40">
        <v>24.63</v>
      </c>
      <c r="D3002" s="40">
        <v>22.45</v>
      </c>
      <c r="E3002" s="40">
        <v>23.81</v>
      </c>
      <c r="K3002" s="40"/>
      <c r="P3002" s="40"/>
      <c r="Q3002" s="40"/>
      <c r="R3002" s="40"/>
    </row>
    <row r="3003" spans="1:18" x14ac:dyDescent="0.2">
      <c r="A3003" s="41">
        <v>44724</v>
      </c>
      <c r="B3003" s="40">
        <v>24.2</v>
      </c>
      <c r="C3003" s="40">
        <v>27.74</v>
      </c>
      <c r="D3003" s="40">
        <v>24.09</v>
      </c>
      <c r="E3003" s="40">
        <v>27.08</v>
      </c>
      <c r="K3003" s="40"/>
      <c r="P3003" s="40"/>
      <c r="Q3003" s="40"/>
      <c r="R3003" s="40"/>
    </row>
    <row r="3004" spans="1:18" x14ac:dyDescent="0.2">
      <c r="A3004" s="41">
        <v>44754</v>
      </c>
      <c r="B3004" s="40">
        <v>28.53</v>
      </c>
      <c r="C3004" s="40">
        <v>29.32</v>
      </c>
      <c r="D3004" s="40">
        <v>27.75</v>
      </c>
      <c r="E3004" s="40">
        <v>28.07</v>
      </c>
      <c r="K3004" s="40"/>
      <c r="P3004" s="40"/>
      <c r="Q3004" s="40"/>
      <c r="R3004" s="40"/>
    </row>
    <row r="3005" spans="1:18" x14ac:dyDescent="0.2">
      <c r="A3005" s="41">
        <v>44785</v>
      </c>
      <c r="B3005" s="40">
        <v>27.86</v>
      </c>
      <c r="C3005" s="40">
        <v>28.51</v>
      </c>
      <c r="D3005" s="40">
        <v>26.28</v>
      </c>
      <c r="E3005" s="40">
        <v>26.74</v>
      </c>
      <c r="K3005" s="40"/>
      <c r="P3005" s="40"/>
      <c r="Q3005" s="40"/>
      <c r="R3005" s="40"/>
    </row>
    <row r="3006" spans="1:18" x14ac:dyDescent="0.2">
      <c r="A3006" s="41">
        <v>44816</v>
      </c>
      <c r="B3006" s="40">
        <v>27.11</v>
      </c>
      <c r="C3006" s="40">
        <v>27.37</v>
      </c>
      <c r="D3006" s="40">
        <v>25.63</v>
      </c>
      <c r="E3006" s="40">
        <v>26.48</v>
      </c>
      <c r="K3006" s="40"/>
      <c r="P3006" s="40"/>
      <c r="Q3006" s="40"/>
      <c r="R3006" s="40"/>
    </row>
    <row r="3007" spans="1:18" x14ac:dyDescent="0.2">
      <c r="A3007" s="41">
        <v>44907</v>
      </c>
      <c r="B3007" s="40">
        <v>27.69</v>
      </c>
      <c r="C3007" s="40">
        <v>29.66</v>
      </c>
      <c r="D3007" s="40">
        <v>27.68</v>
      </c>
      <c r="E3007" s="40">
        <v>29.54</v>
      </c>
      <c r="K3007" s="40"/>
      <c r="P3007" s="40"/>
      <c r="Q3007" s="40"/>
      <c r="R3007" s="40"/>
    </row>
    <row r="3008" spans="1:18" x14ac:dyDescent="0.2">
      <c r="A3008" s="40" t="s">
        <v>2565</v>
      </c>
      <c r="B3008" s="40">
        <v>22.21</v>
      </c>
      <c r="C3008" s="40">
        <v>25.85</v>
      </c>
      <c r="D3008" s="40">
        <v>21.97</v>
      </c>
      <c r="E3008" s="40">
        <v>23.7</v>
      </c>
      <c r="K3008" s="40"/>
      <c r="P3008" s="40"/>
      <c r="Q3008" s="40"/>
      <c r="R3008" s="40"/>
    </row>
    <row r="3009" spans="1:18" x14ac:dyDescent="0.2">
      <c r="A3009" s="40" t="s">
        <v>2566</v>
      </c>
      <c r="B3009" s="40">
        <v>23.63</v>
      </c>
      <c r="C3009" s="40">
        <v>24.29</v>
      </c>
      <c r="D3009" s="40">
        <v>19.989999999999998</v>
      </c>
      <c r="E3009" s="40">
        <v>20.2</v>
      </c>
      <c r="K3009" s="40"/>
      <c r="P3009" s="40"/>
      <c r="Q3009" s="40"/>
      <c r="R3009" s="40"/>
    </row>
    <row r="3010" spans="1:18" x14ac:dyDescent="0.2">
      <c r="A3010" s="40" t="s">
        <v>2567</v>
      </c>
      <c r="B3010" s="40">
        <v>20.5</v>
      </c>
      <c r="C3010" s="40">
        <v>23.31</v>
      </c>
      <c r="D3010" s="40">
        <v>20.239999999999998</v>
      </c>
      <c r="E3010" s="40">
        <v>21.73</v>
      </c>
      <c r="K3010" s="40"/>
      <c r="P3010" s="40"/>
      <c r="Q3010" s="40"/>
      <c r="R3010" s="40"/>
    </row>
    <row r="3011" spans="1:18" x14ac:dyDescent="0.2">
      <c r="A3011" s="40" t="s">
        <v>2568</v>
      </c>
      <c r="B3011" s="40">
        <v>22.36</v>
      </c>
      <c r="C3011" s="40">
        <v>22.4</v>
      </c>
      <c r="D3011" s="40">
        <v>19.77</v>
      </c>
      <c r="E3011" s="40">
        <v>20.51</v>
      </c>
      <c r="K3011" s="40"/>
      <c r="P3011" s="40"/>
      <c r="Q3011" s="40"/>
      <c r="R3011" s="40"/>
    </row>
    <row r="3012" spans="1:18" x14ac:dyDescent="0.2">
      <c r="A3012" s="40" t="s">
        <v>2569</v>
      </c>
      <c r="B3012" s="40">
        <v>21.79</v>
      </c>
      <c r="C3012" s="40">
        <v>21.85</v>
      </c>
      <c r="D3012" s="40">
        <v>19.7</v>
      </c>
      <c r="E3012" s="40">
        <v>20.83</v>
      </c>
      <c r="K3012" s="40"/>
      <c r="P3012" s="40"/>
      <c r="Q3012" s="40"/>
      <c r="R3012" s="40"/>
    </row>
    <row r="3013" spans="1:18" x14ac:dyDescent="0.2">
      <c r="A3013" s="40" t="s">
        <v>2570</v>
      </c>
      <c r="B3013" s="40">
        <v>21.47</v>
      </c>
      <c r="C3013" s="40">
        <v>21.68</v>
      </c>
      <c r="D3013" s="40">
        <v>19.62</v>
      </c>
      <c r="E3013" s="40">
        <v>19.78</v>
      </c>
      <c r="K3013" s="40"/>
      <c r="P3013" s="40"/>
      <c r="Q3013" s="40"/>
      <c r="R3013" s="40"/>
    </row>
    <row r="3014" spans="1:18" x14ac:dyDescent="0.2">
      <c r="A3014" s="40" t="s">
        <v>2571</v>
      </c>
      <c r="B3014" s="40">
        <v>18.829999999999998</v>
      </c>
      <c r="C3014" s="40">
        <v>18.940000000000001</v>
      </c>
      <c r="D3014" s="40">
        <v>17.329999999999998</v>
      </c>
      <c r="E3014" s="40">
        <v>17.579999999999998</v>
      </c>
      <c r="K3014" s="40"/>
      <c r="P3014" s="40"/>
      <c r="Q3014" s="40"/>
      <c r="R3014" s="40"/>
    </row>
    <row r="3015" spans="1:18" x14ac:dyDescent="0.2">
      <c r="A3015" s="40" t="s">
        <v>2572</v>
      </c>
      <c r="B3015" s="40">
        <v>18.309999999999999</v>
      </c>
      <c r="C3015" s="40">
        <v>24.52</v>
      </c>
      <c r="D3015" s="40">
        <v>18.18</v>
      </c>
      <c r="E3015" s="40">
        <v>19.84</v>
      </c>
      <c r="K3015" s="40"/>
      <c r="P3015" s="40"/>
      <c r="Q3015" s="40"/>
      <c r="R3015" s="40"/>
    </row>
    <row r="3016" spans="1:18" x14ac:dyDescent="0.2">
      <c r="A3016" s="40" t="s">
        <v>2573</v>
      </c>
      <c r="B3016" s="40">
        <v>19.809999999999999</v>
      </c>
      <c r="C3016" s="40">
        <v>21.4</v>
      </c>
      <c r="D3016" s="40">
        <v>17.420000000000002</v>
      </c>
      <c r="E3016" s="40">
        <v>17.489999999999998</v>
      </c>
      <c r="K3016" s="40"/>
      <c r="P3016" s="40"/>
      <c r="Q3016" s="40"/>
      <c r="R3016" s="40"/>
    </row>
    <row r="3017" spans="1:18" x14ac:dyDescent="0.2">
      <c r="A3017" s="40" t="s">
        <v>2574</v>
      </c>
      <c r="B3017" s="40">
        <v>21.52</v>
      </c>
      <c r="C3017" s="40">
        <v>22.21</v>
      </c>
      <c r="D3017" s="40">
        <v>19.72</v>
      </c>
      <c r="E3017" s="40">
        <v>19.77</v>
      </c>
      <c r="K3017" s="40"/>
      <c r="P3017" s="40"/>
      <c r="Q3017" s="40"/>
      <c r="R3017" s="40"/>
    </row>
    <row r="3018" spans="1:18" x14ac:dyDescent="0.2">
      <c r="A3018" s="40" t="s">
        <v>2575</v>
      </c>
      <c r="B3018" s="40">
        <v>20.38</v>
      </c>
      <c r="C3018" s="40">
        <v>21.15</v>
      </c>
      <c r="D3018" s="40">
        <v>19.13</v>
      </c>
      <c r="E3018" s="40">
        <v>20.88</v>
      </c>
      <c r="K3018" s="40"/>
      <c r="P3018" s="40"/>
      <c r="Q3018" s="40"/>
      <c r="R3018" s="40"/>
    </row>
    <row r="3019" spans="1:18" x14ac:dyDescent="0.2">
      <c r="A3019" s="40" t="s">
        <v>2576</v>
      </c>
      <c r="B3019" s="40">
        <v>21.28</v>
      </c>
      <c r="C3019" s="40">
        <v>21.52</v>
      </c>
      <c r="D3019" s="40">
        <v>20.29</v>
      </c>
      <c r="E3019" s="40">
        <v>20.49</v>
      </c>
      <c r="K3019" s="40"/>
      <c r="P3019" s="40"/>
      <c r="Q3019" s="40"/>
      <c r="R3019" s="40"/>
    </row>
    <row r="3020" spans="1:18" x14ac:dyDescent="0.2">
      <c r="A3020" s="40" t="s">
        <v>2577</v>
      </c>
      <c r="B3020" s="40">
        <v>21.75</v>
      </c>
      <c r="C3020" s="40">
        <v>22.12</v>
      </c>
      <c r="D3020" s="40">
        <v>20.86</v>
      </c>
      <c r="E3020" s="40">
        <v>21.14</v>
      </c>
      <c r="K3020" s="40"/>
      <c r="P3020" s="40"/>
      <c r="Q3020" s="40"/>
      <c r="R3020" s="40"/>
    </row>
    <row r="3021" spans="1:18" x14ac:dyDescent="0.2">
      <c r="A3021" s="41">
        <v>44986</v>
      </c>
      <c r="B3021" s="40">
        <v>25.82</v>
      </c>
      <c r="C3021" s="40">
        <v>26.08</v>
      </c>
      <c r="D3021" s="40">
        <v>24.84</v>
      </c>
      <c r="E3021" s="40">
        <v>25.08</v>
      </c>
      <c r="K3021" s="40"/>
      <c r="P3021" s="40"/>
      <c r="Q3021" s="40"/>
      <c r="R3021" s="40"/>
    </row>
    <row r="3022" spans="1:18" x14ac:dyDescent="0.2">
      <c r="A3022" s="41">
        <v>45017</v>
      </c>
      <c r="B3022" s="40">
        <v>25.45</v>
      </c>
      <c r="C3022" s="40">
        <v>25.85</v>
      </c>
      <c r="D3022" s="40">
        <v>23.85</v>
      </c>
      <c r="E3022" s="40">
        <v>23.92</v>
      </c>
      <c r="K3022" s="40"/>
      <c r="P3022" s="40"/>
      <c r="Q3022" s="40"/>
      <c r="R3022" s="40"/>
    </row>
    <row r="3023" spans="1:18" x14ac:dyDescent="0.2">
      <c r="A3023" s="41">
        <v>45047</v>
      </c>
      <c r="B3023" s="40">
        <v>24.89</v>
      </c>
      <c r="C3023" s="40">
        <v>25.55</v>
      </c>
      <c r="D3023" s="40">
        <v>24.3</v>
      </c>
      <c r="E3023" s="40">
        <v>24.54</v>
      </c>
      <c r="K3023" s="40"/>
      <c r="P3023" s="40"/>
      <c r="Q3023" s="40"/>
      <c r="R3023" s="40"/>
    </row>
    <row r="3024" spans="1:18" x14ac:dyDescent="0.2">
      <c r="A3024" s="41">
        <v>45078</v>
      </c>
      <c r="B3024" s="40">
        <v>23.89</v>
      </c>
      <c r="C3024" s="40">
        <v>23.99</v>
      </c>
      <c r="D3024" s="40">
        <v>21.45</v>
      </c>
      <c r="E3024" s="40">
        <v>21.57</v>
      </c>
      <c r="K3024" s="40"/>
      <c r="P3024" s="40"/>
      <c r="Q3024" s="40"/>
      <c r="R3024" s="40"/>
    </row>
    <row r="3025" spans="1:18" x14ac:dyDescent="0.2">
      <c r="A3025" s="41">
        <v>45170</v>
      </c>
      <c r="B3025" s="40">
        <v>23.09</v>
      </c>
      <c r="C3025" s="40">
        <v>23.15</v>
      </c>
      <c r="D3025" s="40">
        <v>22.21</v>
      </c>
      <c r="E3025" s="40">
        <v>23.04</v>
      </c>
      <c r="K3025" s="40"/>
      <c r="P3025" s="40"/>
      <c r="Q3025" s="40"/>
      <c r="R3025" s="40"/>
    </row>
    <row r="3026" spans="1:18" x14ac:dyDescent="0.2">
      <c r="A3026" s="41">
        <v>45200</v>
      </c>
      <c r="B3026" s="40">
        <v>23.55</v>
      </c>
      <c r="C3026" s="40">
        <v>23.61</v>
      </c>
      <c r="D3026" s="40">
        <v>21.49</v>
      </c>
      <c r="E3026" s="40">
        <v>21.5</v>
      </c>
      <c r="K3026" s="40"/>
      <c r="P3026" s="40"/>
      <c r="Q3026" s="40"/>
      <c r="R3026" s="40"/>
    </row>
    <row r="3027" spans="1:18" x14ac:dyDescent="0.2">
      <c r="A3027" s="41">
        <v>45231</v>
      </c>
      <c r="B3027" s="40">
        <v>22.15</v>
      </c>
      <c r="C3027" s="40">
        <v>23</v>
      </c>
      <c r="D3027" s="40">
        <v>21.83</v>
      </c>
      <c r="E3027" s="40">
        <v>22.41</v>
      </c>
      <c r="K3027" s="40"/>
      <c r="P3027" s="40"/>
      <c r="Q3027" s="40"/>
      <c r="R3027" s="40"/>
    </row>
    <row r="3028" spans="1:18" x14ac:dyDescent="0.2">
      <c r="A3028" s="41">
        <v>45261</v>
      </c>
      <c r="B3028" s="40">
        <v>18.95</v>
      </c>
      <c r="C3028" s="40">
        <v>18.97</v>
      </c>
      <c r="D3028" s="40">
        <v>16.46</v>
      </c>
      <c r="E3028" s="40">
        <v>16.46</v>
      </c>
      <c r="K3028" s="40"/>
      <c r="P3028" s="40"/>
      <c r="Q3028" s="40"/>
      <c r="R3028" s="40"/>
    </row>
    <row r="3029" spans="1:18" x14ac:dyDescent="0.2">
      <c r="A3029" s="40" t="s">
        <v>2578</v>
      </c>
      <c r="B3029" s="40">
        <v>16.86</v>
      </c>
      <c r="C3029" s="40">
        <v>16.93</v>
      </c>
      <c r="D3029" s="40">
        <v>14.69</v>
      </c>
      <c r="E3029" s="40">
        <v>14.82</v>
      </c>
      <c r="K3029" s="40"/>
      <c r="P3029" s="40"/>
      <c r="Q3029" s="40"/>
      <c r="R3029" s="40"/>
    </row>
    <row r="3030" spans="1:18" x14ac:dyDescent="0.2">
      <c r="A3030" s="40" t="s">
        <v>2579</v>
      </c>
      <c r="B3030" s="40">
        <v>18.05</v>
      </c>
      <c r="C3030" s="40">
        <v>18.16</v>
      </c>
      <c r="D3030" s="40">
        <v>16.420000000000002</v>
      </c>
      <c r="E3030" s="40">
        <v>16.61</v>
      </c>
      <c r="K3030" s="40"/>
      <c r="P3030" s="40"/>
      <c r="Q3030" s="40"/>
      <c r="R3030" s="40"/>
    </row>
    <row r="3031" spans="1:18" x14ac:dyDescent="0.2">
      <c r="A3031" s="40" t="s">
        <v>2580</v>
      </c>
      <c r="B3031" s="40">
        <v>16.32</v>
      </c>
      <c r="C3031" s="40">
        <v>17.75</v>
      </c>
      <c r="D3031" s="40">
        <v>15.55</v>
      </c>
      <c r="E3031" s="40">
        <v>17.239999999999998</v>
      </c>
      <c r="K3031" s="40"/>
      <c r="P3031" s="40"/>
      <c r="Q3031" s="40"/>
      <c r="R3031" s="40"/>
    </row>
    <row r="3032" spans="1:18" x14ac:dyDescent="0.2">
      <c r="A3032" s="40" t="s">
        <v>2581</v>
      </c>
      <c r="B3032" s="40">
        <v>19.2</v>
      </c>
      <c r="C3032" s="40">
        <v>20</v>
      </c>
      <c r="D3032" s="40">
        <v>17.98</v>
      </c>
      <c r="E3032" s="40">
        <v>18.28</v>
      </c>
      <c r="K3032" s="40"/>
      <c r="P3032" s="40"/>
      <c r="Q3032" s="40"/>
      <c r="R3032" s="40"/>
    </row>
    <row r="3033" spans="1:18" x14ac:dyDescent="0.2">
      <c r="A3033" s="40" t="s">
        <v>2582</v>
      </c>
      <c r="B3033" s="40">
        <v>19.02</v>
      </c>
      <c r="C3033" s="40">
        <v>19.309999999999999</v>
      </c>
      <c r="D3033" s="40">
        <v>17.489999999999998</v>
      </c>
      <c r="E3033" s="40">
        <v>18.260000000000002</v>
      </c>
      <c r="K3033" s="40"/>
      <c r="P3033" s="40"/>
      <c r="Q3033" s="40"/>
      <c r="R3033" s="40"/>
    </row>
    <row r="3034" spans="1:18" x14ac:dyDescent="0.2">
      <c r="A3034" s="40" t="s">
        <v>2583</v>
      </c>
      <c r="B3034" s="40">
        <v>21.67</v>
      </c>
      <c r="C3034" s="40">
        <v>22.04</v>
      </c>
      <c r="D3034" s="40">
        <v>21.07</v>
      </c>
      <c r="E3034" s="40">
        <v>21.25</v>
      </c>
      <c r="K3034" s="40"/>
      <c r="P3034" s="40"/>
      <c r="Q3034" s="40"/>
      <c r="R3034" s="40"/>
    </row>
    <row r="3035" spans="1:18" x14ac:dyDescent="0.2">
      <c r="A3035" s="40" t="s">
        <v>2584</v>
      </c>
      <c r="B3035" s="40">
        <v>22.34</v>
      </c>
      <c r="C3035" s="40">
        <v>22.93</v>
      </c>
      <c r="D3035" s="40">
        <v>21.22</v>
      </c>
      <c r="E3035" s="40">
        <v>21.84</v>
      </c>
      <c r="K3035" s="40"/>
      <c r="P3035" s="40"/>
      <c r="Q3035" s="40"/>
      <c r="R3035" s="40"/>
    </row>
    <row r="3036" spans="1:18" x14ac:dyDescent="0.2">
      <c r="A3036" s="40" t="s">
        <v>2585</v>
      </c>
      <c r="B3036" s="40">
        <v>23.35</v>
      </c>
      <c r="C3036" s="40">
        <v>24.33</v>
      </c>
      <c r="D3036" s="40">
        <v>21.95</v>
      </c>
      <c r="E3036" s="40">
        <v>22.01</v>
      </c>
      <c r="K3036" s="40"/>
      <c r="P3036" s="40"/>
      <c r="Q3036" s="40"/>
      <c r="R3036" s="40"/>
    </row>
    <row r="3037" spans="1:18" x14ac:dyDescent="0.2">
      <c r="A3037" s="40" t="s">
        <v>2586</v>
      </c>
      <c r="B3037" s="40">
        <v>21.95</v>
      </c>
      <c r="C3037" s="40">
        <v>22.26</v>
      </c>
      <c r="D3037" s="40">
        <v>21.05</v>
      </c>
      <c r="E3037" s="40">
        <v>21.05</v>
      </c>
      <c r="K3037" s="40"/>
      <c r="P3037" s="40"/>
      <c r="Q3037" s="40"/>
      <c r="R3037" s="40"/>
    </row>
    <row r="3038" spans="1:18" x14ac:dyDescent="0.2">
      <c r="A3038" s="40" t="s">
        <v>2587</v>
      </c>
      <c r="B3038" s="40">
        <v>20.99</v>
      </c>
      <c r="C3038" s="40">
        <v>21</v>
      </c>
      <c r="D3038" s="40">
        <v>19.600000000000001</v>
      </c>
      <c r="E3038" s="40">
        <v>20.03</v>
      </c>
      <c r="K3038" s="40"/>
      <c r="P3038" s="40"/>
      <c r="Q3038" s="40"/>
      <c r="R3038" s="40"/>
    </row>
    <row r="3039" spans="1:18" x14ac:dyDescent="0.2">
      <c r="A3039" s="40" t="s">
        <v>2588</v>
      </c>
      <c r="B3039" s="40">
        <v>22.13</v>
      </c>
      <c r="C3039" s="40">
        <v>23.03</v>
      </c>
      <c r="D3039" s="40">
        <v>21.95</v>
      </c>
      <c r="E3039" s="40">
        <v>22.42</v>
      </c>
      <c r="K3039" s="40"/>
      <c r="P3039" s="40"/>
      <c r="Q3039" s="40"/>
      <c r="R3039" s="40"/>
    </row>
    <row r="3040" spans="1:18" x14ac:dyDescent="0.2">
      <c r="A3040" s="40" t="s">
        <v>2589</v>
      </c>
      <c r="B3040" s="40">
        <v>22.95</v>
      </c>
      <c r="C3040" s="40">
        <v>23.17</v>
      </c>
      <c r="D3040" s="40">
        <v>21.38</v>
      </c>
      <c r="E3040" s="40">
        <v>21.74</v>
      </c>
      <c r="K3040" s="40"/>
      <c r="P3040" s="40"/>
      <c r="Q3040" s="40"/>
      <c r="R3040" s="40"/>
    </row>
    <row r="3041" spans="1:18" x14ac:dyDescent="0.2">
      <c r="A3041" s="41">
        <v>44928</v>
      </c>
      <c r="B3041" s="40">
        <v>22.38</v>
      </c>
      <c r="C3041" s="40">
        <v>22.66</v>
      </c>
      <c r="D3041" s="40">
        <v>18.55</v>
      </c>
      <c r="E3041" s="40">
        <v>18.559999999999999</v>
      </c>
      <c r="K3041" s="40"/>
      <c r="P3041" s="40"/>
      <c r="Q3041" s="40"/>
      <c r="R3041" s="40"/>
    </row>
    <row r="3042" spans="1:18" x14ac:dyDescent="0.2">
      <c r="A3042" s="41">
        <v>44959</v>
      </c>
      <c r="B3042" s="40">
        <v>18.309999999999999</v>
      </c>
      <c r="C3042" s="40">
        <v>20.170000000000002</v>
      </c>
      <c r="D3042" s="40">
        <v>18.010000000000002</v>
      </c>
      <c r="E3042" s="40">
        <v>19.13</v>
      </c>
      <c r="K3042" s="40"/>
      <c r="P3042" s="40"/>
      <c r="Q3042" s="40"/>
      <c r="R3042" s="40"/>
    </row>
    <row r="3043" spans="1:18" x14ac:dyDescent="0.2">
      <c r="A3043" s="41">
        <v>44987</v>
      </c>
      <c r="B3043" s="40">
        <v>18.2</v>
      </c>
      <c r="C3043" s="40">
        <v>19.21</v>
      </c>
      <c r="D3043" s="40">
        <v>17.760000000000002</v>
      </c>
      <c r="E3043" s="40">
        <v>17.760000000000002</v>
      </c>
      <c r="K3043" s="40"/>
      <c r="P3043" s="40"/>
      <c r="Q3043" s="40"/>
      <c r="R3043" s="40"/>
    </row>
    <row r="3044" spans="1:18" x14ac:dyDescent="0.2">
      <c r="A3044" s="41">
        <v>45079</v>
      </c>
      <c r="B3044" s="40">
        <v>20.87</v>
      </c>
      <c r="C3044" s="40">
        <v>21.32</v>
      </c>
      <c r="D3044" s="40">
        <v>20.53</v>
      </c>
      <c r="E3044" s="40">
        <v>20.67</v>
      </c>
      <c r="K3044" s="40"/>
      <c r="P3044" s="40"/>
      <c r="Q3044" s="40"/>
      <c r="R3044" s="40"/>
    </row>
    <row r="3045" spans="1:18" x14ac:dyDescent="0.2">
      <c r="A3045" s="41">
        <v>45109</v>
      </c>
      <c r="B3045" s="40">
        <v>21.72</v>
      </c>
      <c r="C3045" s="40">
        <v>21.84</v>
      </c>
      <c r="D3045" s="40">
        <v>19.38</v>
      </c>
      <c r="E3045" s="40">
        <v>19.62</v>
      </c>
      <c r="K3045" s="40"/>
      <c r="P3045" s="40"/>
      <c r="Q3045" s="40"/>
      <c r="R3045" s="40"/>
    </row>
    <row r="3046" spans="1:18" x14ac:dyDescent="0.2">
      <c r="A3046" s="41">
        <v>45140</v>
      </c>
      <c r="B3046" s="40">
        <v>20.399999999999999</v>
      </c>
      <c r="C3046" s="40">
        <v>21.85</v>
      </c>
      <c r="D3046" s="40">
        <v>20.010000000000002</v>
      </c>
      <c r="E3046" s="40">
        <v>21</v>
      </c>
      <c r="K3046" s="40"/>
      <c r="P3046" s="40"/>
      <c r="Q3046" s="40"/>
      <c r="R3046" s="40"/>
    </row>
    <row r="3047" spans="1:18" x14ac:dyDescent="0.2">
      <c r="A3047" s="41">
        <v>45171</v>
      </c>
      <c r="B3047" s="40">
        <v>20.6</v>
      </c>
      <c r="C3047" s="40">
        <v>23.3</v>
      </c>
      <c r="D3047" s="40">
        <v>20.3</v>
      </c>
      <c r="E3047" s="40">
        <v>22.74</v>
      </c>
      <c r="K3047" s="40"/>
      <c r="P3047" s="40"/>
      <c r="Q3047" s="40"/>
      <c r="R3047" s="40"/>
    </row>
    <row r="3048" spans="1:18" x14ac:dyDescent="0.2">
      <c r="A3048" s="41">
        <v>45201</v>
      </c>
      <c r="B3048" s="40">
        <v>23.21</v>
      </c>
      <c r="C3048" s="40">
        <v>23.65</v>
      </c>
      <c r="D3048" s="40">
        <v>21.33</v>
      </c>
      <c r="E3048" s="40">
        <v>21.5</v>
      </c>
      <c r="K3048" s="40"/>
      <c r="P3048" s="40"/>
      <c r="Q3048" s="40"/>
      <c r="R3048" s="40"/>
    </row>
    <row r="3049" spans="1:18" x14ac:dyDescent="0.2">
      <c r="A3049" s="40" t="s">
        <v>2590</v>
      </c>
      <c r="B3049" s="40">
        <v>23.03</v>
      </c>
      <c r="C3049" s="40">
        <v>23.04</v>
      </c>
      <c r="D3049" s="40">
        <v>21.41</v>
      </c>
      <c r="E3049" s="40">
        <v>21.41</v>
      </c>
      <c r="K3049" s="40"/>
      <c r="P3049" s="40"/>
      <c r="Q3049" s="40"/>
      <c r="R3049" s="40"/>
    </row>
    <row r="3050" spans="1:18" x14ac:dyDescent="0.2">
      <c r="A3050" s="40" t="s">
        <v>2591</v>
      </c>
      <c r="B3050" s="40">
        <v>19.760000000000002</v>
      </c>
      <c r="C3050" s="40">
        <v>20.23</v>
      </c>
      <c r="D3050" s="40">
        <v>17.05</v>
      </c>
      <c r="E3050" s="40">
        <v>17.72</v>
      </c>
      <c r="K3050" s="40"/>
      <c r="P3050" s="40"/>
      <c r="Q3050" s="40"/>
      <c r="R3050" s="40"/>
    </row>
    <row r="3051" spans="1:18" x14ac:dyDescent="0.2">
      <c r="A3051" s="40" t="s">
        <v>2592</v>
      </c>
      <c r="B3051" s="40">
        <v>18.03</v>
      </c>
      <c r="C3051" s="40">
        <v>18.04</v>
      </c>
      <c r="D3051" s="40">
        <v>15.97</v>
      </c>
      <c r="E3051" s="40">
        <v>16.02</v>
      </c>
      <c r="K3051" s="40"/>
      <c r="P3051" s="40"/>
      <c r="Q3051" s="40"/>
      <c r="R3051" s="40"/>
    </row>
    <row r="3052" spans="1:18" x14ac:dyDescent="0.2">
      <c r="A3052" s="40" t="s">
        <v>2593</v>
      </c>
      <c r="B3052" s="40">
        <v>18.059999999999999</v>
      </c>
      <c r="C3052" s="40">
        <v>19.510000000000002</v>
      </c>
      <c r="D3052" s="40">
        <v>16.25</v>
      </c>
      <c r="E3052" s="40">
        <v>19.329999999999998</v>
      </c>
      <c r="K3052" s="40"/>
      <c r="P3052" s="40"/>
      <c r="Q3052" s="40"/>
      <c r="R3052" s="40"/>
    </row>
    <row r="3053" spans="1:18" x14ac:dyDescent="0.2">
      <c r="A3053" s="40" t="s">
        <v>2594</v>
      </c>
      <c r="B3053" s="40">
        <v>19.41</v>
      </c>
      <c r="C3053" s="40">
        <v>19.93</v>
      </c>
      <c r="D3053" s="40">
        <v>16.559999999999999</v>
      </c>
      <c r="E3053" s="40">
        <v>16.940000000000001</v>
      </c>
      <c r="K3053" s="40"/>
      <c r="P3053" s="40"/>
      <c r="Q3053" s="40"/>
      <c r="R3053" s="40"/>
    </row>
    <row r="3054" spans="1:18" x14ac:dyDescent="0.2">
      <c r="A3054" s="40" t="s">
        <v>2595</v>
      </c>
      <c r="B3054" s="40">
        <v>20.97</v>
      </c>
      <c r="C3054" s="40">
        <v>21.99</v>
      </c>
      <c r="D3054" s="40">
        <v>20.62</v>
      </c>
      <c r="E3054" s="40">
        <v>21.14</v>
      </c>
      <c r="K3054" s="40"/>
      <c r="P3054" s="40"/>
      <c r="Q3054" s="40"/>
      <c r="R3054" s="40"/>
    </row>
    <row r="3055" spans="1:18" x14ac:dyDescent="0.2">
      <c r="A3055" s="40" t="s">
        <v>2596</v>
      </c>
      <c r="B3055" s="40">
        <v>21.57</v>
      </c>
      <c r="C3055" s="40">
        <v>21.57</v>
      </c>
      <c r="D3055" s="40">
        <v>19.16</v>
      </c>
      <c r="E3055" s="40">
        <v>19.2</v>
      </c>
      <c r="K3055" s="40"/>
      <c r="P3055" s="40"/>
      <c r="Q3055" s="40"/>
      <c r="R3055" s="40"/>
    </row>
    <row r="3056" spans="1:18" x14ac:dyDescent="0.2">
      <c r="A3056" s="40" t="s">
        <v>2597</v>
      </c>
      <c r="B3056" s="40">
        <v>18.72</v>
      </c>
      <c r="C3056" s="40">
        <v>19.670000000000002</v>
      </c>
      <c r="D3056" s="40">
        <v>17.78</v>
      </c>
      <c r="E3056" s="40">
        <v>18.11</v>
      </c>
      <c r="K3056" s="40"/>
      <c r="P3056" s="40"/>
      <c r="Q3056" s="40"/>
      <c r="R3056" s="40"/>
    </row>
    <row r="3057" spans="1:18" x14ac:dyDescent="0.2">
      <c r="A3057" s="40" t="s">
        <v>2598</v>
      </c>
      <c r="B3057" s="40">
        <v>19.899999999999999</v>
      </c>
      <c r="C3057" s="40">
        <v>20.59</v>
      </c>
      <c r="D3057" s="40">
        <v>18.21</v>
      </c>
      <c r="E3057" s="40">
        <v>18.38</v>
      </c>
      <c r="K3057" s="40"/>
      <c r="P3057" s="40"/>
      <c r="Q3057" s="40"/>
      <c r="R3057" s="40"/>
    </row>
    <row r="3058" spans="1:18" x14ac:dyDescent="0.2">
      <c r="A3058" s="40" t="s">
        <v>2599</v>
      </c>
      <c r="B3058" s="40">
        <v>20.28</v>
      </c>
      <c r="C3058" s="40">
        <v>20.29</v>
      </c>
      <c r="D3058" s="40">
        <v>19.309999999999999</v>
      </c>
      <c r="E3058" s="40">
        <v>19.37</v>
      </c>
      <c r="K3058" s="40"/>
      <c r="P3058" s="40"/>
      <c r="Q3058" s="40"/>
      <c r="R3058" s="40"/>
    </row>
    <row r="3059" spans="1:18" x14ac:dyDescent="0.2">
      <c r="A3059" s="40" t="s">
        <v>2600</v>
      </c>
      <c r="B3059" s="40">
        <v>19.920000000000002</v>
      </c>
      <c r="C3059" s="40">
        <v>20.12</v>
      </c>
      <c r="D3059" s="40">
        <v>18.71</v>
      </c>
      <c r="E3059" s="40">
        <v>19.59</v>
      </c>
      <c r="K3059" s="40"/>
      <c r="P3059" s="40"/>
      <c r="Q3059" s="40"/>
      <c r="R3059" s="40"/>
    </row>
    <row r="3060" spans="1:18" x14ac:dyDescent="0.2">
      <c r="A3060" s="41">
        <v>44929</v>
      </c>
      <c r="B3060" s="40">
        <v>20.04</v>
      </c>
      <c r="C3060" s="40">
        <v>20.62</v>
      </c>
      <c r="D3060" s="40">
        <v>19.440000000000001</v>
      </c>
      <c r="E3060" s="40">
        <v>19.59</v>
      </c>
      <c r="K3060" s="40"/>
      <c r="P3060" s="40"/>
      <c r="Q3060" s="40"/>
      <c r="R3060" s="40"/>
    </row>
    <row r="3061" spans="1:18" x14ac:dyDescent="0.2">
      <c r="A3061" s="41">
        <v>44960</v>
      </c>
      <c r="B3061" s="40">
        <v>20.37</v>
      </c>
      <c r="C3061" s="40">
        <v>20.51</v>
      </c>
      <c r="D3061" s="40">
        <v>18.66</v>
      </c>
      <c r="E3061" s="40">
        <v>18.71</v>
      </c>
      <c r="K3061" s="40"/>
      <c r="P3061" s="40"/>
      <c r="Q3061" s="40"/>
      <c r="R3061" s="40"/>
    </row>
    <row r="3062" spans="1:18" x14ac:dyDescent="0.2">
      <c r="A3062" s="41">
        <v>44988</v>
      </c>
      <c r="B3062" s="40">
        <v>19.13</v>
      </c>
      <c r="C3062" s="40">
        <v>19.13</v>
      </c>
      <c r="D3062" s="40">
        <v>17.37</v>
      </c>
      <c r="E3062" s="40">
        <v>17.760000000000002</v>
      </c>
      <c r="K3062" s="40"/>
      <c r="P3062" s="40"/>
      <c r="Q3062" s="40"/>
      <c r="R3062" s="40"/>
    </row>
    <row r="3063" spans="1:18" x14ac:dyDescent="0.2">
      <c r="A3063" s="41">
        <v>45080</v>
      </c>
      <c r="B3063" s="40">
        <v>20.03</v>
      </c>
      <c r="C3063" s="40">
        <v>20.079999999999998</v>
      </c>
      <c r="D3063" s="40">
        <v>19.46</v>
      </c>
      <c r="E3063" s="40">
        <v>19.600000000000001</v>
      </c>
      <c r="K3063" s="40"/>
      <c r="P3063" s="40"/>
      <c r="Q3063" s="40"/>
      <c r="R3063" s="40"/>
    </row>
    <row r="3064" spans="1:18" x14ac:dyDescent="0.2">
      <c r="A3064" s="41">
        <v>45110</v>
      </c>
      <c r="B3064" s="40">
        <v>20.440000000000001</v>
      </c>
      <c r="C3064" s="40">
        <v>21.47</v>
      </c>
      <c r="D3064" s="40">
        <v>19.72</v>
      </c>
      <c r="E3064" s="40">
        <v>20.96</v>
      </c>
      <c r="K3064" s="40"/>
      <c r="P3064" s="40"/>
      <c r="Q3064" s="40"/>
      <c r="R3064" s="40"/>
    </row>
    <row r="3065" spans="1:18" x14ac:dyDescent="0.2">
      <c r="A3065" s="41">
        <v>45141</v>
      </c>
      <c r="B3065" s="40">
        <v>21.72</v>
      </c>
      <c r="C3065" s="40">
        <v>22.07</v>
      </c>
      <c r="D3065" s="40">
        <v>20.399999999999999</v>
      </c>
      <c r="E3065" s="40">
        <v>20.57</v>
      </c>
      <c r="K3065" s="40"/>
      <c r="P3065" s="40"/>
      <c r="Q3065" s="40"/>
      <c r="R3065" s="40"/>
    </row>
    <row r="3066" spans="1:18" x14ac:dyDescent="0.2">
      <c r="A3066" s="41">
        <v>45172</v>
      </c>
      <c r="B3066" s="40">
        <v>21.14</v>
      </c>
      <c r="C3066" s="40">
        <v>26.81</v>
      </c>
      <c r="D3066" s="40">
        <v>20.66</v>
      </c>
      <c r="E3066" s="40">
        <v>25.46</v>
      </c>
      <c r="K3066" s="40"/>
      <c r="P3066" s="40"/>
      <c r="Q3066" s="40"/>
      <c r="R3066" s="40"/>
    </row>
    <row r="3067" spans="1:18" x14ac:dyDescent="0.2">
      <c r="A3067" s="41">
        <v>45202</v>
      </c>
      <c r="B3067" s="40">
        <v>25.37</v>
      </c>
      <c r="C3067" s="40">
        <v>32.85</v>
      </c>
      <c r="D3067" s="40">
        <v>24.28</v>
      </c>
      <c r="E3067" s="40">
        <v>26.86</v>
      </c>
      <c r="K3067" s="40"/>
      <c r="P3067" s="40"/>
      <c r="Q3067" s="40"/>
      <c r="R3067" s="40"/>
    </row>
    <row r="3068" spans="1:18" x14ac:dyDescent="0.2">
      <c r="A3068" s="40" t="s">
        <v>2601</v>
      </c>
      <c r="B3068" s="40">
        <v>36.06</v>
      </c>
      <c r="C3068" s="40">
        <v>36.93</v>
      </c>
      <c r="D3068" s="40">
        <v>29.24</v>
      </c>
      <c r="E3068" s="40">
        <v>30.93</v>
      </c>
      <c r="K3068" s="40"/>
      <c r="P3068" s="40"/>
      <c r="Q3068" s="40"/>
      <c r="R3068" s="40"/>
    </row>
    <row r="3069" spans="1:18" x14ac:dyDescent="0.2">
      <c r="A3069" s="40" t="s">
        <v>2602</v>
      </c>
      <c r="B3069" s="40">
        <v>27.12</v>
      </c>
      <c r="C3069" s="40">
        <v>28.16</v>
      </c>
      <c r="D3069" s="40">
        <v>24.43</v>
      </c>
      <c r="E3069" s="40">
        <v>25.97</v>
      </c>
      <c r="K3069" s="40"/>
      <c r="P3069" s="40"/>
      <c r="Q3069" s="40"/>
      <c r="R3069" s="40"/>
    </row>
    <row r="3070" spans="1:18" x14ac:dyDescent="0.2">
      <c r="A3070" s="40" t="s">
        <v>2603</v>
      </c>
      <c r="B3070" s="40">
        <v>30.12</v>
      </c>
      <c r="C3070" s="40">
        <v>34.299999999999997</v>
      </c>
      <c r="D3070" s="40">
        <v>28.65</v>
      </c>
      <c r="E3070" s="40">
        <v>29.31</v>
      </c>
      <c r="K3070" s="40"/>
      <c r="P3070" s="40"/>
      <c r="Q3070" s="40"/>
      <c r="R3070" s="40"/>
    </row>
    <row r="3071" spans="1:18" x14ac:dyDescent="0.2">
      <c r="A3071" s="40" t="s">
        <v>2604</v>
      </c>
      <c r="B3071" s="40">
        <v>30.76</v>
      </c>
      <c r="C3071" s="40">
        <v>30.89</v>
      </c>
      <c r="D3071" s="40">
        <v>24.61</v>
      </c>
      <c r="E3071" s="40">
        <v>24.61</v>
      </c>
      <c r="K3071" s="40"/>
      <c r="P3071" s="40"/>
      <c r="Q3071" s="40"/>
      <c r="R3071" s="40"/>
    </row>
    <row r="3072" spans="1:18" x14ac:dyDescent="0.2">
      <c r="A3072" s="40" t="s">
        <v>2605</v>
      </c>
      <c r="B3072" s="40">
        <v>25.39</v>
      </c>
      <c r="C3072" s="40">
        <v>28.88</v>
      </c>
      <c r="D3072" s="40">
        <v>24.72</v>
      </c>
      <c r="E3072" s="40">
        <v>27.01</v>
      </c>
      <c r="K3072" s="40"/>
      <c r="P3072" s="40"/>
      <c r="Q3072" s="40"/>
      <c r="R3072" s="40"/>
    </row>
    <row r="3073" spans="1:18" x14ac:dyDescent="0.2">
      <c r="A3073" s="40" t="s">
        <v>2606</v>
      </c>
      <c r="B3073" s="40">
        <v>28.92</v>
      </c>
      <c r="C3073" s="40">
        <v>29.49</v>
      </c>
      <c r="D3073" s="40">
        <v>25.64</v>
      </c>
      <c r="E3073" s="40">
        <v>25.9</v>
      </c>
      <c r="K3073" s="40"/>
      <c r="P3073" s="40"/>
      <c r="Q3073" s="40"/>
      <c r="R3073" s="40"/>
    </row>
    <row r="3074" spans="1:18" x14ac:dyDescent="0.2">
      <c r="A3074" s="40" t="s">
        <v>2607</v>
      </c>
      <c r="B3074" s="40">
        <v>24.19</v>
      </c>
      <c r="C3074" s="40">
        <v>24.55</v>
      </c>
      <c r="D3074" s="40">
        <v>22.83</v>
      </c>
      <c r="E3074" s="40">
        <v>22.84</v>
      </c>
      <c r="K3074" s="40"/>
      <c r="P3074" s="40"/>
      <c r="Q3074" s="40"/>
      <c r="R3074" s="40"/>
    </row>
    <row r="3075" spans="1:18" x14ac:dyDescent="0.2">
      <c r="A3075" s="40" t="s">
        <v>2608</v>
      </c>
      <c r="B3075" s="40">
        <v>23.12</v>
      </c>
      <c r="C3075" s="40">
        <v>24.32</v>
      </c>
      <c r="D3075" s="40">
        <v>20.43</v>
      </c>
      <c r="E3075" s="40">
        <v>23.75</v>
      </c>
      <c r="K3075" s="40"/>
      <c r="P3075" s="40"/>
      <c r="Q3075" s="40"/>
      <c r="R3075" s="40"/>
    </row>
    <row r="3076" spans="1:18" x14ac:dyDescent="0.2">
      <c r="A3076" s="40" t="s">
        <v>2609</v>
      </c>
      <c r="B3076" s="40">
        <v>20.89</v>
      </c>
      <c r="C3076" s="40">
        <v>27.48</v>
      </c>
      <c r="D3076" s="40">
        <v>19.98</v>
      </c>
      <c r="E3076" s="40">
        <v>23.11</v>
      </c>
      <c r="K3076" s="40"/>
      <c r="P3076" s="40"/>
      <c r="Q3076" s="40"/>
      <c r="R3076" s="40"/>
    </row>
    <row r="3077" spans="1:18" x14ac:dyDescent="0.2">
      <c r="A3077" s="40" t="s">
        <v>2610</v>
      </c>
      <c r="B3077" s="40">
        <v>24.31</v>
      </c>
      <c r="C3077" s="40">
        <v>26.65</v>
      </c>
      <c r="D3077" s="40">
        <v>20.59</v>
      </c>
      <c r="E3077" s="40">
        <v>20.62</v>
      </c>
      <c r="K3077" s="40"/>
      <c r="P3077" s="40"/>
      <c r="Q3077" s="40"/>
      <c r="R3077" s="40"/>
    </row>
    <row r="3078" spans="1:18" x14ac:dyDescent="0.2">
      <c r="A3078" s="40" t="s">
        <v>2611</v>
      </c>
      <c r="B3078" s="40">
        <v>20.81</v>
      </c>
      <c r="C3078" s="40">
        <v>21.53</v>
      </c>
      <c r="D3078" s="40">
        <v>19.25</v>
      </c>
      <c r="E3078" s="40">
        <v>19.309999999999999</v>
      </c>
      <c r="K3078" s="40"/>
      <c r="P3078" s="40"/>
      <c r="Q3078" s="40"/>
      <c r="R3078" s="40"/>
    </row>
    <row r="3079" spans="1:18" x14ac:dyDescent="0.2">
      <c r="A3079" s="40" t="s">
        <v>2612</v>
      </c>
      <c r="B3079" s="40">
        <v>20.05</v>
      </c>
      <c r="C3079" s="40">
        <v>20.420000000000002</v>
      </c>
      <c r="D3079" s="40">
        <v>18.239999999999998</v>
      </c>
      <c r="E3079" s="40">
        <v>18.329999999999998</v>
      </c>
      <c r="K3079" s="40"/>
      <c r="P3079" s="40"/>
      <c r="Q3079" s="40"/>
      <c r="R3079" s="40"/>
    </row>
    <row r="3080" spans="1:18" x14ac:dyDescent="0.2">
      <c r="A3080" s="40" t="s">
        <v>2613</v>
      </c>
      <c r="B3080" s="40">
        <v>17.690000000000001</v>
      </c>
      <c r="C3080" s="40">
        <v>18.059999999999999</v>
      </c>
      <c r="D3080" s="40">
        <v>17.12</v>
      </c>
      <c r="E3080" s="40">
        <v>17.170000000000002</v>
      </c>
      <c r="K3080" s="40"/>
      <c r="P3080" s="40"/>
      <c r="Q3080" s="40"/>
      <c r="R3080" s="40"/>
    </row>
    <row r="3081" spans="1:18" x14ac:dyDescent="0.2">
      <c r="A3081" s="40" t="s">
        <v>2614</v>
      </c>
      <c r="B3081" s="40">
        <v>17.440000000000001</v>
      </c>
      <c r="C3081" s="40">
        <v>18.690000000000001</v>
      </c>
      <c r="D3081" s="40">
        <v>17.16</v>
      </c>
      <c r="E3081" s="40">
        <v>17.3</v>
      </c>
      <c r="K3081" s="40"/>
      <c r="P3081" s="40"/>
      <c r="Q3081" s="40"/>
      <c r="R3081" s="40"/>
    </row>
    <row r="3082" spans="1:18" x14ac:dyDescent="0.2">
      <c r="A3082" s="40" t="s">
        <v>2615</v>
      </c>
      <c r="B3082" s="40">
        <v>17.309999999999999</v>
      </c>
      <c r="C3082" s="40">
        <v>17.329999999999998</v>
      </c>
      <c r="D3082" s="40">
        <v>16.440000000000001</v>
      </c>
      <c r="E3082" s="40">
        <v>16.510000000000002</v>
      </c>
      <c r="K3082" s="40"/>
      <c r="P3082" s="40"/>
      <c r="Q3082" s="40"/>
      <c r="R3082" s="40"/>
    </row>
    <row r="3083" spans="1:18" x14ac:dyDescent="0.2">
      <c r="A3083" s="41">
        <v>44989</v>
      </c>
      <c r="B3083" s="40">
        <v>18.89</v>
      </c>
      <c r="C3083" s="40">
        <v>18.95</v>
      </c>
      <c r="D3083" s="40">
        <v>16.940000000000001</v>
      </c>
      <c r="E3083" s="40">
        <v>17.03</v>
      </c>
      <c r="K3083" s="40"/>
      <c r="P3083" s="40"/>
      <c r="Q3083" s="40"/>
      <c r="R3083" s="40"/>
    </row>
    <row r="3084" spans="1:18" x14ac:dyDescent="0.2">
      <c r="A3084" s="41">
        <v>45020</v>
      </c>
      <c r="B3084" s="40">
        <v>17.52</v>
      </c>
      <c r="C3084" s="40">
        <v>18.79</v>
      </c>
      <c r="D3084" s="40">
        <v>17.239999999999998</v>
      </c>
      <c r="E3084" s="40">
        <v>17.420000000000002</v>
      </c>
      <c r="K3084" s="40"/>
      <c r="P3084" s="40"/>
      <c r="Q3084" s="40"/>
      <c r="R3084" s="40"/>
    </row>
    <row r="3085" spans="1:18" x14ac:dyDescent="0.2">
      <c r="A3085" s="41">
        <v>45050</v>
      </c>
      <c r="B3085" s="40">
        <v>18.32</v>
      </c>
      <c r="C3085" s="40">
        <v>18.52</v>
      </c>
      <c r="D3085" s="40">
        <v>16.88</v>
      </c>
      <c r="E3085" s="40">
        <v>16.989999999999998</v>
      </c>
      <c r="K3085" s="40"/>
      <c r="P3085" s="40"/>
      <c r="Q3085" s="40"/>
      <c r="R3085" s="40"/>
    </row>
    <row r="3086" spans="1:18" x14ac:dyDescent="0.2">
      <c r="A3086" s="41">
        <v>45081</v>
      </c>
      <c r="B3086" s="40">
        <v>17.989999999999998</v>
      </c>
      <c r="C3086" s="40">
        <v>18.239999999999998</v>
      </c>
      <c r="D3086" s="40">
        <v>15.66</v>
      </c>
      <c r="E3086" s="40">
        <v>15.68</v>
      </c>
      <c r="K3086" s="40"/>
      <c r="P3086" s="40"/>
      <c r="Q3086" s="40"/>
      <c r="R3086" s="40"/>
    </row>
    <row r="3087" spans="1:18" x14ac:dyDescent="0.2">
      <c r="A3087" s="41">
        <v>45203</v>
      </c>
      <c r="B3087" s="40">
        <v>18.350000000000001</v>
      </c>
      <c r="C3087" s="40">
        <v>18.559999999999999</v>
      </c>
      <c r="D3087" s="40">
        <v>16.690000000000001</v>
      </c>
      <c r="E3087" s="40">
        <v>16.8</v>
      </c>
      <c r="K3087" s="40"/>
      <c r="P3087" s="40"/>
      <c r="Q3087" s="40"/>
      <c r="R3087" s="40"/>
    </row>
    <row r="3088" spans="1:18" x14ac:dyDescent="0.2">
      <c r="A3088" s="41">
        <v>45234</v>
      </c>
      <c r="B3088" s="40">
        <v>17.02</v>
      </c>
      <c r="C3088" s="40">
        <v>17.12</v>
      </c>
      <c r="D3088" s="40">
        <v>15.94</v>
      </c>
      <c r="E3088" s="40">
        <v>16.86</v>
      </c>
      <c r="K3088" s="40"/>
      <c r="P3088" s="40"/>
      <c r="Q3088" s="40"/>
      <c r="R3088" s="40"/>
    </row>
    <row r="3089" spans="1:18" x14ac:dyDescent="0.2">
      <c r="A3089" s="41">
        <v>45264</v>
      </c>
      <c r="B3089" s="40">
        <v>15.99</v>
      </c>
      <c r="C3089" s="40">
        <v>17.11</v>
      </c>
      <c r="D3089" s="40">
        <v>14.98</v>
      </c>
      <c r="E3089" s="40">
        <v>15.9</v>
      </c>
      <c r="K3089" s="40"/>
      <c r="P3089" s="40"/>
      <c r="Q3089" s="40"/>
      <c r="R3089" s="40"/>
    </row>
    <row r="3090" spans="1:18" x14ac:dyDescent="0.2">
      <c r="A3090" s="40" t="s">
        <v>2616</v>
      </c>
      <c r="B3090" s="40">
        <v>15.35</v>
      </c>
      <c r="C3090" s="40">
        <v>15.54</v>
      </c>
      <c r="D3090" s="40">
        <v>14.6</v>
      </c>
      <c r="E3090" s="40">
        <v>14.65</v>
      </c>
      <c r="K3090" s="40"/>
      <c r="P3090" s="40"/>
      <c r="Q3090" s="40"/>
      <c r="R3090" s="40"/>
    </row>
    <row r="3091" spans="1:18" x14ac:dyDescent="0.2">
      <c r="A3091" s="40" t="s">
        <v>2617</v>
      </c>
      <c r="B3091" s="40">
        <v>14.81</v>
      </c>
      <c r="C3091" s="40">
        <v>14.97</v>
      </c>
      <c r="D3091" s="40">
        <v>13.33</v>
      </c>
      <c r="E3091" s="40">
        <v>13.35</v>
      </c>
      <c r="K3091" s="40"/>
      <c r="P3091" s="40"/>
      <c r="Q3091" s="40"/>
      <c r="R3091" s="40"/>
    </row>
    <row r="3092" spans="1:18" x14ac:dyDescent="0.2">
      <c r="A3092" s="40" t="s">
        <v>2618</v>
      </c>
      <c r="B3092" s="40">
        <v>15.45</v>
      </c>
      <c r="C3092" s="40">
        <v>15.5</v>
      </c>
      <c r="D3092" s="40">
        <v>14.22</v>
      </c>
      <c r="E3092" s="40">
        <v>14.51</v>
      </c>
      <c r="K3092" s="40"/>
      <c r="P3092" s="40"/>
      <c r="Q3092" s="40"/>
      <c r="R3092" s="40"/>
    </row>
    <row r="3093" spans="1:18" x14ac:dyDescent="0.2">
      <c r="A3093" s="40" t="s">
        <v>2619</v>
      </c>
      <c r="B3093" s="40">
        <v>14.72</v>
      </c>
      <c r="C3093" s="40">
        <v>15.33</v>
      </c>
      <c r="D3093" s="40">
        <v>14.42</v>
      </c>
      <c r="E3093" s="40">
        <v>14.71</v>
      </c>
      <c r="K3093" s="40"/>
      <c r="P3093" s="40"/>
      <c r="Q3093" s="40"/>
      <c r="R3093" s="40"/>
    </row>
    <row r="3094" spans="1:18" x14ac:dyDescent="0.2">
      <c r="A3094" s="40" t="s">
        <v>2620</v>
      </c>
      <c r="B3094" s="40">
        <v>15.2</v>
      </c>
      <c r="C3094" s="40">
        <v>15.33</v>
      </c>
      <c r="D3094" s="40">
        <v>14.11</v>
      </c>
      <c r="E3094" s="40">
        <v>14.3</v>
      </c>
      <c r="K3094" s="40"/>
      <c r="P3094" s="40"/>
      <c r="Q3094" s="40"/>
      <c r="R3094" s="40"/>
    </row>
    <row r="3095" spans="1:18" x14ac:dyDescent="0.2">
      <c r="A3095" s="40" t="s">
        <v>2621</v>
      </c>
      <c r="B3095" s="40">
        <v>15.7</v>
      </c>
      <c r="C3095" s="40">
        <v>16.059999999999999</v>
      </c>
      <c r="D3095" s="40">
        <v>14.38</v>
      </c>
      <c r="E3095" s="40">
        <v>15.13</v>
      </c>
      <c r="K3095" s="40"/>
      <c r="P3095" s="40"/>
      <c r="Q3095" s="40"/>
      <c r="R3095" s="40"/>
    </row>
    <row r="3096" spans="1:18" x14ac:dyDescent="0.2">
      <c r="A3096" s="40" t="s">
        <v>2622</v>
      </c>
      <c r="B3096" s="40">
        <v>15.8</v>
      </c>
      <c r="C3096" s="40">
        <v>16.25</v>
      </c>
      <c r="D3096" s="40">
        <v>14.61</v>
      </c>
      <c r="E3096" s="40">
        <v>14.88</v>
      </c>
      <c r="K3096" s="40"/>
      <c r="P3096" s="40"/>
      <c r="Q3096" s="40"/>
      <c r="R3096" s="40"/>
    </row>
    <row r="3097" spans="1:18" x14ac:dyDescent="0.2">
      <c r="A3097" s="40" t="s">
        <v>2623</v>
      </c>
      <c r="B3097" s="40">
        <v>17.34</v>
      </c>
      <c r="C3097" s="40">
        <v>17.8</v>
      </c>
      <c r="D3097" s="40">
        <v>16.440000000000001</v>
      </c>
      <c r="E3097" s="40">
        <v>16.649999999999999</v>
      </c>
      <c r="K3097" s="40"/>
      <c r="P3097" s="40"/>
      <c r="Q3097" s="40"/>
      <c r="R3097" s="40"/>
    </row>
    <row r="3098" spans="1:18" x14ac:dyDescent="0.2">
      <c r="A3098" s="40" t="s">
        <v>2624</v>
      </c>
      <c r="B3098" s="40">
        <v>17.989999999999998</v>
      </c>
      <c r="C3098" s="40">
        <v>21.02</v>
      </c>
      <c r="D3098" s="40">
        <v>17.649999999999999</v>
      </c>
      <c r="E3098" s="40">
        <v>19.079999999999998</v>
      </c>
      <c r="K3098" s="40"/>
      <c r="P3098" s="40"/>
      <c r="Q3098" s="40"/>
      <c r="R3098" s="40"/>
    </row>
    <row r="3099" spans="1:18" x14ac:dyDescent="0.2">
      <c r="A3099" s="40" t="s">
        <v>2625</v>
      </c>
      <c r="B3099" s="40">
        <v>19.37</v>
      </c>
      <c r="C3099" s="40">
        <v>20.27</v>
      </c>
      <c r="D3099" s="40">
        <v>18.11</v>
      </c>
      <c r="E3099" s="40">
        <v>19.28</v>
      </c>
      <c r="K3099" s="40"/>
      <c r="P3099" s="40"/>
      <c r="Q3099" s="40"/>
      <c r="R3099" s="40"/>
    </row>
    <row r="3100" spans="1:18" x14ac:dyDescent="0.2">
      <c r="A3100" s="40" t="s">
        <v>2626</v>
      </c>
      <c r="B3100" s="40">
        <v>18.32</v>
      </c>
      <c r="C3100" s="40">
        <v>18.399999999999999</v>
      </c>
      <c r="D3100" s="40">
        <v>16.809999999999999</v>
      </c>
      <c r="E3100" s="40">
        <v>17.22</v>
      </c>
      <c r="K3100" s="40"/>
      <c r="P3100" s="40"/>
      <c r="Q3100" s="40"/>
      <c r="R3100" s="40"/>
    </row>
    <row r="3101" spans="1:18" x14ac:dyDescent="0.2">
      <c r="A3101" s="40" t="s">
        <v>2627</v>
      </c>
      <c r="B3101" s="40">
        <v>16.71</v>
      </c>
      <c r="C3101" s="40">
        <v>17.170000000000002</v>
      </c>
      <c r="D3101" s="40">
        <v>15.41</v>
      </c>
      <c r="E3101" s="40">
        <v>15.53</v>
      </c>
      <c r="K3101" s="40"/>
      <c r="P3101" s="40"/>
      <c r="Q3101" s="40"/>
      <c r="R3101" s="40"/>
    </row>
    <row r="3102" spans="1:18" x14ac:dyDescent="0.2">
      <c r="A3102" s="41">
        <v>44931</v>
      </c>
      <c r="B3102" s="40">
        <v>17</v>
      </c>
      <c r="C3102" s="40">
        <v>17</v>
      </c>
      <c r="D3102" s="40">
        <v>15.93</v>
      </c>
      <c r="E3102" s="40">
        <v>16.07</v>
      </c>
      <c r="K3102" s="40"/>
      <c r="P3102" s="40"/>
      <c r="Q3102" s="40"/>
      <c r="R3102" s="40"/>
    </row>
    <row r="3103" spans="1:18" x14ac:dyDescent="0.2">
      <c r="A3103" s="41">
        <v>44962</v>
      </c>
      <c r="B3103" s="40">
        <v>16.88</v>
      </c>
      <c r="C3103" s="40">
        <v>20.96</v>
      </c>
      <c r="D3103" s="40">
        <v>16.87</v>
      </c>
      <c r="E3103" s="40">
        <v>18.61</v>
      </c>
      <c r="K3103" s="40"/>
      <c r="P3103" s="40"/>
      <c r="Q3103" s="40"/>
      <c r="R3103" s="40"/>
    </row>
    <row r="3104" spans="1:18" x14ac:dyDescent="0.2">
      <c r="A3104" s="41">
        <v>44990</v>
      </c>
      <c r="B3104" s="40">
        <v>19.11</v>
      </c>
      <c r="C3104" s="40">
        <v>20.36</v>
      </c>
      <c r="D3104" s="40">
        <v>17.399999999999999</v>
      </c>
      <c r="E3104" s="40">
        <v>18.489999999999998</v>
      </c>
      <c r="K3104" s="40"/>
      <c r="P3104" s="40"/>
      <c r="Q3104" s="40"/>
      <c r="R3104" s="40"/>
    </row>
    <row r="3105" spans="1:18" x14ac:dyDescent="0.2">
      <c r="A3105" s="41">
        <v>45021</v>
      </c>
      <c r="B3105" s="40">
        <v>19.54</v>
      </c>
      <c r="C3105" s="40">
        <v>22.38</v>
      </c>
      <c r="D3105" s="40">
        <v>19.27</v>
      </c>
      <c r="E3105" s="40">
        <v>19.88</v>
      </c>
      <c r="K3105" s="40"/>
      <c r="P3105" s="40"/>
      <c r="Q3105" s="40"/>
      <c r="R3105" s="40"/>
    </row>
    <row r="3106" spans="1:18" x14ac:dyDescent="0.2">
      <c r="A3106" s="41">
        <v>45051</v>
      </c>
      <c r="B3106" s="40">
        <v>17.34</v>
      </c>
      <c r="C3106" s="40">
        <v>17.34</v>
      </c>
      <c r="D3106" s="40">
        <v>14.87</v>
      </c>
      <c r="E3106" s="40">
        <v>15.34</v>
      </c>
      <c r="K3106" s="40"/>
      <c r="P3106" s="40"/>
      <c r="Q3106" s="40"/>
      <c r="R3106" s="40"/>
    </row>
    <row r="3107" spans="1:18" x14ac:dyDescent="0.2">
      <c r="A3107" s="41">
        <v>45143</v>
      </c>
      <c r="B3107" s="40">
        <v>16.739999999999998</v>
      </c>
      <c r="C3107" s="40">
        <v>16.989999999999998</v>
      </c>
      <c r="D3107" s="40">
        <v>15.14</v>
      </c>
      <c r="E3107" s="40">
        <v>15.24</v>
      </c>
      <c r="K3107" s="40"/>
      <c r="P3107" s="40"/>
      <c r="Q3107" s="40"/>
      <c r="R3107" s="40"/>
    </row>
    <row r="3108" spans="1:18" x14ac:dyDescent="0.2">
      <c r="A3108" s="41">
        <v>45174</v>
      </c>
      <c r="B3108" s="40">
        <v>16.39</v>
      </c>
      <c r="C3108" s="40">
        <v>16.489999999999998</v>
      </c>
      <c r="D3108" s="40">
        <v>15.55</v>
      </c>
      <c r="E3108" s="40">
        <v>16.399999999999999</v>
      </c>
      <c r="K3108" s="40"/>
      <c r="P3108" s="40"/>
      <c r="Q3108" s="40"/>
      <c r="R3108" s="40"/>
    </row>
    <row r="3109" spans="1:18" x14ac:dyDescent="0.2">
      <c r="A3109" s="41">
        <v>45204</v>
      </c>
      <c r="B3109" s="40">
        <v>14.81</v>
      </c>
      <c r="C3109" s="40">
        <v>16.82</v>
      </c>
      <c r="D3109" s="40">
        <v>13.93</v>
      </c>
      <c r="E3109" s="40">
        <v>14.59</v>
      </c>
      <c r="K3109" s="40"/>
      <c r="P3109" s="40"/>
      <c r="Q3109" s="40"/>
      <c r="R3109" s="40"/>
    </row>
    <row r="3110" spans="1:18" x14ac:dyDescent="0.2">
      <c r="A3110" s="41">
        <v>45235</v>
      </c>
      <c r="B3110" s="40">
        <v>15.97</v>
      </c>
      <c r="C3110" s="40">
        <v>16.75</v>
      </c>
      <c r="D3110" s="40">
        <v>14.17</v>
      </c>
      <c r="E3110" s="40">
        <v>14.49</v>
      </c>
      <c r="K3110" s="40"/>
      <c r="P3110" s="40"/>
      <c r="Q3110" s="40"/>
      <c r="R3110" s="40"/>
    </row>
    <row r="3111" spans="1:18" x14ac:dyDescent="0.2">
      <c r="A3111" s="41">
        <v>45265</v>
      </c>
      <c r="B3111" s="40">
        <v>14.18</v>
      </c>
      <c r="C3111" s="40">
        <v>15.82</v>
      </c>
      <c r="D3111" s="40">
        <v>13.79</v>
      </c>
      <c r="E3111" s="40">
        <v>14.09</v>
      </c>
      <c r="K3111" s="40"/>
      <c r="P3111" s="40"/>
      <c r="Q3111" s="40"/>
      <c r="R3111" s="40"/>
    </row>
    <row r="3112" spans="1:18" x14ac:dyDescent="0.2">
      <c r="A3112" s="40" t="s">
        <v>2628</v>
      </c>
      <c r="B3112" s="40">
        <v>15.76</v>
      </c>
      <c r="C3112" s="40">
        <v>16.22</v>
      </c>
      <c r="D3112" s="40">
        <v>14.48</v>
      </c>
      <c r="E3112" s="40">
        <v>14.64</v>
      </c>
      <c r="K3112" s="40"/>
      <c r="P3112" s="40"/>
      <c r="Q3112" s="40"/>
      <c r="R3112" s="40"/>
    </row>
    <row r="3113" spans="1:18" x14ac:dyDescent="0.2">
      <c r="A3113" s="40" t="s">
        <v>2629</v>
      </c>
      <c r="B3113" s="40">
        <v>15.27</v>
      </c>
      <c r="C3113" s="40">
        <v>16.41</v>
      </c>
      <c r="D3113" s="40">
        <v>14.73</v>
      </c>
      <c r="E3113" s="40">
        <v>15.99</v>
      </c>
      <c r="K3113" s="40"/>
      <c r="P3113" s="40"/>
      <c r="Q3113" s="40"/>
      <c r="R3113" s="40"/>
    </row>
    <row r="3114" spans="1:18" x14ac:dyDescent="0.2">
      <c r="A3114" s="40" t="s">
        <v>2630</v>
      </c>
      <c r="B3114" s="40">
        <v>15.07</v>
      </c>
      <c r="C3114" s="40">
        <v>15.84</v>
      </c>
      <c r="D3114" s="40">
        <v>14.3</v>
      </c>
      <c r="E3114" s="40">
        <v>14.67</v>
      </c>
      <c r="K3114" s="40"/>
      <c r="P3114" s="40"/>
      <c r="Q3114" s="40"/>
      <c r="R3114" s="40"/>
    </row>
    <row r="3115" spans="1:18" x14ac:dyDescent="0.2">
      <c r="A3115" s="40" t="s">
        <v>2631</v>
      </c>
      <c r="B3115" s="40">
        <v>15.08</v>
      </c>
      <c r="C3115" s="40">
        <v>15.17</v>
      </c>
      <c r="D3115" s="40">
        <v>13.91</v>
      </c>
      <c r="E3115" s="40">
        <v>14.06</v>
      </c>
      <c r="K3115" s="40"/>
      <c r="P3115" s="40"/>
      <c r="Q3115" s="40"/>
      <c r="R3115" s="40"/>
    </row>
    <row r="3116" spans="1:18" x14ac:dyDescent="0.2">
      <c r="A3116" s="40" t="s">
        <v>2632</v>
      </c>
      <c r="B3116" s="40">
        <v>14.36</v>
      </c>
      <c r="C3116" s="40">
        <v>15.95</v>
      </c>
      <c r="D3116" s="40">
        <v>14.1</v>
      </c>
      <c r="E3116" s="40">
        <v>14.25</v>
      </c>
      <c r="K3116" s="40"/>
      <c r="P3116" s="40"/>
      <c r="Q3116" s="40"/>
      <c r="R3116" s="40"/>
    </row>
    <row r="3117" spans="1:18" x14ac:dyDescent="0.2">
      <c r="A3117" s="40" t="s">
        <v>2633</v>
      </c>
      <c r="B3117" s="40">
        <v>15.89</v>
      </c>
      <c r="C3117" s="40">
        <v>17.2</v>
      </c>
      <c r="D3117" s="40">
        <v>15.29</v>
      </c>
      <c r="E3117" s="40">
        <v>15.52</v>
      </c>
      <c r="K3117" s="40"/>
      <c r="P3117" s="40"/>
      <c r="Q3117" s="40"/>
      <c r="R3117" s="40"/>
    </row>
    <row r="3118" spans="1:18" x14ac:dyDescent="0.2">
      <c r="A3118" s="40" t="s">
        <v>2634</v>
      </c>
      <c r="B3118" s="40">
        <v>16.91</v>
      </c>
      <c r="C3118" s="40">
        <v>18.47</v>
      </c>
      <c r="D3118" s="40">
        <v>16.239999999999998</v>
      </c>
      <c r="E3118" s="40">
        <v>17.37</v>
      </c>
      <c r="K3118" s="40"/>
      <c r="P3118" s="40"/>
      <c r="Q3118" s="40"/>
      <c r="R3118" s="40"/>
    </row>
    <row r="3119" spans="1:18" x14ac:dyDescent="0.2">
      <c r="A3119" s="40" t="s">
        <v>2635</v>
      </c>
      <c r="B3119" s="40">
        <v>19.399999999999999</v>
      </c>
      <c r="C3119" s="40">
        <v>20.55</v>
      </c>
      <c r="D3119" s="40">
        <v>18.78</v>
      </c>
      <c r="E3119" s="40">
        <v>19.77</v>
      </c>
      <c r="K3119" s="40"/>
      <c r="P3119" s="40"/>
      <c r="Q3119" s="40"/>
      <c r="R3119" s="40"/>
    </row>
    <row r="3120" spans="1:18" x14ac:dyDescent="0.2">
      <c r="A3120" s="40" t="s">
        <v>2636</v>
      </c>
      <c r="B3120" s="40">
        <v>19</v>
      </c>
      <c r="C3120" s="40">
        <v>19.649999999999999</v>
      </c>
      <c r="D3120" s="40">
        <v>18.2</v>
      </c>
      <c r="E3120" s="40">
        <v>18.46</v>
      </c>
      <c r="K3120" s="40"/>
      <c r="P3120" s="40"/>
      <c r="Q3120" s="40"/>
      <c r="R3120" s="40"/>
    </row>
    <row r="3121" spans="1:18" x14ac:dyDescent="0.2">
      <c r="A3121" s="40" t="s">
        <v>2637</v>
      </c>
      <c r="B3121" s="40">
        <v>18.329999999999998</v>
      </c>
      <c r="C3121" s="40">
        <v>18.34</v>
      </c>
      <c r="D3121" s="40">
        <v>16.489999999999998</v>
      </c>
      <c r="E3121" s="40">
        <v>17.239999999999998</v>
      </c>
      <c r="K3121" s="40"/>
      <c r="P3121" s="40"/>
      <c r="Q3121" s="40"/>
      <c r="R3121" s="40"/>
    </row>
    <row r="3122" spans="1:18" x14ac:dyDescent="0.2">
      <c r="A3122" s="40" t="s">
        <v>2638</v>
      </c>
      <c r="B3122" s="40">
        <v>16.95</v>
      </c>
      <c r="C3122" s="40">
        <v>17.82</v>
      </c>
      <c r="D3122" s="40">
        <v>16.510000000000002</v>
      </c>
      <c r="E3122" s="40">
        <v>16.510000000000002</v>
      </c>
      <c r="K3122" s="40"/>
      <c r="P3122" s="40"/>
      <c r="Q3122" s="40"/>
      <c r="R3122" s="40"/>
    </row>
    <row r="3123" spans="1:18" x14ac:dyDescent="0.2">
      <c r="A3123" s="40" t="s">
        <v>2639</v>
      </c>
      <c r="B3123" s="40">
        <v>17.22</v>
      </c>
      <c r="C3123" s="40">
        <v>17.39</v>
      </c>
      <c r="D3123" s="40">
        <v>15.61</v>
      </c>
      <c r="E3123" s="40">
        <v>16.850000000000001</v>
      </c>
      <c r="K3123" s="40"/>
      <c r="P3123" s="40"/>
      <c r="Q3123" s="40"/>
      <c r="R3123" s="40"/>
    </row>
    <row r="3124" spans="1:18" x14ac:dyDescent="0.2">
      <c r="A3124" s="41">
        <v>44932</v>
      </c>
      <c r="B3124" s="40">
        <v>16.22</v>
      </c>
      <c r="C3124" s="40">
        <v>16.5</v>
      </c>
      <c r="D3124" s="40">
        <v>13.94</v>
      </c>
      <c r="E3124" s="40">
        <v>13.98</v>
      </c>
      <c r="K3124" s="40"/>
      <c r="P3124" s="40"/>
      <c r="Q3124" s="40"/>
      <c r="R3124" s="40"/>
    </row>
    <row r="3125" spans="1:18" x14ac:dyDescent="0.2">
      <c r="A3125" s="41">
        <v>44963</v>
      </c>
      <c r="B3125" s="40">
        <v>13.91</v>
      </c>
      <c r="C3125" s="40">
        <v>14.26</v>
      </c>
      <c r="D3125" s="40">
        <v>12.54</v>
      </c>
      <c r="E3125" s="40">
        <v>12.74</v>
      </c>
      <c r="K3125" s="40"/>
      <c r="P3125" s="40"/>
      <c r="Q3125" s="40"/>
      <c r="R3125" s="40"/>
    </row>
    <row r="3126" spans="1:18" x14ac:dyDescent="0.2">
      <c r="A3126" s="41">
        <v>45052</v>
      </c>
      <c r="B3126" s="40">
        <v>15.01</v>
      </c>
      <c r="C3126" s="40">
        <v>15.12</v>
      </c>
      <c r="D3126" s="40">
        <v>14.11</v>
      </c>
      <c r="E3126" s="40">
        <v>14.14</v>
      </c>
      <c r="K3126" s="40"/>
      <c r="P3126" s="40"/>
      <c r="Q3126" s="40"/>
      <c r="R3126" s="40"/>
    </row>
    <row r="3127" spans="1:18" x14ac:dyDescent="0.2">
      <c r="A3127" s="41">
        <v>45083</v>
      </c>
      <c r="B3127" s="40">
        <v>14.65</v>
      </c>
      <c r="C3127" s="40">
        <v>14.65</v>
      </c>
      <c r="D3127" s="40">
        <v>13.82</v>
      </c>
      <c r="E3127" s="40">
        <v>13.83</v>
      </c>
      <c r="K3127" s="40"/>
      <c r="P3127" s="40"/>
      <c r="Q3127" s="40"/>
      <c r="R3127" s="40"/>
    </row>
    <row r="3128" spans="1:18" x14ac:dyDescent="0.2">
      <c r="A3128" s="41">
        <v>45113</v>
      </c>
      <c r="B3128" s="40">
        <v>14.07</v>
      </c>
      <c r="C3128" s="40">
        <v>14.52</v>
      </c>
      <c r="D3128" s="40">
        <v>13.44</v>
      </c>
      <c r="E3128" s="40">
        <v>13.86</v>
      </c>
      <c r="K3128" s="40"/>
      <c r="P3128" s="40"/>
      <c r="Q3128" s="40"/>
      <c r="R3128" s="40"/>
    </row>
    <row r="3129" spans="1:18" x14ac:dyDescent="0.2">
      <c r="A3129" s="41">
        <v>45144</v>
      </c>
      <c r="B3129" s="40">
        <v>14.08</v>
      </c>
      <c r="C3129" s="40">
        <v>14.1</v>
      </c>
      <c r="D3129" s="40">
        <v>13.37</v>
      </c>
      <c r="E3129" s="40">
        <v>13.59</v>
      </c>
      <c r="K3129" s="40"/>
      <c r="P3129" s="40"/>
      <c r="Q3129" s="40"/>
      <c r="R3129" s="40"/>
    </row>
    <row r="3130" spans="1:18" x14ac:dyDescent="0.2">
      <c r="A3130" s="41">
        <v>45175</v>
      </c>
      <c r="B3130" s="40">
        <v>13.46</v>
      </c>
      <c r="C3130" s="40">
        <v>13.76</v>
      </c>
      <c r="D3130" s="40">
        <v>13.03</v>
      </c>
      <c r="E3130" s="40">
        <v>13.29</v>
      </c>
      <c r="K3130" s="40"/>
      <c r="P3130" s="40"/>
      <c r="Q3130" s="40"/>
      <c r="R3130" s="40"/>
    </row>
    <row r="3131" spans="1:18" x14ac:dyDescent="0.2">
      <c r="A3131" s="41">
        <v>45266</v>
      </c>
      <c r="B3131" s="40">
        <v>14.78</v>
      </c>
      <c r="C3131" s="40">
        <v>15.36</v>
      </c>
      <c r="D3131" s="40">
        <v>14.16</v>
      </c>
      <c r="E3131" s="40">
        <v>15.35</v>
      </c>
      <c r="K3131" s="40"/>
      <c r="P3131" s="40"/>
      <c r="Q3131" s="40"/>
      <c r="R3131" s="40"/>
    </row>
    <row r="3132" spans="1:18" x14ac:dyDescent="0.2">
      <c r="A3132" s="40" t="s">
        <v>2640</v>
      </c>
      <c r="B3132" s="40">
        <v>14.57</v>
      </c>
      <c r="C3132" s="40">
        <v>14.72</v>
      </c>
      <c r="D3132" s="40">
        <v>14.22</v>
      </c>
      <c r="E3132" s="40">
        <v>14.4</v>
      </c>
      <c r="K3132" s="40"/>
      <c r="P3132" s="40"/>
      <c r="Q3132" s="40"/>
      <c r="R3132" s="40"/>
    </row>
    <row r="3133" spans="1:18" x14ac:dyDescent="0.2">
      <c r="A3133" s="40" t="s">
        <v>2641</v>
      </c>
      <c r="B3133" s="40">
        <v>14.64</v>
      </c>
      <c r="C3133" s="40">
        <v>14.7</v>
      </c>
      <c r="D3133" s="40">
        <v>12.7</v>
      </c>
      <c r="E3133" s="40">
        <v>12.71</v>
      </c>
      <c r="K3133" s="40"/>
      <c r="P3133" s="40"/>
      <c r="Q3133" s="40"/>
      <c r="R3133" s="40"/>
    </row>
    <row r="3134" spans="1:18" x14ac:dyDescent="0.2">
      <c r="A3134" s="40" t="s">
        <v>2642</v>
      </c>
      <c r="B3134" s="40">
        <v>13.02</v>
      </c>
      <c r="C3134" s="40">
        <v>13.96</v>
      </c>
      <c r="D3134" s="40">
        <v>12.74</v>
      </c>
      <c r="E3134" s="40">
        <v>13.58</v>
      </c>
      <c r="K3134" s="40"/>
      <c r="P3134" s="40"/>
      <c r="Q3134" s="40"/>
      <c r="R3134" s="40"/>
    </row>
    <row r="3135" spans="1:18" x14ac:dyDescent="0.2">
      <c r="A3135" s="40" t="s">
        <v>2643</v>
      </c>
      <c r="B3135" s="40">
        <v>13.78</v>
      </c>
      <c r="C3135" s="40">
        <v>13.78</v>
      </c>
      <c r="D3135" s="40">
        <v>11.24</v>
      </c>
      <c r="E3135" s="40">
        <v>11.33</v>
      </c>
      <c r="K3135" s="40"/>
      <c r="P3135" s="40"/>
      <c r="Q3135" s="40"/>
      <c r="R3135" s="40"/>
    </row>
    <row r="3136" spans="1:18" x14ac:dyDescent="0.2">
      <c r="A3136" s="40" t="s">
        <v>2644</v>
      </c>
      <c r="B3136" s="40">
        <v>14.04</v>
      </c>
      <c r="C3136" s="40">
        <v>14.1</v>
      </c>
      <c r="D3136" s="40">
        <v>12.88</v>
      </c>
      <c r="E3136" s="40">
        <v>12.92</v>
      </c>
      <c r="K3136" s="40"/>
      <c r="P3136" s="40"/>
      <c r="Q3136" s="40"/>
      <c r="R3136" s="40"/>
    </row>
    <row r="3137" spans="1:18" x14ac:dyDescent="0.2">
      <c r="A3137" s="40" t="s">
        <v>2645</v>
      </c>
      <c r="B3137" s="40">
        <v>13.06</v>
      </c>
      <c r="C3137" s="40">
        <v>13.2</v>
      </c>
      <c r="D3137" s="40">
        <v>11.88</v>
      </c>
      <c r="E3137" s="40">
        <v>12.03</v>
      </c>
      <c r="K3137" s="40"/>
      <c r="P3137" s="40"/>
      <c r="Q3137" s="40"/>
      <c r="R3137" s="40"/>
    </row>
    <row r="3138" spans="1:18" x14ac:dyDescent="0.2">
      <c r="A3138" s="40" t="s">
        <v>2646</v>
      </c>
      <c r="B3138" s="40">
        <v>12.71</v>
      </c>
      <c r="C3138" s="40">
        <v>12.71</v>
      </c>
      <c r="D3138" s="40">
        <v>10.93</v>
      </c>
      <c r="E3138" s="40">
        <v>11.15</v>
      </c>
      <c r="K3138" s="40"/>
      <c r="P3138" s="40"/>
      <c r="Q3138" s="40"/>
      <c r="R3138" s="40"/>
    </row>
    <row r="3139" spans="1:18" x14ac:dyDescent="0.2">
      <c r="A3139" s="40" t="s">
        <v>2647</v>
      </c>
      <c r="B3139" s="40">
        <v>12.13</v>
      </c>
      <c r="C3139" s="40">
        <v>12.21</v>
      </c>
      <c r="D3139" s="40">
        <v>10.95</v>
      </c>
      <c r="E3139" s="40">
        <v>11.61</v>
      </c>
      <c r="K3139" s="40"/>
      <c r="P3139" s="40"/>
      <c r="Q3139" s="40"/>
      <c r="R3139" s="40"/>
    </row>
    <row r="3140" spans="1:18" x14ac:dyDescent="0.2">
      <c r="A3140" s="40" t="s">
        <v>2648</v>
      </c>
      <c r="B3140" s="40">
        <v>13.22</v>
      </c>
      <c r="C3140" s="40">
        <v>13.22</v>
      </c>
      <c r="D3140" s="40">
        <v>12.37</v>
      </c>
      <c r="E3140" s="40">
        <v>12.68</v>
      </c>
      <c r="K3140" s="40"/>
      <c r="P3140" s="40"/>
      <c r="Q3140" s="40"/>
      <c r="R3140" s="40"/>
    </row>
    <row r="3141" spans="1:18" x14ac:dyDescent="0.2">
      <c r="A3141" s="40" t="s">
        <v>2649</v>
      </c>
      <c r="B3141" s="40">
        <v>12.71</v>
      </c>
      <c r="C3141" s="40">
        <v>12.74</v>
      </c>
      <c r="D3141" s="40">
        <v>11.86</v>
      </c>
      <c r="E3141" s="40">
        <v>12.05</v>
      </c>
      <c r="K3141" s="40"/>
      <c r="P3141" s="40"/>
      <c r="Q3141" s="40"/>
      <c r="R3141" s="40"/>
    </row>
    <row r="3142" spans="1:18" x14ac:dyDescent="0.2">
      <c r="A3142" s="40" t="s">
        <v>2650</v>
      </c>
      <c r="B3142" s="40">
        <v>12.09</v>
      </c>
      <c r="C3142" s="40">
        <v>12.17</v>
      </c>
      <c r="D3142" s="40">
        <v>11.52</v>
      </c>
      <c r="E3142" s="40">
        <v>11.74</v>
      </c>
      <c r="K3142" s="40"/>
      <c r="P3142" s="40"/>
      <c r="Q3142" s="40"/>
      <c r="R3142" s="40"/>
    </row>
    <row r="3143" spans="1:18" x14ac:dyDescent="0.2">
      <c r="A3143" s="40" t="s">
        <v>2651</v>
      </c>
      <c r="B3143" s="40">
        <v>12.16</v>
      </c>
      <c r="C3143" s="40">
        <v>12.38</v>
      </c>
      <c r="D3143" s="40">
        <v>11.59</v>
      </c>
      <c r="E3143" s="40">
        <v>11.75</v>
      </c>
      <c r="K3143" s="40"/>
      <c r="P3143" s="40"/>
      <c r="Q3143" s="40"/>
      <c r="R3143" s="40"/>
    </row>
    <row r="3144" spans="1:18" x14ac:dyDescent="0.2">
      <c r="A3144" s="40" t="s">
        <v>2652</v>
      </c>
      <c r="B3144" s="40">
        <v>11.71</v>
      </c>
      <c r="C3144" s="40">
        <v>11.71</v>
      </c>
      <c r="D3144" s="40">
        <v>10.67</v>
      </c>
      <c r="E3144" s="40">
        <v>11.53</v>
      </c>
      <c r="K3144" s="40"/>
      <c r="P3144" s="40"/>
      <c r="Q3144" s="40"/>
      <c r="R3144" s="40"/>
    </row>
    <row r="3145" spans="1:18" x14ac:dyDescent="0.2">
      <c r="A3145" s="41">
        <v>44992</v>
      </c>
      <c r="B3145" s="40">
        <v>12.8</v>
      </c>
      <c r="C3145" s="40">
        <v>12.81</v>
      </c>
      <c r="D3145" s="40">
        <v>11.9</v>
      </c>
      <c r="E3145" s="40">
        <v>12</v>
      </c>
      <c r="K3145" s="40"/>
      <c r="P3145" s="40"/>
      <c r="Q3145" s="40"/>
      <c r="R3145" s="40"/>
    </row>
    <row r="3146" spans="1:18" x14ac:dyDescent="0.2">
      <c r="A3146" s="41">
        <v>45053</v>
      </c>
      <c r="B3146" s="40">
        <v>13.42</v>
      </c>
      <c r="C3146" s="40">
        <v>13.43</v>
      </c>
      <c r="D3146" s="40">
        <v>12.51</v>
      </c>
      <c r="E3146" s="40">
        <v>12.57</v>
      </c>
      <c r="K3146" s="40"/>
      <c r="P3146" s="40"/>
      <c r="Q3146" s="40"/>
      <c r="R3146" s="40"/>
    </row>
    <row r="3147" spans="1:18" x14ac:dyDescent="0.2">
      <c r="A3147" s="41">
        <v>45084</v>
      </c>
      <c r="B3147" s="40">
        <v>14.48</v>
      </c>
      <c r="C3147" s="40">
        <v>16.059999999999999</v>
      </c>
      <c r="D3147" s="40">
        <v>13.72</v>
      </c>
      <c r="E3147" s="40">
        <v>13.96</v>
      </c>
      <c r="K3147" s="40"/>
      <c r="P3147" s="40"/>
      <c r="Q3147" s="40"/>
      <c r="R3147" s="40"/>
    </row>
    <row r="3148" spans="1:18" x14ac:dyDescent="0.2">
      <c r="A3148" s="41">
        <v>45114</v>
      </c>
      <c r="B3148" s="40">
        <v>13.92</v>
      </c>
      <c r="C3148" s="40">
        <v>13.92</v>
      </c>
      <c r="D3148" s="40">
        <v>11.99</v>
      </c>
      <c r="E3148" s="40">
        <v>12.6</v>
      </c>
      <c r="K3148" s="40"/>
      <c r="P3148" s="40"/>
      <c r="Q3148" s="40"/>
      <c r="R3148" s="40"/>
    </row>
    <row r="3149" spans="1:18" x14ac:dyDescent="0.2">
      <c r="A3149" s="41">
        <v>45206</v>
      </c>
      <c r="B3149" s="40">
        <v>14.3</v>
      </c>
      <c r="C3149" s="40">
        <v>14.42</v>
      </c>
      <c r="D3149" s="40">
        <v>13.45</v>
      </c>
      <c r="E3149" s="40">
        <v>13.5</v>
      </c>
      <c r="K3149" s="40"/>
      <c r="P3149" s="40"/>
      <c r="Q3149" s="40"/>
      <c r="R3149" s="40"/>
    </row>
    <row r="3150" spans="1:18" x14ac:dyDescent="0.2">
      <c r="A3150" s="41">
        <v>45237</v>
      </c>
      <c r="B3150" s="40">
        <v>13.36</v>
      </c>
      <c r="C3150" s="40">
        <v>13.92</v>
      </c>
      <c r="D3150" s="40">
        <v>13.29</v>
      </c>
      <c r="E3150" s="40">
        <v>13.7</v>
      </c>
      <c r="K3150" s="40"/>
      <c r="P3150" s="40"/>
      <c r="Q3150" s="40"/>
      <c r="R3150" s="40"/>
    </row>
    <row r="3151" spans="1:18" x14ac:dyDescent="0.2">
      <c r="A3151" s="41">
        <v>45267</v>
      </c>
      <c r="B3151" s="40">
        <v>12.59</v>
      </c>
      <c r="C3151" s="40">
        <v>12.63</v>
      </c>
      <c r="D3151" s="40">
        <v>11.3</v>
      </c>
      <c r="E3151" s="40">
        <v>11.38</v>
      </c>
      <c r="K3151" s="40"/>
      <c r="P3151" s="40"/>
      <c r="Q3151" s="40"/>
      <c r="R3151" s="40"/>
    </row>
    <row r="3152" spans="1:18" x14ac:dyDescent="0.2">
      <c r="A3152" s="40" t="s">
        <v>2653</v>
      </c>
      <c r="B3152" s="40">
        <v>11.83</v>
      </c>
      <c r="C3152" s="40">
        <v>12.17</v>
      </c>
      <c r="D3152" s="40">
        <v>11.47</v>
      </c>
      <c r="E3152" s="40">
        <v>12.13</v>
      </c>
      <c r="K3152" s="40"/>
      <c r="P3152" s="40"/>
      <c r="Q3152" s="40"/>
      <c r="R3152" s="40"/>
    </row>
    <row r="3153" spans="1:18" x14ac:dyDescent="0.2">
      <c r="A3153" s="40" t="s">
        <v>2654</v>
      </c>
      <c r="B3153" s="40">
        <v>12.42</v>
      </c>
      <c r="C3153" s="40">
        <v>12.42</v>
      </c>
      <c r="D3153" s="40">
        <v>11.57</v>
      </c>
      <c r="E3153" s="40">
        <v>11.9</v>
      </c>
      <c r="K3153" s="40"/>
      <c r="P3153" s="40"/>
      <c r="Q3153" s="40"/>
      <c r="R3153" s="40"/>
    </row>
    <row r="3154" spans="1:18" x14ac:dyDescent="0.2">
      <c r="A3154" s="40" t="s">
        <v>2655</v>
      </c>
      <c r="B3154" s="40">
        <v>13.92</v>
      </c>
      <c r="C3154" s="40">
        <v>13.92</v>
      </c>
      <c r="D3154" s="40">
        <v>13.02</v>
      </c>
      <c r="E3154" s="40">
        <v>13.09</v>
      </c>
      <c r="K3154" s="40"/>
      <c r="P3154" s="40"/>
      <c r="Q3154" s="40"/>
      <c r="R3154" s="40"/>
    </row>
    <row r="3155" spans="1:18" x14ac:dyDescent="0.2">
      <c r="A3155" s="40" t="s">
        <v>2656</v>
      </c>
      <c r="B3155" s="40">
        <v>13.56</v>
      </c>
      <c r="C3155" s="40">
        <v>13.59</v>
      </c>
      <c r="D3155" s="40">
        <v>13.13</v>
      </c>
      <c r="E3155" s="40">
        <v>13.15</v>
      </c>
      <c r="K3155" s="40"/>
      <c r="P3155" s="40"/>
      <c r="Q3155" s="40"/>
      <c r="R3155" s="40"/>
    </row>
    <row r="3156" spans="1:18" x14ac:dyDescent="0.2">
      <c r="A3156" s="40" t="s">
        <v>2657</v>
      </c>
      <c r="B3156" s="40">
        <v>13.33</v>
      </c>
      <c r="C3156" s="40">
        <v>13.75</v>
      </c>
      <c r="D3156" s="40">
        <v>13.22</v>
      </c>
      <c r="E3156" s="40">
        <v>13.36</v>
      </c>
      <c r="K3156" s="40"/>
      <c r="P3156" s="40"/>
      <c r="Q3156" s="40"/>
      <c r="R3156" s="40"/>
    </row>
    <row r="3157" spans="1:18" x14ac:dyDescent="0.2">
      <c r="A3157" s="40" t="s">
        <v>2658</v>
      </c>
      <c r="B3157" s="40">
        <v>13.83</v>
      </c>
      <c r="C3157" s="40">
        <v>14.01</v>
      </c>
      <c r="D3157" s="40">
        <v>13.15</v>
      </c>
      <c r="E3157" s="40">
        <v>13.57</v>
      </c>
      <c r="K3157" s="40"/>
      <c r="P3157" s="40"/>
      <c r="Q3157" s="40"/>
      <c r="R3157" s="40"/>
    </row>
    <row r="3158" spans="1:18" x14ac:dyDescent="0.2">
      <c r="A3158" s="40" t="s">
        <v>2659</v>
      </c>
      <c r="B3158" s="40">
        <v>13.42</v>
      </c>
      <c r="C3158" s="40">
        <v>13.42</v>
      </c>
      <c r="D3158" s="40">
        <v>12.44</v>
      </c>
      <c r="E3158" s="40">
        <v>12.5</v>
      </c>
      <c r="K3158" s="40"/>
      <c r="P3158" s="40"/>
      <c r="Q3158" s="40"/>
      <c r="R3158" s="40"/>
    </row>
    <row r="3159" spans="1:18" x14ac:dyDescent="0.2">
      <c r="A3159" s="40" t="s">
        <v>2660</v>
      </c>
      <c r="B3159" s="40">
        <v>14</v>
      </c>
      <c r="C3159" s="40">
        <v>14.13</v>
      </c>
      <c r="D3159" s="40">
        <v>13.37</v>
      </c>
      <c r="E3159" s="40">
        <v>13.41</v>
      </c>
      <c r="K3159" s="40"/>
      <c r="P3159" s="40"/>
      <c r="Q3159" s="40"/>
      <c r="R3159" s="40"/>
    </row>
    <row r="3160" spans="1:18" x14ac:dyDescent="0.2">
      <c r="A3160" s="40" t="s">
        <v>2661</v>
      </c>
      <c r="B3160" s="40">
        <v>13.83</v>
      </c>
      <c r="C3160" s="40">
        <v>14.07</v>
      </c>
      <c r="D3160" s="40">
        <v>13.49</v>
      </c>
      <c r="E3160" s="40">
        <v>13.49</v>
      </c>
      <c r="K3160" s="40"/>
      <c r="P3160" s="40"/>
      <c r="Q3160" s="40"/>
      <c r="R3160" s="40"/>
    </row>
    <row r="3161" spans="1:18" x14ac:dyDescent="0.2">
      <c r="A3161" s="40" t="s">
        <v>2662</v>
      </c>
      <c r="B3161" s="40">
        <v>13.72</v>
      </c>
      <c r="C3161" s="40">
        <v>13.73</v>
      </c>
      <c r="D3161" s="40">
        <v>11.72</v>
      </c>
      <c r="E3161" s="40">
        <v>11.74</v>
      </c>
      <c r="K3161" s="40"/>
      <c r="P3161" s="40"/>
      <c r="Q3161" s="40"/>
      <c r="R3161" s="40"/>
    </row>
    <row r="3162" spans="1:18" x14ac:dyDescent="0.2">
      <c r="A3162" s="40" t="s">
        <v>2663</v>
      </c>
      <c r="B3162" s="40">
        <v>11.62</v>
      </c>
      <c r="C3162" s="40">
        <v>14.37</v>
      </c>
      <c r="D3162" s="40">
        <v>11.3</v>
      </c>
      <c r="E3162" s="40">
        <v>13.47</v>
      </c>
      <c r="K3162" s="40"/>
      <c r="P3162" s="40"/>
      <c r="Q3162" s="40"/>
      <c r="R3162" s="40"/>
    </row>
    <row r="3163" spans="1:18" x14ac:dyDescent="0.2">
      <c r="A3163" s="40" t="s">
        <v>2664</v>
      </c>
      <c r="B3163" s="40">
        <v>12.14</v>
      </c>
      <c r="C3163" s="40">
        <v>12.32</v>
      </c>
      <c r="D3163" s="40">
        <v>11.21</v>
      </c>
      <c r="E3163" s="40">
        <v>11.23</v>
      </c>
      <c r="K3163" s="40"/>
      <c r="P3163" s="40"/>
      <c r="Q3163" s="40"/>
      <c r="R3163" s="40"/>
    </row>
    <row r="3164" spans="1:18" x14ac:dyDescent="0.2">
      <c r="A3164" s="40" t="s">
        <v>2665</v>
      </c>
      <c r="B3164" s="40">
        <v>13.04</v>
      </c>
      <c r="C3164" s="40">
        <v>13.28</v>
      </c>
      <c r="D3164" s="40">
        <v>12.5</v>
      </c>
      <c r="E3164" s="40">
        <v>12.62</v>
      </c>
      <c r="K3164" s="40"/>
      <c r="P3164" s="40"/>
      <c r="Q3164" s="40"/>
      <c r="R3164" s="40"/>
    </row>
    <row r="3165" spans="1:18" x14ac:dyDescent="0.2">
      <c r="A3165" s="41">
        <v>44934</v>
      </c>
      <c r="B3165" s="40">
        <v>13.3</v>
      </c>
      <c r="C3165" s="40">
        <v>13.35</v>
      </c>
      <c r="D3165" s="40">
        <v>12.75</v>
      </c>
      <c r="E3165" s="40">
        <v>13.01</v>
      </c>
      <c r="K3165" s="40"/>
      <c r="P3165" s="40"/>
      <c r="Q3165" s="40"/>
      <c r="R3165" s="40"/>
    </row>
    <row r="3166" spans="1:18" x14ac:dyDescent="0.2">
      <c r="A3166" s="41">
        <v>44965</v>
      </c>
      <c r="B3166" s="40">
        <v>14.86</v>
      </c>
      <c r="C3166" s="40">
        <v>15.83</v>
      </c>
      <c r="D3166" s="40">
        <v>14.73</v>
      </c>
      <c r="E3166" s="40">
        <v>15.4</v>
      </c>
      <c r="K3166" s="40"/>
      <c r="P3166" s="40"/>
      <c r="Q3166" s="40"/>
      <c r="R3166" s="40"/>
    </row>
    <row r="3167" spans="1:18" x14ac:dyDescent="0.2">
      <c r="A3167" s="41">
        <v>44993</v>
      </c>
      <c r="B3167" s="40">
        <v>16.48</v>
      </c>
      <c r="C3167" s="40">
        <v>16.760000000000002</v>
      </c>
      <c r="D3167" s="40">
        <v>14.58</v>
      </c>
      <c r="E3167" s="40">
        <v>15.06</v>
      </c>
      <c r="K3167" s="40"/>
      <c r="P3167" s="40"/>
      <c r="Q3167" s="40"/>
      <c r="R3167" s="40"/>
    </row>
    <row r="3168" spans="1:18" x14ac:dyDescent="0.2">
      <c r="A3168" s="41">
        <v>45024</v>
      </c>
      <c r="B3168" s="40">
        <v>14.13</v>
      </c>
      <c r="C3168" s="40">
        <v>16.88</v>
      </c>
      <c r="D3168" s="40">
        <v>12.74</v>
      </c>
      <c r="E3168" s="40">
        <v>16.09</v>
      </c>
      <c r="K3168" s="40"/>
      <c r="P3168" s="40"/>
      <c r="Q3168" s="40"/>
      <c r="R3168" s="40"/>
    </row>
    <row r="3169" spans="1:18" x14ac:dyDescent="0.2">
      <c r="A3169" s="41">
        <v>45115</v>
      </c>
      <c r="B3169" s="40">
        <v>16</v>
      </c>
      <c r="C3169" s="40">
        <v>16.78</v>
      </c>
      <c r="D3169" s="40">
        <v>14.61</v>
      </c>
      <c r="E3169" s="40">
        <v>14.68</v>
      </c>
      <c r="K3169" s="40"/>
      <c r="P3169" s="40"/>
      <c r="Q3169" s="40"/>
      <c r="R3169" s="40"/>
    </row>
    <row r="3170" spans="1:18" x14ac:dyDescent="0.2">
      <c r="A3170" s="41">
        <v>45146</v>
      </c>
      <c r="B3170" s="40">
        <v>16.03</v>
      </c>
      <c r="C3170" s="40">
        <v>17.66</v>
      </c>
      <c r="D3170" s="40">
        <v>14.81</v>
      </c>
      <c r="E3170" s="40">
        <v>14.81</v>
      </c>
      <c r="K3170" s="40"/>
      <c r="P3170" s="40"/>
      <c r="Q3170" s="40"/>
      <c r="R3170" s="40"/>
    </row>
    <row r="3171" spans="1:18" x14ac:dyDescent="0.2">
      <c r="A3171" s="41">
        <v>45177</v>
      </c>
      <c r="B3171" s="40">
        <v>14.88</v>
      </c>
      <c r="C3171" s="40">
        <v>16.59</v>
      </c>
      <c r="D3171" s="40">
        <v>14.5</v>
      </c>
      <c r="E3171" s="40">
        <v>15.33</v>
      </c>
      <c r="K3171" s="40"/>
      <c r="P3171" s="40"/>
      <c r="Q3171" s="40"/>
      <c r="R3171" s="40"/>
    </row>
    <row r="3172" spans="1:18" x14ac:dyDescent="0.2">
      <c r="A3172" s="41">
        <v>45207</v>
      </c>
      <c r="B3172" s="40">
        <v>14.43</v>
      </c>
      <c r="C3172" s="40">
        <v>17.2</v>
      </c>
      <c r="D3172" s="40">
        <v>13.68</v>
      </c>
      <c r="E3172" s="40">
        <v>15.38</v>
      </c>
      <c r="K3172" s="40"/>
      <c r="P3172" s="40"/>
      <c r="Q3172" s="40"/>
      <c r="R3172" s="40"/>
    </row>
    <row r="3173" spans="1:18" x14ac:dyDescent="0.2">
      <c r="A3173" s="41">
        <v>45238</v>
      </c>
      <c r="B3173" s="40">
        <v>15.91</v>
      </c>
      <c r="C3173" s="40">
        <v>16.13</v>
      </c>
      <c r="D3173" s="40">
        <v>13.63</v>
      </c>
      <c r="E3173" s="40">
        <v>13.63</v>
      </c>
      <c r="K3173" s="40"/>
      <c r="P3173" s="40"/>
      <c r="Q3173" s="40"/>
      <c r="R3173" s="40"/>
    </row>
    <row r="3174" spans="1:18" x14ac:dyDescent="0.2">
      <c r="A3174" s="40" t="s">
        <v>2666</v>
      </c>
      <c r="B3174" s="40">
        <v>16.25</v>
      </c>
      <c r="C3174" s="40">
        <v>16.37</v>
      </c>
      <c r="D3174" s="40">
        <v>14.5</v>
      </c>
      <c r="E3174" s="40">
        <v>14.57</v>
      </c>
      <c r="K3174" s="40"/>
      <c r="P3174" s="40"/>
      <c r="Q3174" s="40"/>
      <c r="R3174" s="40"/>
    </row>
    <row r="3175" spans="1:18" x14ac:dyDescent="0.2">
      <c r="A3175" s="40" t="s">
        <v>2667</v>
      </c>
      <c r="B3175" s="40">
        <v>15.38</v>
      </c>
      <c r="C3175" s="40">
        <v>16.850000000000001</v>
      </c>
      <c r="D3175" s="40">
        <v>15.3</v>
      </c>
      <c r="E3175" s="40">
        <v>16.559999999999999</v>
      </c>
      <c r="K3175" s="40"/>
      <c r="P3175" s="40"/>
      <c r="Q3175" s="40"/>
      <c r="R3175" s="40"/>
    </row>
    <row r="3176" spans="1:18" x14ac:dyDescent="0.2">
      <c r="A3176" s="40" t="s">
        <v>2668</v>
      </c>
      <c r="B3176" s="40">
        <v>16.48</v>
      </c>
      <c r="C3176" s="40">
        <v>16.77</v>
      </c>
      <c r="D3176" s="40">
        <v>15.65</v>
      </c>
      <c r="E3176" s="40">
        <v>16.36</v>
      </c>
      <c r="K3176" s="40"/>
      <c r="P3176" s="40"/>
      <c r="Q3176" s="40"/>
      <c r="R3176" s="40"/>
    </row>
    <row r="3177" spans="1:18" x14ac:dyDescent="0.2">
      <c r="A3177" s="40" t="s">
        <v>2669</v>
      </c>
      <c r="B3177" s="40">
        <v>16.29</v>
      </c>
      <c r="C3177" s="40">
        <v>17.87</v>
      </c>
      <c r="D3177" s="40">
        <v>16.28</v>
      </c>
      <c r="E3177" s="40">
        <v>17.47</v>
      </c>
      <c r="K3177" s="40"/>
      <c r="P3177" s="40"/>
      <c r="Q3177" s="40"/>
      <c r="R3177" s="40"/>
    </row>
    <row r="3178" spans="1:18" x14ac:dyDescent="0.2">
      <c r="A3178" s="40" t="s">
        <v>2670</v>
      </c>
      <c r="B3178" s="40">
        <v>18.260000000000002</v>
      </c>
      <c r="C3178" s="40">
        <v>18.46</v>
      </c>
      <c r="D3178" s="40">
        <v>16.43</v>
      </c>
      <c r="E3178" s="40">
        <v>16.54</v>
      </c>
      <c r="K3178" s="40"/>
      <c r="P3178" s="40"/>
      <c r="Q3178" s="40"/>
      <c r="R3178" s="40"/>
    </row>
    <row r="3179" spans="1:18" x14ac:dyDescent="0.2">
      <c r="A3179" s="40" t="s">
        <v>2671</v>
      </c>
      <c r="B3179" s="40">
        <v>17.95</v>
      </c>
      <c r="C3179" s="40">
        <v>18.13</v>
      </c>
      <c r="D3179" s="40">
        <v>16.510000000000002</v>
      </c>
      <c r="E3179" s="40">
        <v>16.82</v>
      </c>
      <c r="K3179" s="40"/>
      <c r="P3179" s="40"/>
      <c r="Q3179" s="40"/>
      <c r="R3179" s="40"/>
    </row>
    <row r="3180" spans="1:18" x14ac:dyDescent="0.2">
      <c r="A3180" s="40" t="s">
        <v>2672</v>
      </c>
      <c r="B3180" s="40">
        <v>16.63</v>
      </c>
      <c r="C3180" s="40">
        <v>17.350000000000001</v>
      </c>
      <c r="D3180" s="40">
        <v>16.18</v>
      </c>
      <c r="E3180" s="40">
        <v>16.39</v>
      </c>
      <c r="K3180" s="40"/>
      <c r="P3180" s="40"/>
      <c r="Q3180" s="40"/>
      <c r="R3180" s="40"/>
    </row>
    <row r="3181" spans="1:18" x14ac:dyDescent="0.2">
      <c r="A3181" s="40" t="s">
        <v>2673</v>
      </c>
      <c r="B3181" s="40">
        <v>16.25</v>
      </c>
      <c r="C3181" s="40">
        <v>16.350000000000001</v>
      </c>
      <c r="D3181" s="40">
        <v>15.19</v>
      </c>
      <c r="E3181" s="40">
        <v>15.34</v>
      </c>
      <c r="K3181" s="40"/>
      <c r="P3181" s="40"/>
      <c r="Q3181" s="40"/>
      <c r="R3181" s="40"/>
    </row>
    <row r="3182" spans="1:18" x14ac:dyDescent="0.2">
      <c r="A3182" s="40" t="s">
        <v>2674</v>
      </c>
      <c r="B3182" s="40">
        <v>14.88</v>
      </c>
      <c r="C3182" s="40">
        <v>16.14</v>
      </c>
      <c r="D3182" s="40">
        <v>14.79</v>
      </c>
      <c r="E3182" s="40">
        <v>16.100000000000001</v>
      </c>
      <c r="K3182" s="40"/>
      <c r="P3182" s="40"/>
      <c r="Q3182" s="40"/>
      <c r="R3182" s="40"/>
    </row>
    <row r="3183" spans="1:18" x14ac:dyDescent="0.2">
      <c r="A3183" s="40" t="s">
        <v>2675</v>
      </c>
      <c r="B3183" s="40">
        <v>15.98</v>
      </c>
      <c r="C3183" s="40">
        <v>16.23</v>
      </c>
      <c r="D3183" s="40">
        <v>13.78</v>
      </c>
      <c r="E3183" s="40">
        <v>13.78</v>
      </c>
      <c r="K3183" s="40"/>
      <c r="P3183" s="40"/>
      <c r="Q3183" s="40"/>
      <c r="R3183" s="40"/>
    </row>
    <row r="3184" spans="1:18" x14ac:dyDescent="0.2">
      <c r="A3184" s="40" t="s">
        <v>2676</v>
      </c>
      <c r="B3184" s="40">
        <v>14.79</v>
      </c>
      <c r="C3184" s="40">
        <v>14.79</v>
      </c>
      <c r="D3184" s="40">
        <v>13.52</v>
      </c>
      <c r="E3184" s="40">
        <v>13.53</v>
      </c>
      <c r="K3184" s="40"/>
      <c r="P3184" s="40"/>
      <c r="Q3184" s="40"/>
      <c r="R3184" s="40"/>
    </row>
    <row r="3185" spans="1:18" x14ac:dyDescent="0.2">
      <c r="A3185" s="40" t="s">
        <v>2677</v>
      </c>
      <c r="B3185" s="40">
        <v>13.62</v>
      </c>
      <c r="C3185" s="40">
        <v>13.65</v>
      </c>
      <c r="D3185" s="40">
        <v>13.04</v>
      </c>
      <c r="E3185" s="40">
        <v>13.3</v>
      </c>
      <c r="K3185" s="40"/>
      <c r="P3185" s="40"/>
      <c r="Q3185" s="40"/>
      <c r="R3185" s="40"/>
    </row>
    <row r="3186" spans="1:18" x14ac:dyDescent="0.2">
      <c r="A3186" s="40" t="s">
        <v>2678</v>
      </c>
      <c r="B3186" s="40">
        <v>13.33</v>
      </c>
      <c r="C3186" s="40">
        <v>13.57</v>
      </c>
      <c r="D3186" s="40">
        <v>12.28</v>
      </c>
      <c r="E3186" s="40">
        <v>12.42</v>
      </c>
      <c r="K3186" s="40"/>
      <c r="P3186" s="40"/>
      <c r="Q3186" s="40"/>
      <c r="R3186" s="40"/>
    </row>
    <row r="3187" spans="1:18" x14ac:dyDescent="0.2">
      <c r="A3187" s="40" t="s">
        <v>2679</v>
      </c>
      <c r="B3187" s="40">
        <v>12.44</v>
      </c>
      <c r="C3187" s="40">
        <v>12.47</v>
      </c>
      <c r="D3187" s="40">
        <v>11.67</v>
      </c>
      <c r="E3187" s="40">
        <v>11.79</v>
      </c>
      <c r="K3187" s="40"/>
      <c r="P3187" s="40"/>
      <c r="Q3187" s="40"/>
      <c r="R3187" s="40"/>
    </row>
    <row r="3188" spans="1:18" x14ac:dyDescent="0.2">
      <c r="A3188" s="41">
        <v>44935</v>
      </c>
      <c r="B3188" s="40">
        <v>11.66</v>
      </c>
      <c r="C3188" s="40">
        <v>11.71</v>
      </c>
      <c r="D3188" s="40">
        <v>10.44</v>
      </c>
      <c r="E3188" s="40">
        <v>10.45</v>
      </c>
      <c r="K3188" s="40"/>
      <c r="P3188" s="40"/>
      <c r="Q3188" s="40"/>
      <c r="R3188" s="40"/>
    </row>
    <row r="3189" spans="1:18" x14ac:dyDescent="0.2">
      <c r="A3189" s="41">
        <v>45055</v>
      </c>
      <c r="B3189" s="40">
        <v>13.44</v>
      </c>
      <c r="C3189" s="40">
        <v>13.59</v>
      </c>
      <c r="D3189" s="40">
        <v>12.62</v>
      </c>
      <c r="E3189" s="40">
        <v>12.89</v>
      </c>
      <c r="K3189" s="40"/>
      <c r="P3189" s="40"/>
      <c r="Q3189" s="40"/>
      <c r="R3189" s="40"/>
    </row>
    <row r="3190" spans="1:18" x14ac:dyDescent="0.2">
      <c r="A3190" s="41">
        <v>45086</v>
      </c>
      <c r="B3190" s="40">
        <v>13.24</v>
      </c>
      <c r="C3190" s="40">
        <v>14.76</v>
      </c>
      <c r="D3190" s="40">
        <v>12.9</v>
      </c>
      <c r="E3190" s="40">
        <v>13.1</v>
      </c>
      <c r="K3190" s="40"/>
      <c r="P3190" s="40"/>
      <c r="Q3190" s="40"/>
      <c r="R3190" s="40"/>
    </row>
    <row r="3191" spans="1:18" x14ac:dyDescent="0.2">
      <c r="A3191" s="41">
        <v>45116</v>
      </c>
      <c r="B3191" s="40">
        <v>14.84</v>
      </c>
      <c r="C3191" s="40">
        <v>15.11</v>
      </c>
      <c r="D3191" s="40">
        <v>13.1</v>
      </c>
      <c r="E3191" s="40">
        <v>13.1</v>
      </c>
      <c r="K3191" s="40"/>
      <c r="P3191" s="40"/>
      <c r="Q3191" s="40"/>
      <c r="R3191" s="40"/>
    </row>
    <row r="3192" spans="1:18" x14ac:dyDescent="0.2">
      <c r="A3192" s="41">
        <v>45147</v>
      </c>
      <c r="B3192" s="40">
        <v>13.35</v>
      </c>
      <c r="C3192" s="40">
        <v>13.35</v>
      </c>
      <c r="D3192" s="40">
        <v>12.15</v>
      </c>
      <c r="E3192" s="40">
        <v>12.38</v>
      </c>
      <c r="K3192" s="40"/>
      <c r="P3192" s="40"/>
      <c r="Q3192" s="40"/>
      <c r="R3192" s="40"/>
    </row>
    <row r="3193" spans="1:18" x14ac:dyDescent="0.2">
      <c r="A3193" s="41">
        <v>45239</v>
      </c>
      <c r="B3193" s="40">
        <v>13.83</v>
      </c>
      <c r="C3193" s="40">
        <v>14.05</v>
      </c>
      <c r="D3193" s="40">
        <v>13.15</v>
      </c>
      <c r="E3193" s="40">
        <v>13.27</v>
      </c>
      <c r="K3193" s="40"/>
      <c r="P3193" s="40"/>
      <c r="Q3193" s="40"/>
      <c r="R3193" s="40"/>
    </row>
    <row r="3194" spans="1:18" x14ac:dyDescent="0.2">
      <c r="A3194" s="41">
        <v>45269</v>
      </c>
      <c r="B3194" s="40">
        <v>13.91</v>
      </c>
      <c r="C3194" s="40">
        <v>14.26</v>
      </c>
      <c r="D3194" s="40">
        <v>13.28</v>
      </c>
      <c r="E3194" s="40">
        <v>14.05</v>
      </c>
      <c r="K3194" s="40"/>
      <c r="P3194" s="40"/>
      <c r="Q3194" s="40"/>
      <c r="R3194" s="40"/>
    </row>
    <row r="3195" spans="1:18" x14ac:dyDescent="0.2">
      <c r="A3195" s="40" t="s">
        <v>2680</v>
      </c>
      <c r="B3195" s="40">
        <v>13.62</v>
      </c>
      <c r="C3195" s="40">
        <v>13.65</v>
      </c>
      <c r="D3195" s="40">
        <v>12.37</v>
      </c>
      <c r="E3195" s="40">
        <v>12.47</v>
      </c>
      <c r="K3195" s="40"/>
      <c r="P3195" s="40"/>
      <c r="Q3195" s="40"/>
      <c r="R3195" s="40"/>
    </row>
    <row r="3196" spans="1:18" x14ac:dyDescent="0.2">
      <c r="A3196" s="40" t="s">
        <v>2681</v>
      </c>
      <c r="B3196" s="40">
        <v>12.61</v>
      </c>
      <c r="C3196" s="40">
        <v>12.71</v>
      </c>
      <c r="D3196" s="40">
        <v>11.74</v>
      </c>
      <c r="E3196" s="40">
        <v>11.8</v>
      </c>
      <c r="K3196" s="40"/>
      <c r="P3196" s="40"/>
      <c r="Q3196" s="40"/>
      <c r="R3196" s="40"/>
    </row>
    <row r="3197" spans="1:18" x14ac:dyDescent="0.2">
      <c r="A3197" s="40" t="s">
        <v>2682</v>
      </c>
      <c r="B3197" s="40">
        <v>12.22</v>
      </c>
      <c r="C3197" s="40">
        <v>13.51</v>
      </c>
      <c r="D3197" s="40">
        <v>11.94</v>
      </c>
      <c r="E3197" s="40">
        <v>12.51</v>
      </c>
      <c r="K3197" s="40"/>
      <c r="P3197" s="40"/>
      <c r="Q3197" s="40"/>
      <c r="R3197" s="40"/>
    </row>
    <row r="3198" spans="1:18" x14ac:dyDescent="0.2">
      <c r="A3198" s="40" t="s">
        <v>2683</v>
      </c>
      <c r="B3198" s="40">
        <v>14.72</v>
      </c>
      <c r="C3198" s="40">
        <v>14.89</v>
      </c>
      <c r="D3198" s="40">
        <v>13.53</v>
      </c>
      <c r="E3198" s="40">
        <v>13.62</v>
      </c>
      <c r="K3198" s="40"/>
      <c r="P3198" s="40"/>
      <c r="Q3198" s="40"/>
      <c r="R3198" s="40"/>
    </row>
    <row r="3199" spans="1:18" x14ac:dyDescent="0.2">
      <c r="A3199" s="40" t="s">
        <v>2684</v>
      </c>
      <c r="B3199" s="40">
        <v>14.34</v>
      </c>
      <c r="C3199" s="40">
        <v>15.32</v>
      </c>
      <c r="D3199" s="40">
        <v>14.14</v>
      </c>
      <c r="E3199" s="40">
        <v>14.23</v>
      </c>
      <c r="K3199" s="40"/>
      <c r="P3199" s="40"/>
      <c r="Q3199" s="40"/>
      <c r="R3199" s="40"/>
    </row>
    <row r="3200" spans="1:18" x14ac:dyDescent="0.2">
      <c r="A3200" s="40" t="s">
        <v>2685</v>
      </c>
      <c r="B3200" s="40">
        <v>14.41</v>
      </c>
      <c r="C3200" s="40">
        <v>15.29</v>
      </c>
      <c r="D3200" s="40">
        <v>13.56</v>
      </c>
      <c r="E3200" s="40">
        <v>15.27</v>
      </c>
      <c r="K3200" s="40"/>
      <c r="P3200" s="40"/>
      <c r="Q3200" s="40"/>
      <c r="R3200" s="40"/>
    </row>
    <row r="3201" spans="1:18" x14ac:dyDescent="0.2">
      <c r="A3201" s="40" t="s">
        <v>2686</v>
      </c>
      <c r="B3201" s="40">
        <v>16.3</v>
      </c>
      <c r="C3201" s="40">
        <v>18.88</v>
      </c>
      <c r="D3201" s="40">
        <v>12.66</v>
      </c>
      <c r="E3201" s="40">
        <v>18.88</v>
      </c>
      <c r="K3201" s="40"/>
      <c r="P3201" s="40"/>
      <c r="Q3201" s="40"/>
      <c r="R3201" s="40"/>
    </row>
    <row r="3202" spans="1:18" x14ac:dyDescent="0.2">
      <c r="A3202" s="40" t="s">
        <v>2687</v>
      </c>
      <c r="B3202" s="40">
        <v>17.739999999999998</v>
      </c>
      <c r="C3202" s="40">
        <v>17.93</v>
      </c>
      <c r="D3202" s="40">
        <v>15.68</v>
      </c>
      <c r="E3202" s="40">
        <v>17.510000000000002</v>
      </c>
      <c r="K3202" s="40"/>
      <c r="P3202" s="40"/>
      <c r="Q3202" s="40"/>
      <c r="R3202" s="40"/>
    </row>
    <row r="3203" spans="1:18" x14ac:dyDescent="0.2">
      <c r="A3203" s="40" t="s">
        <v>2688</v>
      </c>
      <c r="B3203" s="40">
        <v>19.52</v>
      </c>
      <c r="C3203" s="40">
        <v>19.760000000000002</v>
      </c>
      <c r="D3203" s="40">
        <v>17.29</v>
      </c>
      <c r="E3203" s="40">
        <v>17.559999999999999</v>
      </c>
      <c r="K3203" s="40"/>
      <c r="P3203" s="40"/>
      <c r="Q3203" s="40"/>
      <c r="R3203" s="40"/>
    </row>
    <row r="3204" spans="1:18" x14ac:dyDescent="0.2">
      <c r="A3204" s="40" t="s">
        <v>2689</v>
      </c>
      <c r="B3204" s="40">
        <v>18.79</v>
      </c>
      <c r="C3204" s="40">
        <v>20.58</v>
      </c>
      <c r="D3204" s="40">
        <v>18.3</v>
      </c>
      <c r="E3204" s="40">
        <v>19.850000000000001</v>
      </c>
      <c r="K3204" s="40"/>
      <c r="P3204" s="40"/>
      <c r="Q3204" s="40"/>
      <c r="R3204" s="40"/>
    </row>
    <row r="3205" spans="1:18" x14ac:dyDescent="0.2">
      <c r="A3205" s="40" t="s">
        <v>2690</v>
      </c>
      <c r="B3205" s="40">
        <v>19.04</v>
      </c>
      <c r="C3205" s="40">
        <v>20.57</v>
      </c>
      <c r="D3205" s="40">
        <v>18.670000000000002</v>
      </c>
      <c r="E3205" s="40">
        <v>18.920000000000002</v>
      </c>
      <c r="K3205" s="40"/>
      <c r="P3205" s="40"/>
      <c r="Q3205" s="40"/>
      <c r="R3205" s="40"/>
    </row>
    <row r="3206" spans="1:18" x14ac:dyDescent="0.2">
      <c r="A3206" s="40" t="s">
        <v>2691</v>
      </c>
      <c r="B3206" s="40">
        <v>20.100000000000001</v>
      </c>
      <c r="C3206" s="40">
        <v>20.13</v>
      </c>
      <c r="D3206" s="40">
        <v>17.39</v>
      </c>
      <c r="E3206" s="40">
        <v>17.63</v>
      </c>
      <c r="K3206" s="40"/>
      <c r="P3206" s="40"/>
      <c r="Q3206" s="40"/>
      <c r="R3206" s="40"/>
    </row>
    <row r="3207" spans="1:18" x14ac:dyDescent="0.2">
      <c r="A3207" s="40" t="s">
        <v>2692</v>
      </c>
      <c r="B3207" s="40">
        <v>16.18</v>
      </c>
      <c r="C3207" s="40">
        <v>17.7</v>
      </c>
      <c r="D3207" s="40">
        <v>15.33</v>
      </c>
      <c r="E3207" s="40">
        <v>17.2</v>
      </c>
      <c r="K3207" s="40"/>
      <c r="P3207" s="40"/>
      <c r="Q3207" s="40"/>
      <c r="R3207" s="40"/>
    </row>
    <row r="3208" spans="1:18" x14ac:dyDescent="0.2">
      <c r="A3208" s="41">
        <v>44967</v>
      </c>
      <c r="B3208" s="40">
        <v>19.07</v>
      </c>
      <c r="C3208" s="40">
        <v>19.13</v>
      </c>
      <c r="D3208" s="40">
        <v>16.399999999999999</v>
      </c>
      <c r="E3208" s="40">
        <v>17.61</v>
      </c>
      <c r="K3208" s="40"/>
      <c r="P3208" s="40"/>
      <c r="Q3208" s="40"/>
      <c r="R3208" s="40"/>
    </row>
    <row r="3209" spans="1:18" x14ac:dyDescent="0.2">
      <c r="A3209" s="41">
        <v>44995</v>
      </c>
      <c r="B3209" s="40">
        <v>19.059999999999999</v>
      </c>
      <c r="C3209" s="40">
        <v>21.24</v>
      </c>
      <c r="D3209" s="40">
        <v>18.45</v>
      </c>
      <c r="E3209" s="40">
        <v>19.899999999999999</v>
      </c>
      <c r="K3209" s="40"/>
      <c r="P3209" s="40"/>
      <c r="Q3209" s="40"/>
      <c r="R3209" s="40"/>
    </row>
    <row r="3210" spans="1:18" x14ac:dyDescent="0.2">
      <c r="A3210" s="41">
        <v>45026</v>
      </c>
      <c r="B3210" s="40">
        <v>19.89</v>
      </c>
      <c r="C3210" s="40">
        <v>20</v>
      </c>
      <c r="D3210" s="40">
        <v>17.899999999999999</v>
      </c>
      <c r="E3210" s="40">
        <v>18.3</v>
      </c>
      <c r="K3210" s="40"/>
      <c r="P3210" s="40"/>
      <c r="Q3210" s="40"/>
      <c r="R3210" s="40"/>
    </row>
    <row r="3211" spans="1:18" x14ac:dyDescent="0.2">
      <c r="A3211" s="41">
        <v>45056</v>
      </c>
      <c r="B3211" s="40">
        <v>18.38</v>
      </c>
      <c r="C3211" s="40">
        <v>19.71</v>
      </c>
      <c r="D3211" s="40">
        <v>18.170000000000002</v>
      </c>
      <c r="E3211" s="40">
        <v>18.36</v>
      </c>
      <c r="K3211" s="40"/>
      <c r="P3211" s="40"/>
      <c r="Q3211" s="40"/>
      <c r="R3211" s="40"/>
    </row>
    <row r="3212" spans="1:18" x14ac:dyDescent="0.2">
      <c r="A3212" s="41">
        <v>45087</v>
      </c>
      <c r="B3212" s="40">
        <v>19.18</v>
      </c>
      <c r="C3212" s="40">
        <v>19.57</v>
      </c>
      <c r="D3212" s="40">
        <v>16.11</v>
      </c>
      <c r="E3212" s="40">
        <v>16.29</v>
      </c>
      <c r="K3212" s="40"/>
      <c r="P3212" s="40"/>
      <c r="Q3212" s="40"/>
      <c r="R3212" s="40"/>
    </row>
    <row r="3213" spans="1:18" x14ac:dyDescent="0.2">
      <c r="A3213" s="41">
        <v>45179</v>
      </c>
      <c r="B3213" s="40">
        <v>18.809999999999999</v>
      </c>
      <c r="C3213" s="40">
        <v>19.07</v>
      </c>
      <c r="D3213" s="40">
        <v>17.27</v>
      </c>
      <c r="E3213" s="40">
        <v>17.88</v>
      </c>
      <c r="K3213" s="40"/>
      <c r="P3213" s="40"/>
      <c r="Q3213" s="40"/>
      <c r="R3213" s="40"/>
    </row>
    <row r="3214" spans="1:18" x14ac:dyDescent="0.2">
      <c r="A3214" s="41">
        <v>45209</v>
      </c>
      <c r="B3214" s="40">
        <v>17.59</v>
      </c>
      <c r="C3214" s="40">
        <v>17.600000000000001</v>
      </c>
      <c r="D3214" s="40">
        <v>16.34</v>
      </c>
      <c r="E3214" s="40">
        <v>17.11</v>
      </c>
      <c r="K3214" s="40"/>
      <c r="P3214" s="40"/>
      <c r="Q3214" s="40"/>
      <c r="R3214" s="40"/>
    </row>
    <row r="3215" spans="1:18" x14ac:dyDescent="0.2">
      <c r="A3215" s="41">
        <v>45240</v>
      </c>
      <c r="B3215" s="40">
        <v>16.22</v>
      </c>
      <c r="C3215" s="40">
        <v>17.739999999999998</v>
      </c>
      <c r="D3215" s="40">
        <v>15.16</v>
      </c>
      <c r="E3215" s="40">
        <v>15.17</v>
      </c>
      <c r="K3215" s="40"/>
      <c r="P3215" s="40"/>
      <c r="Q3215" s="40"/>
      <c r="R3215" s="40"/>
    </row>
    <row r="3216" spans="1:18" x14ac:dyDescent="0.2">
      <c r="A3216" s="41">
        <v>45270</v>
      </c>
      <c r="B3216" s="40">
        <v>15</v>
      </c>
      <c r="C3216" s="40">
        <v>18.21</v>
      </c>
      <c r="D3216" s="40">
        <v>14.45</v>
      </c>
      <c r="E3216" s="40">
        <v>15.87</v>
      </c>
      <c r="K3216" s="40"/>
      <c r="P3216" s="40"/>
      <c r="Q3216" s="40"/>
      <c r="R3216" s="40"/>
    </row>
    <row r="3217" spans="1:18" x14ac:dyDescent="0.2">
      <c r="A3217" s="40" t="s">
        <v>2693</v>
      </c>
      <c r="B3217" s="40">
        <v>16.22</v>
      </c>
      <c r="C3217" s="40">
        <v>21.39</v>
      </c>
      <c r="D3217" s="40">
        <v>16.03</v>
      </c>
      <c r="E3217" s="40">
        <v>18.760000000000002</v>
      </c>
      <c r="K3217" s="40"/>
      <c r="P3217" s="40"/>
      <c r="Q3217" s="40"/>
      <c r="R3217" s="40"/>
    </row>
    <row r="3218" spans="1:18" x14ac:dyDescent="0.2">
      <c r="A3218" s="40" t="s">
        <v>2694</v>
      </c>
      <c r="B3218" s="40">
        <v>18.71</v>
      </c>
      <c r="C3218" s="40">
        <v>18.71</v>
      </c>
      <c r="D3218" s="40">
        <v>17.079999999999998</v>
      </c>
      <c r="E3218" s="40">
        <v>17.190000000000001</v>
      </c>
      <c r="K3218" s="40"/>
      <c r="P3218" s="40"/>
      <c r="Q3218" s="40"/>
      <c r="R3218" s="40"/>
    </row>
    <row r="3219" spans="1:18" x14ac:dyDescent="0.2">
      <c r="A3219" s="40" t="s">
        <v>2695</v>
      </c>
      <c r="B3219" s="40">
        <v>18.37</v>
      </c>
      <c r="C3219" s="40">
        <v>18.86</v>
      </c>
      <c r="D3219" s="40">
        <v>16.89</v>
      </c>
      <c r="E3219" s="40">
        <v>17.71</v>
      </c>
      <c r="K3219" s="40"/>
      <c r="P3219" s="40"/>
      <c r="Q3219" s="40"/>
      <c r="R3219" s="40"/>
    </row>
    <row r="3220" spans="1:18" x14ac:dyDescent="0.2">
      <c r="A3220" s="40" t="s">
        <v>2696</v>
      </c>
      <c r="B3220" s="40">
        <v>18.5</v>
      </c>
      <c r="C3220" s="40">
        <v>20.329999999999998</v>
      </c>
      <c r="D3220" s="40">
        <v>18.260000000000002</v>
      </c>
      <c r="E3220" s="40">
        <v>18.899999999999999</v>
      </c>
      <c r="K3220" s="40"/>
      <c r="P3220" s="40"/>
      <c r="Q3220" s="40"/>
      <c r="R3220" s="40"/>
    </row>
    <row r="3221" spans="1:18" x14ac:dyDescent="0.2">
      <c r="A3221" s="40" t="s">
        <v>2697</v>
      </c>
      <c r="B3221" s="40">
        <v>19.190000000000001</v>
      </c>
      <c r="C3221" s="40">
        <v>21.58</v>
      </c>
      <c r="D3221" s="40">
        <v>18.37</v>
      </c>
      <c r="E3221" s="40">
        <v>21.46</v>
      </c>
      <c r="K3221" s="40"/>
      <c r="P3221" s="40"/>
      <c r="Q3221" s="40"/>
      <c r="R3221" s="40"/>
    </row>
    <row r="3222" spans="1:18" x14ac:dyDescent="0.2">
      <c r="A3222" s="40" t="s">
        <v>2698</v>
      </c>
      <c r="B3222" s="40">
        <v>21.11</v>
      </c>
      <c r="C3222" s="40">
        <v>22.03</v>
      </c>
      <c r="D3222" s="40">
        <v>19.829999999999998</v>
      </c>
      <c r="E3222" s="40">
        <v>20.76</v>
      </c>
      <c r="K3222" s="40"/>
      <c r="P3222" s="40"/>
      <c r="Q3222" s="40"/>
      <c r="R3222" s="40"/>
    </row>
    <row r="3223" spans="1:18" x14ac:dyDescent="0.2">
      <c r="A3223" s="40" t="s">
        <v>2699</v>
      </c>
      <c r="B3223" s="40">
        <v>22.69</v>
      </c>
      <c r="C3223" s="40">
        <v>23.42</v>
      </c>
      <c r="D3223" s="40">
        <v>20.11</v>
      </c>
      <c r="E3223" s="40">
        <v>20.69</v>
      </c>
      <c r="K3223" s="40"/>
      <c r="P3223" s="40"/>
      <c r="Q3223" s="40"/>
      <c r="R3223" s="40"/>
    </row>
    <row r="3224" spans="1:18" x14ac:dyDescent="0.2">
      <c r="A3224" s="40" t="s">
        <v>2700</v>
      </c>
      <c r="B3224" s="40">
        <v>20.16</v>
      </c>
      <c r="C3224" s="40">
        <v>20.75</v>
      </c>
      <c r="D3224" s="40">
        <v>18.8</v>
      </c>
      <c r="E3224" s="40">
        <v>19.309999999999999</v>
      </c>
      <c r="K3224" s="40"/>
      <c r="P3224" s="40"/>
      <c r="Q3224" s="40"/>
      <c r="R3224" s="40"/>
    </row>
    <row r="3225" spans="1:18" x14ac:dyDescent="0.2">
      <c r="A3225" s="40" t="s">
        <v>2701</v>
      </c>
      <c r="B3225" s="40">
        <v>19.59</v>
      </c>
      <c r="C3225" s="40">
        <v>21.96</v>
      </c>
      <c r="D3225" s="40">
        <v>19.59</v>
      </c>
      <c r="E3225" s="40">
        <v>20.49</v>
      </c>
      <c r="K3225" s="40"/>
      <c r="P3225" s="40"/>
      <c r="Q3225" s="40"/>
      <c r="R3225" s="40"/>
    </row>
    <row r="3226" spans="1:18" x14ac:dyDescent="0.2">
      <c r="A3226" s="40" t="s">
        <v>2702</v>
      </c>
      <c r="B3226" s="40">
        <v>21.72</v>
      </c>
      <c r="C3226" s="40">
        <v>22.65</v>
      </c>
      <c r="D3226" s="40">
        <v>20.61</v>
      </c>
      <c r="E3226" s="40">
        <v>20.8</v>
      </c>
      <c r="K3226" s="40"/>
      <c r="P3226" s="40"/>
      <c r="Q3226" s="40"/>
      <c r="R3226" s="40"/>
    </row>
    <row r="3227" spans="1:18" x14ac:dyDescent="0.2">
      <c r="A3227" s="40" t="s">
        <v>2703</v>
      </c>
      <c r="B3227" s="40">
        <v>20.45</v>
      </c>
      <c r="C3227" s="40">
        <v>22.73</v>
      </c>
      <c r="D3227" s="40">
        <v>19.89</v>
      </c>
      <c r="E3227" s="40">
        <v>21.36</v>
      </c>
      <c r="K3227" s="40"/>
      <c r="P3227" s="40"/>
      <c r="Q3227" s="40"/>
      <c r="R3227" s="40"/>
    </row>
    <row r="3228" spans="1:18" x14ac:dyDescent="0.2">
      <c r="A3228" s="40" t="s">
        <v>2704</v>
      </c>
      <c r="B3228" s="40">
        <v>21.64</v>
      </c>
      <c r="C3228" s="40">
        <v>22.17</v>
      </c>
      <c r="D3228" s="40">
        <v>20.39</v>
      </c>
      <c r="E3228" s="40">
        <v>20.65</v>
      </c>
      <c r="K3228" s="40"/>
      <c r="P3228" s="40"/>
      <c r="Q3228" s="40"/>
      <c r="R3228" s="40"/>
    </row>
    <row r="3229" spans="1:18" x14ac:dyDescent="0.2">
      <c r="A3229" s="40" t="s">
        <v>2705</v>
      </c>
      <c r="B3229" s="40">
        <v>20.5</v>
      </c>
      <c r="C3229" s="40">
        <v>20.86</v>
      </c>
      <c r="D3229" s="40">
        <v>18.57</v>
      </c>
      <c r="E3229" s="40">
        <v>19.02</v>
      </c>
      <c r="K3229" s="40"/>
      <c r="P3229" s="40"/>
      <c r="Q3229" s="40"/>
      <c r="R3229" s="40"/>
    </row>
    <row r="3230" spans="1:18" x14ac:dyDescent="0.2">
      <c r="A3230" s="41">
        <v>44937</v>
      </c>
      <c r="B3230" s="40">
        <v>18.809999999999999</v>
      </c>
      <c r="C3230" s="40">
        <v>18.920000000000002</v>
      </c>
      <c r="D3230" s="40">
        <v>16.79</v>
      </c>
      <c r="E3230" s="40">
        <v>16.87</v>
      </c>
      <c r="K3230" s="40"/>
      <c r="P3230" s="40"/>
      <c r="Q3230" s="40"/>
      <c r="R3230" s="40"/>
    </row>
    <row r="3231" spans="1:18" x14ac:dyDescent="0.2">
      <c r="A3231" s="41">
        <v>44968</v>
      </c>
      <c r="B3231" s="40">
        <v>16.29</v>
      </c>
      <c r="C3231" s="40">
        <v>16.309999999999999</v>
      </c>
      <c r="D3231" s="40">
        <v>15</v>
      </c>
      <c r="E3231" s="40">
        <v>15.16</v>
      </c>
      <c r="K3231" s="40"/>
      <c r="P3231" s="40"/>
      <c r="Q3231" s="40"/>
      <c r="R3231" s="40"/>
    </row>
    <row r="3232" spans="1:18" x14ac:dyDescent="0.2">
      <c r="A3232" s="41">
        <v>44996</v>
      </c>
      <c r="B3232" s="40">
        <v>14.87</v>
      </c>
      <c r="C3232" s="40">
        <v>15.42</v>
      </c>
      <c r="D3232" s="40">
        <v>13.71</v>
      </c>
      <c r="E3232" s="40">
        <v>13.71</v>
      </c>
      <c r="K3232" s="40"/>
      <c r="P3232" s="40"/>
      <c r="Q3232" s="40"/>
      <c r="R3232" s="40"/>
    </row>
    <row r="3233" spans="1:18" x14ac:dyDescent="0.2">
      <c r="A3233" s="41">
        <v>45088</v>
      </c>
      <c r="B3233" s="40">
        <v>15.31</v>
      </c>
      <c r="C3233" s="40">
        <v>15.64</v>
      </c>
      <c r="D3233" s="40">
        <v>14.45</v>
      </c>
      <c r="E3233" s="40">
        <v>14.53</v>
      </c>
      <c r="K3233" s="40"/>
      <c r="P3233" s="40"/>
      <c r="Q3233" s="40"/>
      <c r="R3233" s="40"/>
    </row>
    <row r="3234" spans="1:18" x14ac:dyDescent="0.2">
      <c r="A3234" s="41">
        <v>45118</v>
      </c>
      <c r="B3234" s="40">
        <v>14.68</v>
      </c>
      <c r="C3234" s="40">
        <v>14.92</v>
      </c>
      <c r="D3234" s="40">
        <v>14.29</v>
      </c>
      <c r="E3234" s="40">
        <v>14.43</v>
      </c>
      <c r="K3234" s="40"/>
      <c r="P3234" s="40"/>
      <c r="Q3234" s="40"/>
      <c r="R3234" s="40"/>
    </row>
    <row r="3235" spans="1:18" x14ac:dyDescent="0.2">
      <c r="A3235" s="41">
        <v>45149</v>
      </c>
      <c r="B3235" s="40">
        <v>14.42</v>
      </c>
      <c r="C3235" s="40">
        <v>15.11</v>
      </c>
      <c r="D3235" s="40">
        <v>13.76</v>
      </c>
      <c r="E3235" s="40">
        <v>13.83</v>
      </c>
      <c r="K3235" s="40"/>
      <c r="P3235" s="40"/>
      <c r="Q3235" s="40"/>
      <c r="R3235" s="40"/>
    </row>
    <row r="3236" spans="1:18" x14ac:dyDescent="0.2">
      <c r="A3236" s="41">
        <v>45180</v>
      </c>
      <c r="B3236" s="40">
        <v>13.73</v>
      </c>
      <c r="C3236" s="40">
        <v>15.06</v>
      </c>
      <c r="D3236" s="40">
        <v>13.67</v>
      </c>
      <c r="E3236" s="40">
        <v>14.7</v>
      </c>
      <c r="K3236" s="40"/>
      <c r="P3236" s="40"/>
      <c r="Q3236" s="40"/>
      <c r="R3236" s="40"/>
    </row>
    <row r="3237" spans="1:18" x14ac:dyDescent="0.2">
      <c r="A3237" s="41">
        <v>45210</v>
      </c>
      <c r="B3237" s="40">
        <v>14.07</v>
      </c>
      <c r="C3237" s="40">
        <v>14.42</v>
      </c>
      <c r="D3237" s="40">
        <v>12.78</v>
      </c>
      <c r="E3237" s="40">
        <v>12.78</v>
      </c>
      <c r="K3237" s="40"/>
      <c r="P3237" s="40"/>
      <c r="Q3237" s="40"/>
      <c r="R3237" s="40"/>
    </row>
    <row r="3238" spans="1:18" x14ac:dyDescent="0.2">
      <c r="A3238" s="40" t="s">
        <v>2706</v>
      </c>
      <c r="B3238" s="40">
        <v>14.37</v>
      </c>
      <c r="C3238" s="40">
        <v>14.37</v>
      </c>
      <c r="D3238" s="40">
        <v>13.59</v>
      </c>
      <c r="E3238" s="40">
        <v>13.8</v>
      </c>
      <c r="K3238" s="40"/>
      <c r="P3238" s="40"/>
      <c r="Q3238" s="40"/>
      <c r="R3238" s="40"/>
    </row>
    <row r="3239" spans="1:18" x14ac:dyDescent="0.2">
      <c r="A3239" s="40" t="s">
        <v>2707</v>
      </c>
      <c r="B3239" s="40">
        <v>12.72</v>
      </c>
      <c r="C3239" s="40">
        <v>13.33</v>
      </c>
      <c r="D3239" s="40">
        <v>12.57</v>
      </c>
      <c r="E3239" s="40">
        <v>12.87</v>
      </c>
      <c r="K3239" s="40"/>
      <c r="P3239" s="40"/>
      <c r="Q3239" s="40"/>
      <c r="R3239" s="40"/>
    </row>
    <row r="3240" spans="1:18" x14ac:dyDescent="0.2">
      <c r="A3240" s="40" t="s">
        <v>2708</v>
      </c>
      <c r="B3240" s="40">
        <v>12.76</v>
      </c>
      <c r="C3240" s="40">
        <v>12.87</v>
      </c>
      <c r="D3240" s="40">
        <v>11.79</v>
      </c>
      <c r="E3240" s="40">
        <v>11.89</v>
      </c>
      <c r="K3240" s="40"/>
      <c r="P3240" s="40"/>
      <c r="Q3240" s="40"/>
      <c r="R3240" s="40"/>
    </row>
    <row r="3241" spans="1:18" x14ac:dyDescent="0.2">
      <c r="A3241" s="40" t="s">
        <v>2709</v>
      </c>
      <c r="B3241" s="40">
        <v>11.9</v>
      </c>
      <c r="C3241" s="40">
        <v>12.31</v>
      </c>
      <c r="D3241" s="40">
        <v>11.56</v>
      </c>
      <c r="E3241" s="40">
        <v>11.81</v>
      </c>
      <c r="K3241" s="40"/>
      <c r="P3241" s="40"/>
      <c r="Q3241" s="40"/>
      <c r="R3241" s="40"/>
    </row>
    <row r="3242" spans="1:18" x14ac:dyDescent="0.2">
      <c r="A3242" s="40" t="s">
        <v>2710</v>
      </c>
      <c r="B3242" s="40">
        <v>11.86</v>
      </c>
      <c r="C3242" s="40">
        <v>11.86</v>
      </c>
      <c r="D3242" s="40">
        <v>10.67</v>
      </c>
      <c r="E3242" s="40">
        <v>10.67</v>
      </c>
      <c r="K3242" s="40"/>
      <c r="P3242" s="40"/>
      <c r="Q3242" s="40"/>
      <c r="R3242" s="40"/>
    </row>
    <row r="3243" spans="1:18" x14ac:dyDescent="0.2">
      <c r="A3243" s="40" t="s">
        <v>2711</v>
      </c>
      <c r="B3243" s="40">
        <v>12.39</v>
      </c>
      <c r="C3243" s="40">
        <v>12.39</v>
      </c>
      <c r="D3243" s="40">
        <v>11.14</v>
      </c>
      <c r="E3243" s="40">
        <v>11.14</v>
      </c>
      <c r="K3243" s="40"/>
      <c r="P3243" s="40"/>
      <c r="Q3243" s="40"/>
      <c r="R3243" s="40"/>
    </row>
    <row r="3244" spans="1:18" x14ac:dyDescent="0.2">
      <c r="A3244" s="40" t="s">
        <v>2712</v>
      </c>
      <c r="B3244" s="40">
        <v>11.63</v>
      </c>
      <c r="C3244" s="40">
        <v>11.68</v>
      </c>
      <c r="D3244" s="40">
        <v>11.24</v>
      </c>
      <c r="E3244" s="40">
        <v>11.47</v>
      </c>
      <c r="K3244" s="40"/>
      <c r="P3244" s="40"/>
      <c r="Q3244" s="40"/>
      <c r="R3244" s="40"/>
    </row>
    <row r="3245" spans="1:18" x14ac:dyDescent="0.2">
      <c r="A3245" s="40" t="s">
        <v>2713</v>
      </c>
      <c r="B3245" s="40">
        <v>10.82</v>
      </c>
      <c r="C3245" s="40">
        <v>11.03</v>
      </c>
      <c r="D3245" s="40">
        <v>9.9600000000000009</v>
      </c>
      <c r="E3245" s="40">
        <v>9.9600000000000009</v>
      </c>
      <c r="K3245" s="40"/>
      <c r="P3245" s="40"/>
      <c r="Q3245" s="40"/>
      <c r="R3245" s="40"/>
    </row>
    <row r="3246" spans="1:18" x14ac:dyDescent="0.2">
      <c r="A3246" s="40" t="s">
        <v>2714</v>
      </c>
      <c r="B3246" s="40">
        <v>11.2</v>
      </c>
      <c r="C3246" s="40">
        <v>11.2</v>
      </c>
      <c r="D3246" s="40">
        <v>9.8000000000000007</v>
      </c>
      <c r="E3246" s="40">
        <v>9.83</v>
      </c>
      <c r="K3246" s="40"/>
      <c r="P3246" s="40"/>
      <c r="Q3246" s="40"/>
      <c r="R3246" s="40"/>
    </row>
    <row r="3247" spans="1:18" x14ac:dyDescent="0.2">
      <c r="A3247" s="40" t="s">
        <v>2715</v>
      </c>
      <c r="B3247" s="40">
        <v>11.91</v>
      </c>
      <c r="C3247" s="40">
        <v>11.98</v>
      </c>
      <c r="D3247" s="40">
        <v>11.25</v>
      </c>
      <c r="E3247" s="40">
        <v>11.27</v>
      </c>
      <c r="K3247" s="40"/>
      <c r="P3247" s="40"/>
      <c r="Q3247" s="40"/>
      <c r="R3247" s="40"/>
    </row>
    <row r="3248" spans="1:18" x14ac:dyDescent="0.2">
      <c r="A3248" s="40" t="s">
        <v>2716</v>
      </c>
      <c r="B3248" s="40">
        <v>11.7</v>
      </c>
      <c r="C3248" s="40">
        <v>13.67</v>
      </c>
      <c r="D3248" s="40">
        <v>11.34</v>
      </c>
      <c r="E3248" s="40">
        <v>11.52</v>
      </c>
      <c r="K3248" s="40"/>
      <c r="P3248" s="40"/>
      <c r="Q3248" s="40"/>
      <c r="R3248" s="40"/>
    </row>
    <row r="3249" spans="1:18" x14ac:dyDescent="0.2">
      <c r="A3249" s="40" t="s">
        <v>2717</v>
      </c>
      <c r="B3249" s="40">
        <v>11.77</v>
      </c>
      <c r="C3249" s="40">
        <v>12.54</v>
      </c>
      <c r="D3249" s="40">
        <v>11.71</v>
      </c>
      <c r="E3249" s="40">
        <v>12.05</v>
      </c>
      <c r="K3249" s="40"/>
      <c r="P3249" s="40"/>
      <c r="Q3249" s="40"/>
      <c r="R3249" s="40"/>
    </row>
    <row r="3250" spans="1:18" x14ac:dyDescent="0.2">
      <c r="A3250" s="40" t="s">
        <v>2718</v>
      </c>
      <c r="B3250" s="40">
        <v>12.75</v>
      </c>
      <c r="C3250" s="40">
        <v>12.96</v>
      </c>
      <c r="D3250" s="40">
        <v>12.16</v>
      </c>
      <c r="E3250" s="40">
        <v>12.3</v>
      </c>
      <c r="K3250" s="40"/>
      <c r="P3250" s="40"/>
      <c r="Q3250" s="40"/>
      <c r="R3250" s="40"/>
    </row>
    <row r="3251" spans="1:18" x14ac:dyDescent="0.2">
      <c r="A3251" s="41">
        <v>44938</v>
      </c>
      <c r="B3251" s="40">
        <v>12.53</v>
      </c>
      <c r="C3251" s="40">
        <v>12.59</v>
      </c>
      <c r="D3251" s="40">
        <v>11.86</v>
      </c>
      <c r="E3251" s="40">
        <v>11.98</v>
      </c>
      <c r="K3251" s="40"/>
      <c r="P3251" s="40"/>
      <c r="Q3251" s="40"/>
      <c r="R3251" s="40"/>
    </row>
    <row r="3252" spans="1:18" x14ac:dyDescent="0.2">
      <c r="A3252" s="41">
        <v>45028</v>
      </c>
      <c r="B3252" s="40">
        <v>14.25</v>
      </c>
      <c r="C3252" s="40">
        <v>14.55</v>
      </c>
      <c r="D3252" s="40">
        <v>13.39</v>
      </c>
      <c r="E3252" s="40">
        <v>13.46</v>
      </c>
      <c r="K3252" s="40"/>
      <c r="P3252" s="40"/>
      <c r="Q3252" s="40"/>
      <c r="R3252" s="40"/>
    </row>
    <row r="3253" spans="1:18" x14ac:dyDescent="0.2">
      <c r="A3253" s="41">
        <v>45058</v>
      </c>
      <c r="B3253" s="40">
        <v>14.02</v>
      </c>
      <c r="C3253" s="40">
        <v>14.18</v>
      </c>
      <c r="D3253" s="40">
        <v>13.44</v>
      </c>
      <c r="E3253" s="40">
        <v>13.53</v>
      </c>
      <c r="K3253" s="40"/>
      <c r="P3253" s="40"/>
      <c r="Q3253" s="40"/>
      <c r="R3253" s="40"/>
    </row>
    <row r="3254" spans="1:18" x14ac:dyDescent="0.2">
      <c r="A3254" s="41">
        <v>45089</v>
      </c>
      <c r="B3254" s="40">
        <v>13.68</v>
      </c>
      <c r="C3254" s="40">
        <v>13.92</v>
      </c>
      <c r="D3254" s="40">
        <v>13.51</v>
      </c>
      <c r="E3254" s="40">
        <v>13.67</v>
      </c>
      <c r="K3254" s="40"/>
      <c r="P3254" s="40"/>
      <c r="Q3254" s="40"/>
      <c r="R3254" s="40"/>
    </row>
    <row r="3255" spans="1:18" x14ac:dyDescent="0.2">
      <c r="A3255" s="41">
        <v>45119</v>
      </c>
      <c r="B3255" s="40">
        <v>13.8</v>
      </c>
      <c r="C3255" s="40">
        <v>13.93</v>
      </c>
      <c r="D3255" s="40">
        <v>13.64</v>
      </c>
      <c r="E3255" s="40">
        <v>13.73</v>
      </c>
      <c r="K3255" s="40"/>
      <c r="P3255" s="40"/>
      <c r="Q3255" s="40"/>
      <c r="R3255" s="40"/>
    </row>
    <row r="3256" spans="1:18" x14ac:dyDescent="0.2">
      <c r="A3256" s="41">
        <v>45150</v>
      </c>
      <c r="B3256" s="40">
        <v>13.06</v>
      </c>
      <c r="C3256" s="40">
        <v>13.26</v>
      </c>
      <c r="D3256" s="40">
        <v>12.21</v>
      </c>
      <c r="E3256" s="40">
        <v>12.21</v>
      </c>
      <c r="K3256" s="40"/>
      <c r="P3256" s="40"/>
      <c r="Q3256" s="40"/>
      <c r="R3256" s="40"/>
    </row>
    <row r="3257" spans="1:18" x14ac:dyDescent="0.2">
      <c r="A3257" s="41">
        <v>45242</v>
      </c>
      <c r="B3257" s="40">
        <v>13.37</v>
      </c>
      <c r="C3257" s="40">
        <v>13.39</v>
      </c>
      <c r="D3257" s="40">
        <v>12.63</v>
      </c>
      <c r="E3257" s="40">
        <v>12.68</v>
      </c>
      <c r="K3257" s="40"/>
      <c r="P3257" s="40"/>
      <c r="Q3257" s="40"/>
      <c r="R3257" s="40"/>
    </row>
    <row r="3258" spans="1:18" x14ac:dyDescent="0.2">
      <c r="A3258" s="41">
        <v>45272</v>
      </c>
      <c r="B3258" s="40">
        <v>12.37</v>
      </c>
      <c r="C3258" s="40">
        <v>12.45</v>
      </c>
      <c r="D3258" s="40">
        <v>11.26</v>
      </c>
      <c r="E3258" s="40">
        <v>11.64</v>
      </c>
      <c r="K3258" s="40"/>
      <c r="P3258" s="40"/>
      <c r="Q3258" s="40"/>
      <c r="R3258" s="40"/>
    </row>
    <row r="3259" spans="1:18" x14ac:dyDescent="0.2">
      <c r="A3259" s="40" t="s">
        <v>2719</v>
      </c>
      <c r="B3259" s="40">
        <v>12.06</v>
      </c>
      <c r="C3259" s="40">
        <v>12.63</v>
      </c>
      <c r="D3259" s="40">
        <v>11.48</v>
      </c>
      <c r="E3259" s="40">
        <v>12.43</v>
      </c>
      <c r="K3259" s="40"/>
      <c r="P3259" s="40"/>
      <c r="Q3259" s="40"/>
      <c r="R3259" s="40"/>
    </row>
    <row r="3260" spans="1:18" x14ac:dyDescent="0.2">
      <c r="A3260" s="40" t="s">
        <v>2720</v>
      </c>
      <c r="B3260" s="40">
        <v>11.89</v>
      </c>
      <c r="C3260" s="40">
        <v>12.72</v>
      </c>
      <c r="D3260" s="40">
        <v>11.55</v>
      </c>
      <c r="E3260" s="40">
        <v>12.29</v>
      </c>
      <c r="K3260" s="40"/>
      <c r="P3260" s="40"/>
      <c r="Q3260" s="40"/>
      <c r="R3260" s="40"/>
    </row>
    <row r="3261" spans="1:18" x14ac:dyDescent="0.2">
      <c r="A3261" s="40" t="s">
        <v>2721</v>
      </c>
      <c r="B3261" s="40">
        <v>11.44</v>
      </c>
      <c r="C3261" s="40">
        <v>11.78</v>
      </c>
      <c r="D3261" s="40">
        <v>10.47</v>
      </c>
      <c r="E3261" s="40">
        <v>10.87</v>
      </c>
      <c r="K3261" s="40"/>
      <c r="P3261" s="40"/>
      <c r="Q3261" s="40"/>
      <c r="R3261" s="40"/>
    </row>
    <row r="3262" spans="1:18" x14ac:dyDescent="0.2">
      <c r="A3262" s="40" t="s">
        <v>2722</v>
      </c>
      <c r="B3262" s="40">
        <v>11.83</v>
      </c>
      <c r="C3262" s="40">
        <v>12.06</v>
      </c>
      <c r="D3262" s="40">
        <v>11.43</v>
      </c>
      <c r="E3262" s="40">
        <v>11.44</v>
      </c>
      <c r="K3262" s="40"/>
      <c r="P3262" s="40"/>
      <c r="Q3262" s="40"/>
      <c r="R3262" s="40"/>
    </row>
    <row r="3263" spans="1:18" x14ac:dyDescent="0.2">
      <c r="A3263" s="40" t="s">
        <v>2723</v>
      </c>
      <c r="B3263" s="40">
        <v>11.38</v>
      </c>
      <c r="C3263" s="40">
        <v>11.43</v>
      </c>
      <c r="D3263" s="40">
        <v>11.02</v>
      </c>
      <c r="E3263" s="40">
        <v>11.25</v>
      </c>
      <c r="K3263" s="40"/>
      <c r="P3263" s="40"/>
      <c r="Q3263" s="40"/>
      <c r="R3263" s="40"/>
    </row>
    <row r="3264" spans="1:18" x14ac:dyDescent="0.2">
      <c r="A3264" s="40" t="s">
        <v>2724</v>
      </c>
      <c r="B3264" s="40">
        <v>11.2</v>
      </c>
      <c r="C3264" s="40">
        <v>13.79</v>
      </c>
      <c r="D3264" s="40">
        <v>10.85</v>
      </c>
      <c r="E3264" s="40">
        <v>13.67</v>
      </c>
      <c r="K3264" s="40"/>
      <c r="P3264" s="40"/>
      <c r="Q3264" s="40"/>
      <c r="R3264" s="40"/>
    </row>
    <row r="3265" spans="1:18" x14ac:dyDescent="0.2">
      <c r="A3265" s="40" t="s">
        <v>2725</v>
      </c>
      <c r="B3265" s="40">
        <v>12.97</v>
      </c>
      <c r="C3265" s="40">
        <v>14.54</v>
      </c>
      <c r="D3265" s="40">
        <v>12.87</v>
      </c>
      <c r="E3265" s="40">
        <v>13.11</v>
      </c>
      <c r="K3265" s="40"/>
      <c r="P3265" s="40"/>
      <c r="Q3265" s="40"/>
      <c r="R3265" s="40"/>
    </row>
    <row r="3266" spans="1:18" x14ac:dyDescent="0.2">
      <c r="A3266" s="40" t="s">
        <v>2726</v>
      </c>
      <c r="B3266" s="40">
        <v>12.99</v>
      </c>
      <c r="C3266" s="40">
        <v>13.16</v>
      </c>
      <c r="D3266" s="40">
        <v>11.49</v>
      </c>
      <c r="E3266" s="40">
        <v>11.56</v>
      </c>
      <c r="K3266" s="40"/>
      <c r="P3266" s="40"/>
      <c r="Q3266" s="40"/>
      <c r="R3266" s="40"/>
    </row>
    <row r="3267" spans="1:18" x14ac:dyDescent="0.2">
      <c r="A3267" s="40" t="s">
        <v>2727</v>
      </c>
      <c r="B3267" s="40">
        <v>13.62</v>
      </c>
      <c r="C3267" s="40">
        <v>13.63</v>
      </c>
      <c r="D3267" s="40">
        <v>12.36</v>
      </c>
      <c r="E3267" s="40">
        <v>12.45</v>
      </c>
      <c r="K3267" s="40"/>
      <c r="P3267" s="40"/>
      <c r="Q3267" s="40"/>
      <c r="R3267" s="40"/>
    </row>
    <row r="3268" spans="1:18" x14ac:dyDescent="0.2">
      <c r="A3268" s="40" t="s">
        <v>2728</v>
      </c>
      <c r="B3268" s="40">
        <v>12.56</v>
      </c>
      <c r="C3268" s="40">
        <v>12.56</v>
      </c>
      <c r="D3268" s="40">
        <v>11.22</v>
      </c>
      <c r="E3268" s="40">
        <v>11.23</v>
      </c>
      <c r="K3268" s="40"/>
      <c r="P3268" s="40"/>
      <c r="Q3268" s="40"/>
      <c r="R3268" s="40"/>
    </row>
    <row r="3269" spans="1:18" x14ac:dyDescent="0.2">
      <c r="A3269" s="40" t="s">
        <v>2729</v>
      </c>
      <c r="B3269" s="40">
        <v>11.51</v>
      </c>
      <c r="C3269" s="40">
        <v>11.61</v>
      </c>
      <c r="D3269" s="40">
        <v>11.17</v>
      </c>
      <c r="E3269" s="40">
        <v>11.23</v>
      </c>
      <c r="K3269" s="40"/>
      <c r="P3269" s="40"/>
      <c r="Q3269" s="40"/>
      <c r="R3269" s="40"/>
    </row>
    <row r="3270" spans="1:18" x14ac:dyDescent="0.2">
      <c r="A3270" s="40" t="s">
        <v>2730</v>
      </c>
      <c r="B3270" s="40">
        <v>11.57</v>
      </c>
      <c r="C3270" s="40">
        <v>12.21</v>
      </c>
      <c r="D3270" s="40">
        <v>10.67</v>
      </c>
      <c r="E3270" s="40">
        <v>10.67</v>
      </c>
      <c r="K3270" s="40"/>
      <c r="P3270" s="40"/>
      <c r="Q3270" s="40"/>
      <c r="R3270" s="40"/>
    </row>
    <row r="3271" spans="1:18" x14ac:dyDescent="0.2">
      <c r="A3271" s="41">
        <v>45323</v>
      </c>
      <c r="B3271" s="40">
        <v>13.71</v>
      </c>
      <c r="C3271" s="40">
        <v>13.93</v>
      </c>
      <c r="D3271" s="40">
        <v>12.55</v>
      </c>
      <c r="E3271" s="40">
        <v>12.59</v>
      </c>
      <c r="K3271" s="40"/>
      <c r="P3271" s="40"/>
      <c r="Q3271" s="40"/>
      <c r="R3271" s="40"/>
    </row>
    <row r="3272" spans="1:18" x14ac:dyDescent="0.2">
      <c r="A3272" s="41">
        <v>45352</v>
      </c>
      <c r="B3272" s="40">
        <v>13.26</v>
      </c>
      <c r="C3272" s="40">
        <v>13.6</v>
      </c>
      <c r="D3272" s="40">
        <v>12.71</v>
      </c>
      <c r="E3272" s="40">
        <v>13.24</v>
      </c>
      <c r="K3272" s="40"/>
      <c r="P3272" s="40"/>
      <c r="Q3272" s="40"/>
      <c r="R3272" s="40"/>
    </row>
    <row r="3273" spans="1:18" x14ac:dyDescent="0.2">
      <c r="A3273" s="41">
        <v>45383</v>
      </c>
      <c r="B3273" s="40">
        <v>13.57</v>
      </c>
      <c r="C3273" s="40">
        <v>13.59</v>
      </c>
      <c r="D3273" s="40">
        <v>12.75</v>
      </c>
      <c r="E3273" s="40">
        <v>13.06</v>
      </c>
      <c r="K3273" s="40"/>
      <c r="P3273" s="40"/>
      <c r="Q3273" s="40"/>
      <c r="R3273" s="40"/>
    </row>
    <row r="3274" spans="1:18" x14ac:dyDescent="0.2">
      <c r="A3274" s="41">
        <v>45413</v>
      </c>
      <c r="B3274" s="40">
        <v>12.52</v>
      </c>
      <c r="C3274" s="40">
        <v>12.54</v>
      </c>
      <c r="D3274" s="40">
        <v>11.71</v>
      </c>
      <c r="E3274" s="40">
        <v>11.71</v>
      </c>
      <c r="K3274" s="40"/>
      <c r="P3274" s="40"/>
      <c r="Q3274" s="40"/>
      <c r="R3274" s="40"/>
    </row>
    <row r="3275" spans="1:18" x14ac:dyDescent="0.2">
      <c r="A3275" s="41">
        <v>45505</v>
      </c>
      <c r="B3275" s="40">
        <v>12.91</v>
      </c>
      <c r="C3275" s="40">
        <v>12.99</v>
      </c>
      <c r="D3275" s="40">
        <v>11.68</v>
      </c>
      <c r="E3275" s="40">
        <v>11.7</v>
      </c>
      <c r="K3275" s="40"/>
      <c r="P3275" s="40"/>
      <c r="Q3275" s="40"/>
      <c r="R3275" s="40"/>
    </row>
    <row r="3276" spans="1:18" x14ac:dyDescent="0.2">
      <c r="A3276" s="41">
        <v>45536</v>
      </c>
      <c r="B3276" s="40">
        <v>12.03</v>
      </c>
      <c r="C3276" s="40">
        <v>12.2</v>
      </c>
      <c r="D3276" s="40">
        <v>11.33</v>
      </c>
      <c r="E3276" s="40">
        <v>11.35</v>
      </c>
      <c r="K3276" s="40"/>
      <c r="P3276" s="40"/>
      <c r="Q3276" s="40"/>
      <c r="R3276" s="40"/>
    </row>
    <row r="3277" spans="1:18" x14ac:dyDescent="0.2">
      <c r="A3277" s="41">
        <v>45566</v>
      </c>
      <c r="B3277" s="40">
        <v>11.41</v>
      </c>
      <c r="C3277" s="40">
        <v>11.53</v>
      </c>
      <c r="D3277" s="40">
        <v>11</v>
      </c>
      <c r="E3277" s="40">
        <v>11.09</v>
      </c>
      <c r="K3277" s="40"/>
      <c r="P3277" s="40"/>
      <c r="Q3277" s="40"/>
      <c r="R3277" s="40"/>
    </row>
    <row r="3278" spans="1:18" x14ac:dyDescent="0.2">
      <c r="A3278" s="41">
        <v>45597</v>
      </c>
      <c r="B3278" s="40">
        <v>10.88</v>
      </c>
      <c r="C3278" s="40">
        <v>12.37</v>
      </c>
      <c r="D3278" s="40">
        <v>10.55</v>
      </c>
      <c r="E3278" s="40">
        <v>10.75</v>
      </c>
      <c r="K3278" s="40"/>
      <c r="P3278" s="40"/>
      <c r="Q3278" s="40"/>
      <c r="R3278" s="40"/>
    </row>
    <row r="3279" spans="1:18" x14ac:dyDescent="0.2">
      <c r="A3279" s="41">
        <v>45627</v>
      </c>
      <c r="B3279" s="40">
        <v>10.99</v>
      </c>
      <c r="C3279" s="40">
        <v>11.62</v>
      </c>
      <c r="D3279" s="40">
        <v>10.34</v>
      </c>
      <c r="E3279" s="40">
        <v>10.52</v>
      </c>
      <c r="K3279" s="40"/>
      <c r="P3279" s="40"/>
      <c r="Q3279" s="40"/>
      <c r="R3279" s="40"/>
    </row>
    <row r="3280" spans="1:18" x14ac:dyDescent="0.2">
      <c r="A3280" s="40" t="s">
        <v>2731</v>
      </c>
      <c r="B3280" s="40">
        <v>13.1</v>
      </c>
      <c r="C3280" s="40">
        <v>13.62</v>
      </c>
      <c r="D3280" s="40">
        <v>12.46</v>
      </c>
      <c r="E3280" s="40">
        <v>12.64</v>
      </c>
      <c r="K3280" s="40"/>
      <c r="P3280" s="40"/>
      <c r="Q3280" s="40"/>
      <c r="R3280" s="40"/>
    </row>
    <row r="3281" spans="1:18" x14ac:dyDescent="0.2">
      <c r="A3281" s="40" t="s">
        <v>2732</v>
      </c>
      <c r="B3281" s="40">
        <v>14.11</v>
      </c>
      <c r="C3281" s="40">
        <v>14.54</v>
      </c>
      <c r="D3281" s="40">
        <v>13.17</v>
      </c>
      <c r="E3281" s="40">
        <v>13.32</v>
      </c>
      <c r="K3281" s="40"/>
      <c r="P3281" s="40"/>
      <c r="Q3281" s="40"/>
      <c r="R3281" s="40"/>
    </row>
    <row r="3282" spans="1:18" x14ac:dyDescent="0.2">
      <c r="A3282" s="40" t="s">
        <v>2733</v>
      </c>
      <c r="B3282" s="40">
        <v>13.3</v>
      </c>
      <c r="C3282" s="40">
        <v>13.81</v>
      </c>
      <c r="D3282" s="40">
        <v>12.66</v>
      </c>
      <c r="E3282" s="40">
        <v>12.66</v>
      </c>
      <c r="K3282" s="40"/>
      <c r="P3282" s="40"/>
      <c r="Q3282" s="40"/>
      <c r="R3282" s="40"/>
    </row>
    <row r="3283" spans="1:18" x14ac:dyDescent="0.2">
      <c r="A3283" s="40" t="s">
        <v>2734</v>
      </c>
      <c r="B3283" s="40">
        <v>12.59</v>
      </c>
      <c r="C3283" s="40">
        <v>13.05</v>
      </c>
      <c r="D3283" s="40">
        <v>11.81</v>
      </c>
      <c r="E3283" s="40">
        <v>11.82</v>
      </c>
      <c r="K3283" s="40"/>
      <c r="P3283" s="40"/>
      <c r="Q3283" s="40"/>
      <c r="R3283" s="40"/>
    </row>
    <row r="3284" spans="1:18" x14ac:dyDescent="0.2">
      <c r="A3284" s="40" t="s">
        <v>2735</v>
      </c>
      <c r="B3284" s="40">
        <v>13.72</v>
      </c>
      <c r="C3284" s="40">
        <v>13.89</v>
      </c>
      <c r="D3284" s="40">
        <v>13.15</v>
      </c>
      <c r="E3284" s="40">
        <v>13.18</v>
      </c>
      <c r="K3284" s="40"/>
      <c r="P3284" s="40"/>
      <c r="Q3284" s="40"/>
      <c r="R3284" s="40"/>
    </row>
    <row r="3285" spans="1:18" x14ac:dyDescent="0.2">
      <c r="A3285" s="40" t="s">
        <v>2736</v>
      </c>
      <c r="B3285" s="40">
        <v>13.58</v>
      </c>
      <c r="C3285" s="40">
        <v>13.68</v>
      </c>
      <c r="D3285" s="40">
        <v>12.47</v>
      </c>
      <c r="E3285" s="40">
        <v>12.49</v>
      </c>
      <c r="K3285" s="40"/>
      <c r="P3285" s="40"/>
      <c r="Q3285" s="40"/>
      <c r="R3285" s="40"/>
    </row>
    <row r="3286" spans="1:18" x14ac:dyDescent="0.2">
      <c r="A3286" s="40" t="s">
        <v>2737</v>
      </c>
      <c r="B3286" s="40">
        <v>12.81</v>
      </c>
      <c r="C3286" s="40">
        <v>13.59</v>
      </c>
      <c r="D3286" s="40">
        <v>12.55</v>
      </c>
      <c r="E3286" s="40">
        <v>13.58</v>
      </c>
      <c r="K3286" s="40"/>
      <c r="P3286" s="40"/>
      <c r="Q3286" s="40"/>
      <c r="R3286" s="40"/>
    </row>
    <row r="3287" spans="1:18" x14ac:dyDescent="0.2">
      <c r="A3287" s="40" t="s">
        <v>2738</v>
      </c>
      <c r="B3287" s="40">
        <v>13.45</v>
      </c>
      <c r="C3287" s="40">
        <v>14.07</v>
      </c>
      <c r="D3287" s="40">
        <v>13.43</v>
      </c>
      <c r="E3287" s="40">
        <v>13.74</v>
      </c>
      <c r="K3287" s="40"/>
      <c r="P3287" s="40"/>
      <c r="Q3287" s="40"/>
      <c r="R3287" s="40"/>
    </row>
    <row r="3288" spans="1:18" x14ac:dyDescent="0.2">
      <c r="A3288" s="40" t="s">
        <v>2739</v>
      </c>
      <c r="B3288" s="40">
        <v>13.88</v>
      </c>
      <c r="C3288" s="40">
        <v>13.92</v>
      </c>
      <c r="D3288" s="40">
        <v>12.95</v>
      </c>
      <c r="E3288" s="40">
        <v>13.07</v>
      </c>
      <c r="K3288" s="40"/>
      <c r="P3288" s="40"/>
      <c r="Q3288" s="40"/>
      <c r="R3288" s="40"/>
    </row>
    <row r="3289" spans="1:18" x14ac:dyDescent="0.2">
      <c r="A3289" s="40" t="s">
        <v>2740</v>
      </c>
      <c r="B3289" s="40">
        <v>14.64</v>
      </c>
      <c r="C3289" s="40">
        <v>14.65</v>
      </c>
      <c r="D3289" s="40">
        <v>13.88</v>
      </c>
      <c r="E3289" s="40">
        <v>13.95</v>
      </c>
      <c r="K3289" s="40"/>
      <c r="P3289" s="40"/>
      <c r="Q3289" s="40"/>
      <c r="R3289" s="40"/>
    </row>
    <row r="3290" spans="1:18" x14ac:dyDescent="0.2">
      <c r="A3290" s="40" t="s">
        <v>2741</v>
      </c>
      <c r="B3290" s="40">
        <v>14.07</v>
      </c>
      <c r="C3290" s="40">
        <v>14.21</v>
      </c>
      <c r="D3290" s="40">
        <v>13.62</v>
      </c>
      <c r="E3290" s="40">
        <v>13.72</v>
      </c>
      <c r="K3290" s="40"/>
      <c r="P3290" s="40"/>
      <c r="Q3290" s="40"/>
      <c r="R3290" s="40"/>
    </row>
    <row r="3291" spans="1:18" x14ac:dyDescent="0.2">
      <c r="A3291" s="40" t="s">
        <v>2742</v>
      </c>
      <c r="B3291" s="40">
        <v>13.54</v>
      </c>
      <c r="C3291" s="40">
        <v>15.05</v>
      </c>
      <c r="D3291" s="40">
        <v>13.51</v>
      </c>
      <c r="E3291" s="40">
        <v>14.55</v>
      </c>
      <c r="K3291" s="40"/>
      <c r="P3291" s="40"/>
      <c r="Q3291" s="40"/>
      <c r="R3291" s="40"/>
    </row>
    <row r="3292" spans="1:18" x14ac:dyDescent="0.2">
      <c r="A3292" s="41">
        <v>45293</v>
      </c>
      <c r="B3292" s="40">
        <v>14.32</v>
      </c>
      <c r="C3292" s="40">
        <v>14.76</v>
      </c>
      <c r="D3292" s="40">
        <v>13.22</v>
      </c>
      <c r="E3292" s="40">
        <v>13.28</v>
      </c>
      <c r="K3292" s="40"/>
      <c r="P3292" s="40"/>
      <c r="Q3292" s="40"/>
      <c r="R3292" s="40"/>
    </row>
    <row r="3293" spans="1:18" x14ac:dyDescent="0.2">
      <c r="A3293" s="41">
        <v>45324</v>
      </c>
      <c r="B3293" s="40">
        <v>13.56</v>
      </c>
      <c r="C3293" s="40">
        <v>13.72</v>
      </c>
      <c r="D3293" s="40">
        <v>12.63</v>
      </c>
      <c r="E3293" s="40">
        <v>13.04</v>
      </c>
      <c r="K3293" s="40"/>
      <c r="P3293" s="40"/>
      <c r="Q3293" s="40"/>
      <c r="R3293" s="40"/>
    </row>
    <row r="3294" spans="1:18" x14ac:dyDescent="0.2">
      <c r="A3294" s="41">
        <v>45414</v>
      </c>
      <c r="B3294" s="40">
        <v>14.1</v>
      </c>
      <c r="C3294" s="40">
        <v>14.63</v>
      </c>
      <c r="D3294" s="40">
        <v>13.25</v>
      </c>
      <c r="E3294" s="40">
        <v>13.35</v>
      </c>
      <c r="K3294" s="40"/>
      <c r="P3294" s="40"/>
      <c r="Q3294" s="40"/>
      <c r="R3294" s="40"/>
    </row>
    <row r="3295" spans="1:18" x14ac:dyDescent="0.2">
      <c r="A3295" s="41">
        <v>45445</v>
      </c>
      <c r="B3295" s="40">
        <v>13.18</v>
      </c>
      <c r="C3295" s="40">
        <v>13.58</v>
      </c>
      <c r="D3295" s="40">
        <v>12.26</v>
      </c>
      <c r="E3295" s="40">
        <v>12.46</v>
      </c>
      <c r="K3295" s="40"/>
      <c r="P3295" s="40"/>
      <c r="Q3295" s="40"/>
      <c r="R3295" s="40"/>
    </row>
    <row r="3296" spans="1:18" x14ac:dyDescent="0.2">
      <c r="A3296" s="41">
        <v>45475</v>
      </c>
      <c r="B3296" s="40">
        <v>12.38</v>
      </c>
      <c r="C3296" s="40">
        <v>13.17</v>
      </c>
      <c r="D3296" s="40">
        <v>11.95</v>
      </c>
      <c r="E3296" s="40">
        <v>11.96</v>
      </c>
      <c r="K3296" s="40"/>
      <c r="P3296" s="40"/>
      <c r="Q3296" s="40"/>
      <c r="R3296" s="40"/>
    </row>
    <row r="3297" spans="1:18" x14ac:dyDescent="0.2">
      <c r="A3297" s="41">
        <v>45506</v>
      </c>
      <c r="B3297" s="40">
        <v>12.34</v>
      </c>
      <c r="C3297" s="40">
        <v>12.34</v>
      </c>
      <c r="D3297" s="40">
        <v>11.56</v>
      </c>
      <c r="E3297" s="40">
        <v>11.6</v>
      </c>
      <c r="K3297" s="40"/>
      <c r="P3297" s="40"/>
      <c r="Q3297" s="40"/>
      <c r="R3297" s="40"/>
    </row>
    <row r="3298" spans="1:18" x14ac:dyDescent="0.2">
      <c r="A3298" s="41">
        <v>45537</v>
      </c>
      <c r="B3298" s="40">
        <v>11.96</v>
      </c>
      <c r="C3298" s="40">
        <v>11.96</v>
      </c>
      <c r="D3298" s="40">
        <v>11.25</v>
      </c>
      <c r="E3298" s="40">
        <v>11.61</v>
      </c>
      <c r="K3298" s="40"/>
      <c r="P3298" s="40"/>
      <c r="Q3298" s="40"/>
      <c r="R3298" s="40"/>
    </row>
    <row r="3299" spans="1:18" x14ac:dyDescent="0.2">
      <c r="A3299" s="41">
        <v>45628</v>
      </c>
      <c r="B3299" s="40">
        <v>12.61</v>
      </c>
      <c r="C3299" s="40">
        <v>13.23</v>
      </c>
      <c r="D3299" s="40">
        <v>12.49</v>
      </c>
      <c r="E3299" s="40">
        <v>13.03</v>
      </c>
      <c r="K3299" s="40"/>
      <c r="P3299" s="40"/>
      <c r="Q3299" s="40"/>
      <c r="R3299" s="40"/>
    </row>
    <row r="3300" spans="1:18" x14ac:dyDescent="0.2">
      <c r="A3300" s="40" t="s">
        <v>2743</v>
      </c>
      <c r="B3300" s="40">
        <v>14.05</v>
      </c>
      <c r="C3300" s="40">
        <v>18.2</v>
      </c>
      <c r="D3300" s="40">
        <v>13.59</v>
      </c>
      <c r="E3300" s="40">
        <v>15</v>
      </c>
      <c r="K3300" s="40"/>
      <c r="P3300" s="40"/>
      <c r="Q3300" s="40"/>
      <c r="R3300" s="40"/>
    </row>
    <row r="3301" spans="1:18" x14ac:dyDescent="0.2">
      <c r="A3301" s="40" t="s">
        <v>2744</v>
      </c>
      <c r="B3301" s="40">
        <v>13.68</v>
      </c>
      <c r="C3301" s="40">
        <v>14.36</v>
      </c>
      <c r="D3301" s="40">
        <v>12.79</v>
      </c>
      <c r="E3301" s="40">
        <v>12.92</v>
      </c>
      <c r="K3301" s="40"/>
      <c r="P3301" s="40"/>
      <c r="Q3301" s="40"/>
      <c r="R3301" s="40"/>
    </row>
    <row r="3302" spans="1:18" x14ac:dyDescent="0.2">
      <c r="A3302" s="40" t="s">
        <v>2745</v>
      </c>
      <c r="B3302" s="40">
        <v>13</v>
      </c>
      <c r="C3302" s="40">
        <v>13.41</v>
      </c>
      <c r="D3302" s="40">
        <v>12.42</v>
      </c>
      <c r="E3302" s="40">
        <v>12.47</v>
      </c>
      <c r="K3302" s="40"/>
      <c r="P3302" s="40"/>
      <c r="Q3302" s="40"/>
      <c r="R3302" s="40"/>
    </row>
    <row r="3303" spans="1:18" x14ac:dyDescent="0.2">
      <c r="A3303" s="40" t="s">
        <v>2746</v>
      </c>
      <c r="B3303" s="40">
        <v>13.07</v>
      </c>
      <c r="C3303" s="40">
        <v>13.45</v>
      </c>
      <c r="D3303" s="40">
        <v>11.91</v>
      </c>
      <c r="E3303" s="40">
        <v>12.57</v>
      </c>
      <c r="K3303" s="40"/>
      <c r="P3303" s="40"/>
      <c r="Q3303" s="40"/>
      <c r="R3303" s="40"/>
    </row>
    <row r="3304" spans="1:18" x14ac:dyDescent="0.2">
      <c r="A3304" s="40" t="s">
        <v>2747</v>
      </c>
      <c r="B3304" s="40">
        <v>14.65</v>
      </c>
      <c r="C3304" s="40">
        <v>15.72</v>
      </c>
      <c r="D3304" s="40">
        <v>14.54</v>
      </c>
      <c r="E3304" s="40">
        <v>14.85</v>
      </c>
      <c r="K3304" s="40"/>
      <c r="P3304" s="40"/>
      <c r="Q3304" s="40"/>
      <c r="R3304" s="40"/>
    </row>
    <row r="3305" spans="1:18" x14ac:dyDescent="0.2">
      <c r="A3305" s="40" t="s">
        <v>2748</v>
      </c>
      <c r="B3305" s="40">
        <v>15.44</v>
      </c>
      <c r="C3305" s="40">
        <v>15.73</v>
      </c>
      <c r="D3305" s="40">
        <v>14.46</v>
      </c>
      <c r="E3305" s="40">
        <v>14.65</v>
      </c>
      <c r="K3305" s="40"/>
      <c r="P3305" s="40"/>
      <c r="Q3305" s="40"/>
      <c r="R3305" s="40"/>
    </row>
    <row r="3306" spans="1:18" x14ac:dyDescent="0.2">
      <c r="A3306" s="40" t="s">
        <v>2749</v>
      </c>
      <c r="B3306" s="40">
        <v>13.18</v>
      </c>
      <c r="C3306" s="40">
        <v>13.79</v>
      </c>
      <c r="D3306" s="40">
        <v>12.86</v>
      </c>
      <c r="E3306" s="40">
        <v>13.17</v>
      </c>
      <c r="K3306" s="40"/>
      <c r="P3306" s="40"/>
      <c r="Q3306" s="40"/>
      <c r="R3306" s="40"/>
    </row>
    <row r="3307" spans="1:18" x14ac:dyDescent="0.2">
      <c r="A3307" s="40" t="s">
        <v>2750</v>
      </c>
      <c r="B3307" s="40">
        <v>12.76</v>
      </c>
      <c r="C3307" s="40">
        <v>13.03</v>
      </c>
      <c r="D3307" s="40">
        <v>11.79</v>
      </c>
      <c r="E3307" s="40">
        <v>11.92</v>
      </c>
      <c r="K3307" s="40"/>
      <c r="P3307" s="40"/>
      <c r="Q3307" s="40"/>
      <c r="R3307" s="40"/>
    </row>
    <row r="3308" spans="1:18" x14ac:dyDescent="0.2">
      <c r="A3308" s="40" t="s">
        <v>2751</v>
      </c>
      <c r="B3308" s="40">
        <v>13.47</v>
      </c>
      <c r="C3308" s="40">
        <v>13.6</v>
      </c>
      <c r="D3308" s="40">
        <v>13.02</v>
      </c>
      <c r="E3308" s="40">
        <v>13.13</v>
      </c>
      <c r="K3308" s="40"/>
      <c r="P3308" s="40"/>
      <c r="Q3308" s="40"/>
      <c r="R3308" s="40"/>
    </row>
    <row r="3309" spans="1:18" x14ac:dyDescent="0.2">
      <c r="A3309" s="40" t="s">
        <v>2752</v>
      </c>
      <c r="B3309" s="40">
        <v>13.34</v>
      </c>
      <c r="C3309" s="40">
        <v>13.41</v>
      </c>
      <c r="D3309" s="40">
        <v>12.84</v>
      </c>
      <c r="E3309" s="40">
        <v>12.84</v>
      </c>
      <c r="K3309" s="40"/>
      <c r="P3309" s="40"/>
      <c r="Q3309" s="40"/>
      <c r="R3309" s="40"/>
    </row>
    <row r="3310" spans="1:18" x14ac:dyDescent="0.2">
      <c r="A3310" s="40" t="s">
        <v>2753</v>
      </c>
      <c r="B3310" s="40">
        <v>13.36</v>
      </c>
      <c r="C3310" s="40">
        <v>13.52</v>
      </c>
      <c r="D3310" s="40">
        <v>12.82</v>
      </c>
      <c r="E3310" s="40">
        <v>13.52</v>
      </c>
      <c r="K3310" s="40"/>
      <c r="P3310" s="40"/>
      <c r="Q3310" s="40"/>
      <c r="R3310" s="40"/>
    </row>
    <row r="3311" spans="1:18" x14ac:dyDescent="0.2">
      <c r="A3311" s="40" t="s">
        <v>2754</v>
      </c>
      <c r="B3311" s="40">
        <v>13.03</v>
      </c>
      <c r="C3311" s="40">
        <v>13.41</v>
      </c>
      <c r="D3311" s="40">
        <v>12.18</v>
      </c>
      <c r="E3311" s="40">
        <v>12.48</v>
      </c>
      <c r="K3311" s="40"/>
      <c r="P3311" s="40"/>
      <c r="Q3311" s="40"/>
      <c r="R3311" s="40"/>
    </row>
    <row r="3312" spans="1:18" x14ac:dyDescent="0.2">
      <c r="A3312" s="41">
        <v>45294</v>
      </c>
      <c r="B3312" s="40">
        <v>12.55</v>
      </c>
      <c r="C3312" s="40">
        <v>12.94</v>
      </c>
      <c r="D3312" s="40">
        <v>11.78</v>
      </c>
      <c r="E3312" s="40">
        <v>11.82</v>
      </c>
      <c r="K3312" s="40"/>
      <c r="P3312" s="40"/>
      <c r="Q3312" s="40"/>
      <c r="R3312" s="40"/>
    </row>
    <row r="3313" spans="1:18" x14ac:dyDescent="0.2">
      <c r="A3313" s="41">
        <v>45385</v>
      </c>
      <c r="B3313" s="40">
        <v>13.46</v>
      </c>
      <c r="C3313" s="40">
        <v>13.48</v>
      </c>
      <c r="D3313" s="40">
        <v>13.01</v>
      </c>
      <c r="E3313" s="40">
        <v>13.23</v>
      </c>
      <c r="K3313" s="40"/>
      <c r="P3313" s="40"/>
      <c r="Q3313" s="40"/>
      <c r="R3313" s="40"/>
    </row>
    <row r="3314" spans="1:18" x14ac:dyDescent="0.2">
      <c r="A3314" s="41">
        <v>45415</v>
      </c>
      <c r="B3314" s="40">
        <v>13.9</v>
      </c>
      <c r="C3314" s="40">
        <v>15.82</v>
      </c>
      <c r="D3314" s="40">
        <v>13.81</v>
      </c>
      <c r="E3314" s="40">
        <v>14.88</v>
      </c>
      <c r="K3314" s="40"/>
      <c r="P3314" s="40"/>
      <c r="Q3314" s="40"/>
      <c r="R3314" s="40"/>
    </row>
    <row r="3315" spans="1:18" x14ac:dyDescent="0.2">
      <c r="A3315" s="41">
        <v>45446</v>
      </c>
      <c r="B3315" s="40">
        <v>14.33</v>
      </c>
      <c r="C3315" s="40">
        <v>15.84</v>
      </c>
      <c r="D3315" s="40">
        <v>14.27</v>
      </c>
      <c r="E3315" s="40">
        <v>14.88</v>
      </c>
      <c r="K3315" s="40"/>
      <c r="P3315" s="40"/>
      <c r="Q3315" s="40"/>
      <c r="R3315" s="40"/>
    </row>
    <row r="3316" spans="1:18" x14ac:dyDescent="0.2">
      <c r="A3316" s="41">
        <v>45476</v>
      </c>
      <c r="B3316" s="40">
        <v>14.83</v>
      </c>
      <c r="C3316" s="40">
        <v>15.12</v>
      </c>
      <c r="D3316" s="40">
        <v>14.47</v>
      </c>
      <c r="E3316" s="40">
        <v>14.55</v>
      </c>
      <c r="K3316" s="40"/>
      <c r="P3316" s="40"/>
      <c r="Q3316" s="40"/>
      <c r="R3316" s="40"/>
    </row>
    <row r="3317" spans="1:18" x14ac:dyDescent="0.2">
      <c r="A3317" s="41">
        <v>45507</v>
      </c>
      <c r="B3317" s="40">
        <v>14.21</v>
      </c>
      <c r="C3317" s="40">
        <v>15.72</v>
      </c>
      <c r="D3317" s="40">
        <v>14.1</v>
      </c>
      <c r="E3317" s="40">
        <v>14.63</v>
      </c>
      <c r="K3317" s="40"/>
      <c r="P3317" s="40"/>
      <c r="Q3317" s="40"/>
      <c r="R3317" s="40"/>
    </row>
    <row r="3318" spans="1:18" x14ac:dyDescent="0.2">
      <c r="A3318" s="41">
        <v>45599</v>
      </c>
      <c r="B3318" s="40">
        <v>16.89</v>
      </c>
      <c r="C3318" s="40">
        <v>17.5</v>
      </c>
      <c r="D3318" s="40">
        <v>16.2</v>
      </c>
      <c r="E3318" s="40">
        <v>16.46</v>
      </c>
      <c r="K3318" s="40"/>
      <c r="P3318" s="40"/>
      <c r="Q3318" s="40"/>
      <c r="R3318" s="40"/>
    </row>
    <row r="3319" spans="1:18" x14ac:dyDescent="0.2">
      <c r="A3319" s="41">
        <v>45629</v>
      </c>
      <c r="B3319" s="40">
        <v>14.96</v>
      </c>
      <c r="C3319" s="40">
        <v>15.87</v>
      </c>
      <c r="D3319" s="40">
        <v>14</v>
      </c>
      <c r="E3319" s="40">
        <v>14.07</v>
      </c>
      <c r="K3319" s="40"/>
      <c r="P3319" s="40"/>
      <c r="Q3319" s="40"/>
      <c r="R3319" s="40"/>
    </row>
    <row r="3320" spans="1:18" x14ac:dyDescent="0.2">
      <c r="A3320" s="40" t="s">
        <v>2755</v>
      </c>
      <c r="B3320" s="40">
        <v>14.21</v>
      </c>
      <c r="C3320" s="40">
        <v>14.46</v>
      </c>
      <c r="D3320" s="40">
        <v>13.9</v>
      </c>
      <c r="E3320" s="40">
        <v>14.1</v>
      </c>
      <c r="K3320" s="40"/>
      <c r="P3320" s="40"/>
      <c r="Q3320" s="40"/>
      <c r="R3320" s="40"/>
    </row>
    <row r="3321" spans="1:18" x14ac:dyDescent="0.2">
      <c r="A3321" s="40" t="s">
        <v>2756</v>
      </c>
      <c r="B3321" s="40">
        <v>13.82</v>
      </c>
      <c r="C3321" s="40">
        <v>16.37</v>
      </c>
      <c r="D3321" s="40">
        <v>13.8</v>
      </c>
      <c r="E3321" s="40">
        <v>14.87</v>
      </c>
      <c r="K3321" s="40"/>
      <c r="P3321" s="40"/>
      <c r="Q3321" s="40"/>
      <c r="R3321" s="40"/>
    </row>
    <row r="3322" spans="1:18" x14ac:dyDescent="0.2">
      <c r="A3322" s="40" t="s">
        <v>2757</v>
      </c>
      <c r="B3322" s="40">
        <v>15.3</v>
      </c>
      <c r="C3322" s="40">
        <v>15.99</v>
      </c>
      <c r="D3322" s="40">
        <v>14.12</v>
      </c>
      <c r="E3322" s="40">
        <v>14.16</v>
      </c>
      <c r="K3322" s="40"/>
      <c r="P3322" s="40"/>
      <c r="Q3322" s="40"/>
      <c r="R3322" s="40"/>
    </row>
    <row r="3323" spans="1:18" x14ac:dyDescent="0.2">
      <c r="A3323" s="40" t="s">
        <v>2758</v>
      </c>
      <c r="B3323" s="40">
        <v>15.11</v>
      </c>
      <c r="C3323" s="40">
        <v>15.18</v>
      </c>
      <c r="D3323" s="40">
        <v>14.41</v>
      </c>
      <c r="E3323" s="40">
        <v>14.5</v>
      </c>
      <c r="K3323" s="40"/>
      <c r="P3323" s="40"/>
      <c r="Q3323" s="40"/>
      <c r="R3323" s="40"/>
    </row>
    <row r="3324" spans="1:18" x14ac:dyDescent="0.2">
      <c r="A3324" s="40" t="s">
        <v>2759</v>
      </c>
      <c r="B3324" s="40">
        <v>14.73</v>
      </c>
      <c r="C3324" s="40">
        <v>14.85</v>
      </c>
      <c r="D3324" s="40">
        <v>13.59</v>
      </c>
      <c r="E3324" s="40">
        <v>13.64</v>
      </c>
      <c r="K3324" s="40"/>
      <c r="P3324" s="40"/>
      <c r="Q3324" s="40"/>
      <c r="R3324" s="40"/>
    </row>
    <row r="3325" spans="1:18" x14ac:dyDescent="0.2">
      <c r="A3325" s="40" t="s">
        <v>2760</v>
      </c>
      <c r="B3325" s="40">
        <v>14.24</v>
      </c>
      <c r="C3325" s="40">
        <v>14.34</v>
      </c>
      <c r="D3325" s="40">
        <v>11.58</v>
      </c>
      <c r="E3325" s="40">
        <v>11.58</v>
      </c>
      <c r="K3325" s="40"/>
      <c r="P3325" s="40"/>
      <c r="Q3325" s="40"/>
      <c r="R3325" s="40"/>
    </row>
    <row r="3326" spans="1:18" x14ac:dyDescent="0.2">
      <c r="A3326" s="40" t="s">
        <v>2761</v>
      </c>
      <c r="B3326" s="40">
        <v>11.08</v>
      </c>
      <c r="C3326" s="40">
        <v>11.71</v>
      </c>
      <c r="D3326" s="40">
        <v>11.08</v>
      </c>
      <c r="E3326" s="40">
        <v>11.17</v>
      </c>
      <c r="K3326" s="40"/>
      <c r="P3326" s="40"/>
      <c r="Q3326" s="40"/>
      <c r="R3326" s="40"/>
    </row>
    <row r="3327" spans="1:18" x14ac:dyDescent="0.2">
      <c r="A3327" s="40" t="s">
        <v>2762</v>
      </c>
      <c r="B3327" s="40">
        <v>11.45</v>
      </c>
      <c r="C3327" s="40">
        <v>11.46</v>
      </c>
      <c r="D3327" s="40">
        <v>10.49</v>
      </c>
      <c r="E3327" s="40">
        <v>10.86</v>
      </c>
      <c r="K3327" s="40"/>
      <c r="P3327" s="40"/>
      <c r="Q3327" s="40"/>
      <c r="R3327" s="40"/>
    </row>
    <row r="3328" spans="1:18" x14ac:dyDescent="0.2">
      <c r="A3328" s="40" t="s">
        <v>2763</v>
      </c>
      <c r="B3328" s="40">
        <v>12.14</v>
      </c>
      <c r="C3328" s="40">
        <v>12.14</v>
      </c>
      <c r="D3328" s="40">
        <v>11.35</v>
      </c>
      <c r="E3328" s="40">
        <v>11.47</v>
      </c>
      <c r="K3328" s="40"/>
      <c r="P3328" s="40"/>
      <c r="Q3328" s="40"/>
      <c r="R3328" s="40"/>
    </row>
    <row r="3329" spans="1:18" x14ac:dyDescent="0.2">
      <c r="A3329" s="40" t="s">
        <v>2764</v>
      </c>
      <c r="B3329" s="40">
        <v>11.64</v>
      </c>
      <c r="C3329" s="40">
        <v>11.99</v>
      </c>
      <c r="D3329" s="40">
        <v>11.08</v>
      </c>
      <c r="E3329" s="40">
        <v>11.59</v>
      </c>
      <c r="K3329" s="40"/>
      <c r="P3329" s="40"/>
      <c r="Q3329" s="40"/>
      <c r="R3329" s="40"/>
    </row>
    <row r="3330" spans="1:18" x14ac:dyDescent="0.2">
      <c r="A3330" s="40" t="s">
        <v>2765</v>
      </c>
      <c r="B3330" s="40">
        <v>11.04</v>
      </c>
      <c r="C3330" s="40">
        <v>11.54</v>
      </c>
      <c r="D3330" s="40">
        <v>10.33</v>
      </c>
      <c r="E3330" s="40">
        <v>10.53</v>
      </c>
      <c r="K3330" s="40"/>
      <c r="P3330" s="40"/>
      <c r="Q3330" s="40"/>
      <c r="R3330" s="40"/>
    </row>
    <row r="3331" spans="1:18" x14ac:dyDescent="0.2">
      <c r="A3331" s="40" t="s">
        <v>2766</v>
      </c>
      <c r="B3331" s="40">
        <v>11.06</v>
      </c>
      <c r="C3331" s="40">
        <v>11.07</v>
      </c>
      <c r="D3331" s="40">
        <v>10.47</v>
      </c>
      <c r="E3331" s="40">
        <v>10.56</v>
      </c>
      <c r="K3331" s="40"/>
      <c r="P3331" s="40"/>
      <c r="Q3331" s="40"/>
      <c r="R3331" s="40"/>
    </row>
    <row r="3332" spans="1:18" x14ac:dyDescent="0.2">
      <c r="A3332" s="41">
        <v>45295</v>
      </c>
      <c r="B3332" s="40">
        <v>13.1</v>
      </c>
      <c r="C3332" s="40">
        <v>13.48</v>
      </c>
      <c r="D3332" s="40">
        <v>12.61</v>
      </c>
      <c r="E3332" s="40">
        <v>12.62</v>
      </c>
      <c r="K3332" s="40"/>
      <c r="P3332" s="40"/>
      <c r="Q3332" s="40"/>
      <c r="R3332" s="40"/>
    </row>
    <row r="3333" spans="1:18" x14ac:dyDescent="0.2">
      <c r="A3333" s="41">
        <v>45326</v>
      </c>
      <c r="B3333" s="40">
        <v>14.43</v>
      </c>
      <c r="C3333" s="40">
        <v>15.51</v>
      </c>
      <c r="D3333" s="40">
        <v>14.01</v>
      </c>
      <c r="E3333" s="40">
        <v>14.03</v>
      </c>
      <c r="K3333" s="40"/>
      <c r="P3333" s="40"/>
      <c r="Q3333" s="40"/>
      <c r="R3333" s="40"/>
    </row>
    <row r="3334" spans="1:18" x14ac:dyDescent="0.2">
      <c r="A3334" s="41">
        <v>45355</v>
      </c>
      <c r="B3334" s="40">
        <v>14.78</v>
      </c>
      <c r="C3334" s="40">
        <v>14.78</v>
      </c>
      <c r="D3334" s="40">
        <v>13.24</v>
      </c>
      <c r="E3334" s="40">
        <v>13.27</v>
      </c>
      <c r="K3334" s="40"/>
      <c r="P3334" s="40"/>
      <c r="Q3334" s="40"/>
      <c r="R3334" s="40"/>
    </row>
    <row r="3335" spans="1:18" x14ac:dyDescent="0.2">
      <c r="A3335" s="41">
        <v>45386</v>
      </c>
      <c r="B3335" s="40">
        <v>13</v>
      </c>
      <c r="C3335" s="40">
        <v>18.14</v>
      </c>
      <c r="D3335" s="40">
        <v>12.48</v>
      </c>
      <c r="E3335" s="40">
        <v>17.14</v>
      </c>
      <c r="K3335" s="40"/>
      <c r="P3335" s="40"/>
      <c r="Q3335" s="40"/>
      <c r="R3335" s="40"/>
    </row>
    <row r="3336" spans="1:18" x14ac:dyDescent="0.2">
      <c r="A3336" s="41">
        <v>45416</v>
      </c>
      <c r="B3336" s="40">
        <v>16.75</v>
      </c>
      <c r="C3336" s="40">
        <v>17</v>
      </c>
      <c r="D3336" s="40">
        <v>15.02</v>
      </c>
      <c r="E3336" s="40">
        <v>15.46</v>
      </c>
      <c r="K3336" s="40"/>
      <c r="P3336" s="40"/>
      <c r="Q3336" s="40"/>
      <c r="R3336" s="40"/>
    </row>
    <row r="3337" spans="1:18" x14ac:dyDescent="0.2">
      <c r="A3337" s="41">
        <v>45508</v>
      </c>
      <c r="B3337" s="40">
        <v>16.170000000000002</v>
      </c>
      <c r="C3337" s="40">
        <v>16.54</v>
      </c>
      <c r="D3337" s="40">
        <v>14.55</v>
      </c>
      <c r="E3337" s="40">
        <v>14.56</v>
      </c>
      <c r="K3337" s="40"/>
      <c r="P3337" s="40"/>
      <c r="Q3337" s="40"/>
      <c r="R3337" s="40"/>
    </row>
    <row r="3338" spans="1:18" x14ac:dyDescent="0.2">
      <c r="A3338" s="41">
        <v>45539</v>
      </c>
      <c r="B3338" s="40">
        <v>14.66</v>
      </c>
      <c r="C3338" s="40">
        <v>17.43</v>
      </c>
      <c r="D3338" s="40">
        <v>14.57</v>
      </c>
      <c r="E3338" s="40">
        <v>14.7</v>
      </c>
      <c r="K3338" s="40"/>
      <c r="P3338" s="40"/>
      <c r="Q3338" s="40"/>
      <c r="R3338" s="40"/>
    </row>
    <row r="3339" spans="1:18" x14ac:dyDescent="0.2">
      <c r="A3339" s="41">
        <v>45569</v>
      </c>
      <c r="B3339" s="40">
        <v>16.170000000000002</v>
      </c>
      <c r="C3339" s="40">
        <v>17.07</v>
      </c>
      <c r="D3339" s="40">
        <v>14.58</v>
      </c>
      <c r="E3339" s="40">
        <v>15.81</v>
      </c>
      <c r="K3339" s="40"/>
      <c r="P3339" s="40"/>
      <c r="Q3339" s="40"/>
      <c r="R3339" s="40"/>
    </row>
    <row r="3340" spans="1:18" x14ac:dyDescent="0.2">
      <c r="A3340" s="41">
        <v>45600</v>
      </c>
      <c r="B3340" s="40">
        <v>15.9</v>
      </c>
      <c r="C3340" s="40">
        <v>17.18</v>
      </c>
      <c r="D3340" s="40">
        <v>14.17</v>
      </c>
      <c r="E3340" s="40">
        <v>14.18</v>
      </c>
      <c r="K3340" s="40"/>
      <c r="P3340" s="40"/>
      <c r="Q3340" s="40"/>
      <c r="R3340" s="40"/>
    </row>
    <row r="3341" spans="1:18" x14ac:dyDescent="0.2">
      <c r="A3341" s="41">
        <v>45630</v>
      </c>
      <c r="B3341" s="40">
        <v>17.62</v>
      </c>
      <c r="C3341" s="40">
        <v>20.78</v>
      </c>
      <c r="D3341" s="40">
        <v>17.059999999999999</v>
      </c>
      <c r="E3341" s="40">
        <v>17.329999999999998</v>
      </c>
      <c r="K3341" s="40"/>
      <c r="P3341" s="40"/>
      <c r="Q3341" s="40"/>
      <c r="R3341" s="40"/>
    </row>
    <row r="3342" spans="1:18" x14ac:dyDescent="0.2">
      <c r="A3342" s="40" t="s">
        <v>2767</v>
      </c>
      <c r="B3342" s="40">
        <v>16.850000000000001</v>
      </c>
      <c r="C3342" s="40">
        <v>21.24</v>
      </c>
      <c r="D3342" s="40">
        <v>16.3</v>
      </c>
      <c r="E3342" s="40">
        <v>20.76</v>
      </c>
      <c r="K3342" s="40"/>
      <c r="P3342" s="40"/>
      <c r="Q3342" s="40"/>
      <c r="R3342" s="40"/>
    </row>
    <row r="3343" spans="1:18" x14ac:dyDescent="0.2">
      <c r="A3343" s="40" t="s">
        <v>2768</v>
      </c>
      <c r="B3343" s="40">
        <v>20.57</v>
      </c>
      <c r="C3343" s="40">
        <v>21.32</v>
      </c>
      <c r="D3343" s="40">
        <v>18.489999999999998</v>
      </c>
      <c r="E3343" s="40">
        <v>19.239999999999998</v>
      </c>
      <c r="K3343" s="40"/>
      <c r="P3343" s="40"/>
      <c r="Q3343" s="40"/>
      <c r="R3343" s="40"/>
    </row>
    <row r="3344" spans="1:18" x14ac:dyDescent="0.2">
      <c r="A3344" s="40" t="s">
        <v>2769</v>
      </c>
      <c r="B3344" s="40">
        <v>18.899999999999999</v>
      </c>
      <c r="C3344" s="40">
        <v>19.59</v>
      </c>
      <c r="D3344" s="40">
        <v>17.54</v>
      </c>
      <c r="E3344" s="40">
        <v>18.100000000000001</v>
      </c>
      <c r="K3344" s="40"/>
      <c r="P3344" s="40"/>
      <c r="Q3344" s="40"/>
      <c r="R3344" s="40"/>
    </row>
    <row r="3345" spans="1:18" x14ac:dyDescent="0.2">
      <c r="A3345" s="40" t="s">
        <v>2770</v>
      </c>
      <c r="B3345" s="40">
        <v>17.850000000000001</v>
      </c>
      <c r="C3345" s="40">
        <v>18.64</v>
      </c>
      <c r="D3345" s="40">
        <v>17.13</v>
      </c>
      <c r="E3345" s="40">
        <v>17.88</v>
      </c>
      <c r="K3345" s="40"/>
      <c r="P3345" s="40"/>
      <c r="Q3345" s="40"/>
      <c r="R3345" s="40"/>
    </row>
    <row r="3346" spans="1:18" x14ac:dyDescent="0.2">
      <c r="A3346" s="40" t="s">
        <v>2771</v>
      </c>
      <c r="B3346" s="40">
        <v>19.489999999999998</v>
      </c>
      <c r="C3346" s="40">
        <v>19.559999999999999</v>
      </c>
      <c r="D3346" s="40">
        <v>18.11</v>
      </c>
      <c r="E3346" s="40">
        <v>18.13</v>
      </c>
      <c r="K3346" s="40"/>
      <c r="P3346" s="40"/>
      <c r="Q3346" s="40"/>
      <c r="R3346" s="40"/>
    </row>
    <row r="3347" spans="1:18" x14ac:dyDescent="0.2">
      <c r="A3347" s="40" t="s">
        <v>2772</v>
      </c>
      <c r="B3347" s="40">
        <v>19.02</v>
      </c>
      <c r="C3347" s="40">
        <v>19.2</v>
      </c>
      <c r="D3347" s="40">
        <v>17.149999999999999</v>
      </c>
      <c r="E3347" s="40">
        <v>17.45</v>
      </c>
      <c r="K3347" s="40"/>
      <c r="P3347" s="40"/>
      <c r="Q3347" s="40"/>
      <c r="R3347" s="40"/>
    </row>
    <row r="3348" spans="1:18" x14ac:dyDescent="0.2">
      <c r="A3348" s="40" t="s">
        <v>2773</v>
      </c>
      <c r="B3348" s="40">
        <v>17.32</v>
      </c>
      <c r="C3348" s="40">
        <v>17.39</v>
      </c>
      <c r="D3348" s="40">
        <v>16.25</v>
      </c>
      <c r="E3348" s="40">
        <v>16.25</v>
      </c>
      <c r="K3348" s="40"/>
      <c r="P3348" s="40"/>
      <c r="Q3348" s="40"/>
      <c r="R3348" s="40"/>
    </row>
    <row r="3349" spans="1:18" x14ac:dyDescent="0.2">
      <c r="A3349" s="40" t="s">
        <v>2774</v>
      </c>
      <c r="B3349" s="40">
        <v>16.600000000000001</v>
      </c>
      <c r="C3349" s="40">
        <v>17.14</v>
      </c>
      <c r="D3349" s="40">
        <v>15.85</v>
      </c>
      <c r="E3349" s="40">
        <v>16.29</v>
      </c>
      <c r="K3349" s="40"/>
      <c r="P3349" s="40"/>
      <c r="Q3349" s="40"/>
      <c r="R3349" s="40"/>
    </row>
    <row r="3350" spans="1:18" x14ac:dyDescent="0.2">
      <c r="A3350" s="40" t="s">
        <v>2775</v>
      </c>
      <c r="B3350" s="40">
        <v>17.55</v>
      </c>
      <c r="C3350" s="40">
        <v>18.54</v>
      </c>
      <c r="D3350" s="40">
        <v>15.64</v>
      </c>
      <c r="E3350" s="40">
        <v>15.81</v>
      </c>
      <c r="K3350" s="40"/>
      <c r="P3350" s="40"/>
      <c r="Q3350" s="40"/>
      <c r="R3350" s="40"/>
    </row>
    <row r="3351" spans="1:18" x14ac:dyDescent="0.2">
      <c r="A3351" s="40" t="s">
        <v>2776</v>
      </c>
      <c r="B3351" s="40">
        <v>16.07</v>
      </c>
      <c r="C3351" s="40">
        <v>16.22</v>
      </c>
      <c r="D3351" s="40">
        <v>14.58</v>
      </c>
      <c r="E3351" s="40">
        <v>14.67</v>
      </c>
      <c r="K3351" s="40"/>
      <c r="P3351" s="40"/>
      <c r="Q3351" s="40"/>
      <c r="R3351" s="40"/>
    </row>
    <row r="3352" spans="1:18" x14ac:dyDescent="0.2">
      <c r="A3352" s="40" t="s">
        <v>2777</v>
      </c>
      <c r="B3352" s="40">
        <v>15.76</v>
      </c>
      <c r="C3352" s="40">
        <v>16.12</v>
      </c>
      <c r="D3352" s="40">
        <v>15.06</v>
      </c>
      <c r="E3352" s="40">
        <v>15.11</v>
      </c>
      <c r="K3352" s="40"/>
      <c r="P3352" s="40"/>
      <c r="Q3352" s="40"/>
      <c r="R3352" s="40"/>
    </row>
    <row r="3353" spans="1:18" x14ac:dyDescent="0.2">
      <c r="A3353" s="40" t="s">
        <v>2778</v>
      </c>
      <c r="B3353" s="40">
        <v>15.86</v>
      </c>
      <c r="C3353" s="40">
        <v>17.21</v>
      </c>
      <c r="D3353" s="40">
        <v>15.41</v>
      </c>
      <c r="E3353" s="40">
        <v>16.66</v>
      </c>
      <c r="K3353" s="40"/>
      <c r="P3353" s="40"/>
      <c r="Q3353" s="40"/>
      <c r="R3353" s="40"/>
    </row>
    <row r="3354" spans="1:18" x14ac:dyDescent="0.2">
      <c r="A3354" s="41">
        <v>45296</v>
      </c>
      <c r="B3354" s="40">
        <v>17.21</v>
      </c>
      <c r="C3354" s="40">
        <v>17.670000000000002</v>
      </c>
      <c r="D3354" s="40">
        <v>14.74</v>
      </c>
      <c r="E3354" s="40">
        <v>15.91</v>
      </c>
      <c r="K3354" s="40"/>
      <c r="P3354" s="40"/>
      <c r="Q3354" s="40"/>
      <c r="R3354" s="40"/>
    </row>
    <row r="3355" spans="1:18" x14ac:dyDescent="0.2">
      <c r="A3355" s="41">
        <v>45327</v>
      </c>
      <c r="B3355" s="40">
        <v>15.6</v>
      </c>
      <c r="C3355" s="40">
        <v>17.05</v>
      </c>
      <c r="D3355" s="40">
        <v>14.75</v>
      </c>
      <c r="E3355" s="40">
        <v>14.86</v>
      </c>
      <c r="K3355" s="40"/>
      <c r="P3355" s="40"/>
      <c r="Q3355" s="40"/>
      <c r="R3355" s="40"/>
    </row>
    <row r="3356" spans="1:18" x14ac:dyDescent="0.2">
      <c r="A3356" s="41">
        <v>45356</v>
      </c>
      <c r="B3356" s="40">
        <v>13.29</v>
      </c>
      <c r="C3356" s="40">
        <v>13.66</v>
      </c>
      <c r="D3356" s="40">
        <v>11.92</v>
      </c>
      <c r="E3356" s="40">
        <v>12</v>
      </c>
      <c r="K3356" s="40"/>
      <c r="P3356" s="40"/>
      <c r="Q3356" s="40"/>
      <c r="R3356" s="40"/>
    </row>
    <row r="3357" spans="1:18" x14ac:dyDescent="0.2">
      <c r="A3357" s="41">
        <v>45448</v>
      </c>
      <c r="B3357" s="40">
        <v>13.62</v>
      </c>
      <c r="C3357" s="40">
        <v>13.92</v>
      </c>
      <c r="D3357" s="40">
        <v>13.07</v>
      </c>
      <c r="E3357" s="40">
        <v>13.13</v>
      </c>
      <c r="K3357" s="40"/>
      <c r="P3357" s="40"/>
      <c r="Q3357" s="40"/>
      <c r="R3357" s="40"/>
    </row>
    <row r="3358" spans="1:18" x14ac:dyDescent="0.2">
      <c r="A3358" s="41">
        <v>45478</v>
      </c>
      <c r="B3358" s="40">
        <v>13.34</v>
      </c>
      <c r="C3358" s="40">
        <v>13.55</v>
      </c>
      <c r="D3358" s="40">
        <v>12.74</v>
      </c>
      <c r="E3358" s="40">
        <v>12.76</v>
      </c>
      <c r="K3358" s="40"/>
      <c r="P3358" s="40"/>
      <c r="Q3358" s="40"/>
      <c r="R3358" s="40"/>
    </row>
    <row r="3359" spans="1:18" x14ac:dyDescent="0.2">
      <c r="A3359" s="41">
        <v>45509</v>
      </c>
      <c r="B3359" s="40">
        <v>13.58</v>
      </c>
      <c r="C3359" s="40">
        <v>13.6</v>
      </c>
      <c r="D3359" s="40">
        <v>12.35</v>
      </c>
      <c r="E3359" s="40">
        <v>12.48</v>
      </c>
      <c r="K3359" s="40"/>
      <c r="P3359" s="40"/>
      <c r="Q3359" s="40"/>
      <c r="R3359" s="40"/>
    </row>
    <row r="3360" spans="1:18" x14ac:dyDescent="0.2">
      <c r="A3360" s="41">
        <v>45540</v>
      </c>
      <c r="B3360" s="40">
        <v>12.88</v>
      </c>
      <c r="C3360" s="40">
        <v>13.1</v>
      </c>
      <c r="D3360" s="40">
        <v>11.92</v>
      </c>
      <c r="E3360" s="40">
        <v>11.92</v>
      </c>
      <c r="K3360" s="40"/>
      <c r="P3360" s="40"/>
      <c r="Q3360" s="40"/>
      <c r="R3360" s="40"/>
    </row>
    <row r="3361" spans="1:18" x14ac:dyDescent="0.2">
      <c r="A3361" s="41">
        <v>45570</v>
      </c>
      <c r="B3361" s="40">
        <v>12.28</v>
      </c>
      <c r="C3361" s="40">
        <v>12.56</v>
      </c>
      <c r="D3361" s="40">
        <v>11.71</v>
      </c>
      <c r="E3361" s="40">
        <v>11.82</v>
      </c>
      <c r="K3361" s="40"/>
      <c r="P3361" s="40"/>
      <c r="Q3361" s="40"/>
      <c r="R3361" s="40"/>
    </row>
    <row r="3362" spans="1:18" x14ac:dyDescent="0.2">
      <c r="A3362" s="40" t="s">
        <v>2779</v>
      </c>
      <c r="B3362" s="40">
        <v>13.55</v>
      </c>
      <c r="C3362" s="40">
        <v>14.02</v>
      </c>
      <c r="D3362" s="40">
        <v>13.5</v>
      </c>
      <c r="E3362" s="40">
        <v>13.71</v>
      </c>
      <c r="K3362" s="40"/>
      <c r="P3362" s="40"/>
      <c r="Q3362" s="40"/>
      <c r="R3362" s="40"/>
    </row>
    <row r="3363" spans="1:18" x14ac:dyDescent="0.2">
      <c r="A3363" s="40" t="s">
        <v>2780</v>
      </c>
      <c r="B3363" s="40">
        <v>13.84</v>
      </c>
      <c r="C3363" s="40">
        <v>13.96</v>
      </c>
      <c r="D3363" s="40">
        <v>13.13</v>
      </c>
      <c r="E3363" s="40">
        <v>13.31</v>
      </c>
      <c r="K3363" s="40"/>
      <c r="P3363" s="40"/>
      <c r="Q3363" s="40"/>
      <c r="R3363" s="40"/>
    </row>
    <row r="3364" spans="1:18" x14ac:dyDescent="0.2">
      <c r="A3364" s="40" t="s">
        <v>2781</v>
      </c>
      <c r="B3364" s="40">
        <v>12.45</v>
      </c>
      <c r="C3364" s="40">
        <v>12.51</v>
      </c>
      <c r="D3364" s="40">
        <v>11.35</v>
      </c>
      <c r="E3364" s="40">
        <v>11.42</v>
      </c>
      <c r="K3364" s="40"/>
      <c r="P3364" s="40"/>
      <c r="Q3364" s="40"/>
      <c r="R3364" s="40"/>
    </row>
    <row r="3365" spans="1:18" x14ac:dyDescent="0.2">
      <c r="A3365" s="40" t="s">
        <v>2782</v>
      </c>
      <c r="B3365" s="40">
        <v>11.35</v>
      </c>
      <c r="C3365" s="40">
        <v>11.53</v>
      </c>
      <c r="D3365" s="40">
        <v>10.9</v>
      </c>
      <c r="E3365" s="40">
        <v>10.96</v>
      </c>
      <c r="K3365" s="40"/>
      <c r="P3365" s="40"/>
      <c r="Q3365" s="40"/>
      <c r="R3365" s="40"/>
    </row>
    <row r="3366" spans="1:18" x14ac:dyDescent="0.2">
      <c r="A3366" s="40" t="s">
        <v>2783</v>
      </c>
      <c r="B3366" s="40">
        <v>10.87</v>
      </c>
      <c r="C3366" s="40">
        <v>10.9</v>
      </c>
      <c r="D3366" s="40">
        <v>9.5</v>
      </c>
      <c r="E3366" s="40">
        <v>9.67</v>
      </c>
      <c r="K3366" s="40"/>
      <c r="P3366" s="40"/>
      <c r="Q3366" s="40"/>
      <c r="R3366" s="40"/>
    </row>
    <row r="3367" spans="1:18" x14ac:dyDescent="0.2">
      <c r="A3367" s="40" t="s">
        <v>2784</v>
      </c>
      <c r="B3367" s="40">
        <v>10.84</v>
      </c>
      <c r="C3367" s="40">
        <v>11.54</v>
      </c>
      <c r="D3367" s="40">
        <v>10.48</v>
      </c>
      <c r="E3367" s="40">
        <v>10.53</v>
      </c>
      <c r="K3367" s="40"/>
      <c r="P3367" s="40"/>
      <c r="Q3367" s="40"/>
      <c r="R3367" s="40"/>
    </row>
    <row r="3368" spans="1:18" x14ac:dyDescent="0.2">
      <c r="A3368" s="40" t="s">
        <v>2785</v>
      </c>
      <c r="B3368" s="40">
        <v>11.07</v>
      </c>
      <c r="C3368" s="40">
        <v>11.12</v>
      </c>
      <c r="D3368" s="40">
        <v>10.029999999999999</v>
      </c>
      <c r="E3368" s="40">
        <v>10.08</v>
      </c>
      <c r="K3368" s="40"/>
      <c r="P3368" s="40"/>
      <c r="Q3368" s="40"/>
      <c r="R3368" s="40"/>
    </row>
    <row r="3369" spans="1:18" x14ac:dyDescent="0.2">
      <c r="A3369" s="40" t="s">
        <v>2786</v>
      </c>
      <c r="B3369" s="40">
        <v>10.61</v>
      </c>
      <c r="C3369" s="40">
        <v>11.7</v>
      </c>
      <c r="D3369" s="40">
        <v>10.49</v>
      </c>
      <c r="E3369" s="40">
        <v>11.14</v>
      </c>
      <c r="K3369" s="40"/>
      <c r="P3369" s="40"/>
      <c r="Q3369" s="40"/>
      <c r="R3369" s="40"/>
    </row>
    <row r="3370" spans="1:18" x14ac:dyDescent="0.2">
      <c r="A3370" s="40" t="s">
        <v>2787</v>
      </c>
      <c r="B3370" s="40">
        <v>9.81</v>
      </c>
      <c r="C3370" s="40">
        <v>11.92</v>
      </c>
      <c r="D3370" s="40">
        <v>9.81</v>
      </c>
      <c r="E3370" s="40">
        <v>10.79</v>
      </c>
      <c r="K3370" s="40"/>
      <c r="P3370" s="40"/>
      <c r="Q3370" s="40"/>
      <c r="R3370" s="40"/>
    </row>
    <row r="3371" spans="1:18" x14ac:dyDescent="0.2">
      <c r="A3371" s="40" t="s">
        <v>2788</v>
      </c>
      <c r="B3371" s="40">
        <v>10.57</v>
      </c>
      <c r="C3371" s="40">
        <v>10.8</v>
      </c>
      <c r="D3371" s="40">
        <v>8.9499999999999993</v>
      </c>
      <c r="E3371" s="40">
        <v>9.19</v>
      </c>
      <c r="K3371" s="40"/>
      <c r="P3371" s="40"/>
      <c r="Q3371" s="40"/>
      <c r="R3371" s="40"/>
    </row>
    <row r="3372" spans="1:18" x14ac:dyDescent="0.2">
      <c r="A3372" s="40" t="s">
        <v>2789</v>
      </c>
      <c r="B3372" s="40">
        <v>11.53</v>
      </c>
      <c r="C3372" s="40">
        <v>12.55</v>
      </c>
      <c r="D3372" s="40">
        <v>11.25</v>
      </c>
      <c r="E3372" s="40">
        <v>11.51</v>
      </c>
      <c r="K3372" s="40"/>
      <c r="P3372" s="40"/>
      <c r="Q3372" s="40"/>
      <c r="R3372" s="40"/>
    </row>
    <row r="3373" spans="1:18" x14ac:dyDescent="0.2">
      <c r="A3373" s="40" t="s">
        <v>2790</v>
      </c>
      <c r="B3373" s="40">
        <v>13.26</v>
      </c>
      <c r="C3373" s="40">
        <v>13.45</v>
      </c>
      <c r="D3373" s="40">
        <v>12.66</v>
      </c>
      <c r="E3373" s="40">
        <v>13.41</v>
      </c>
      <c r="K3373" s="40"/>
      <c r="P3373" s="40"/>
      <c r="Q3373" s="40"/>
      <c r="R3373" s="40"/>
    </row>
    <row r="3374" spans="1:18" x14ac:dyDescent="0.2">
      <c r="A3374" s="40" t="s">
        <v>2791</v>
      </c>
      <c r="B3374" s="40">
        <v>13.73</v>
      </c>
      <c r="C3374" s="40">
        <v>14.32</v>
      </c>
      <c r="D3374" s="40">
        <v>13.03</v>
      </c>
      <c r="E3374" s="40">
        <v>13.67</v>
      </c>
      <c r="K3374" s="40"/>
      <c r="P3374" s="40"/>
      <c r="Q3374" s="40"/>
      <c r="R3374" s="40"/>
    </row>
    <row r="3375" spans="1:18" x14ac:dyDescent="0.2">
      <c r="A3375" s="40" t="s">
        <v>2792</v>
      </c>
      <c r="B3375" s="40">
        <v>13.22</v>
      </c>
      <c r="C3375" s="40">
        <v>14.33</v>
      </c>
      <c r="D3375" s="40">
        <v>11.56</v>
      </c>
      <c r="E3375" s="40">
        <v>11.68</v>
      </c>
      <c r="K3375" s="40"/>
      <c r="P3375" s="40"/>
      <c r="Q3375" s="40"/>
      <c r="R3375" s="40"/>
    </row>
    <row r="3376" spans="1:18" x14ac:dyDescent="0.2">
      <c r="A3376" s="41">
        <v>45357</v>
      </c>
      <c r="B3376" s="40">
        <v>13.83</v>
      </c>
      <c r="C3376" s="40">
        <v>15.64</v>
      </c>
      <c r="D3376" s="40">
        <v>13.57</v>
      </c>
      <c r="E3376" s="40">
        <v>13.91</v>
      </c>
      <c r="K3376" s="40"/>
      <c r="P3376" s="40"/>
      <c r="Q3376" s="40"/>
      <c r="R3376" s="40"/>
    </row>
    <row r="3377" spans="1:18" x14ac:dyDescent="0.2">
      <c r="A3377" s="41">
        <v>45388</v>
      </c>
      <c r="B3377" s="40">
        <v>14.92</v>
      </c>
      <c r="C3377" s="40">
        <v>15.52</v>
      </c>
      <c r="D3377" s="40">
        <v>14.27</v>
      </c>
      <c r="E3377" s="40">
        <v>14.28</v>
      </c>
      <c r="K3377" s="40"/>
      <c r="P3377" s="40"/>
      <c r="Q3377" s="40"/>
      <c r="R3377" s="40"/>
    </row>
    <row r="3378" spans="1:18" x14ac:dyDescent="0.2">
      <c r="A3378" s="41">
        <v>45418</v>
      </c>
      <c r="B3378" s="40">
        <v>14.35</v>
      </c>
      <c r="C3378" s="40">
        <v>14.78</v>
      </c>
      <c r="D3378" s="40">
        <v>13.91</v>
      </c>
      <c r="E3378" s="40">
        <v>13.99</v>
      </c>
      <c r="K3378" s="40"/>
      <c r="P3378" s="40"/>
      <c r="Q3378" s="40"/>
      <c r="R3378" s="40"/>
    </row>
    <row r="3379" spans="1:18" x14ac:dyDescent="0.2">
      <c r="A3379" s="41">
        <v>45449</v>
      </c>
      <c r="B3379" s="40">
        <v>13.93</v>
      </c>
      <c r="C3379" s="40">
        <v>14.32</v>
      </c>
      <c r="D3379" s="40">
        <v>13.33</v>
      </c>
      <c r="E3379" s="40">
        <v>13.47</v>
      </c>
      <c r="K3379" s="40"/>
      <c r="P3379" s="40"/>
      <c r="Q3379" s="40"/>
      <c r="R3379" s="40"/>
    </row>
    <row r="3380" spans="1:18" x14ac:dyDescent="0.2">
      <c r="A3380" s="41">
        <v>45479</v>
      </c>
      <c r="B3380" s="40">
        <v>13.84</v>
      </c>
      <c r="C3380" s="40">
        <v>13.85</v>
      </c>
      <c r="D3380" s="40">
        <v>12.32</v>
      </c>
      <c r="E3380" s="40">
        <v>12.33</v>
      </c>
      <c r="K3380" s="40"/>
      <c r="P3380" s="40"/>
      <c r="Q3380" s="40"/>
      <c r="R3380" s="40"/>
    </row>
    <row r="3381" spans="1:18" x14ac:dyDescent="0.2">
      <c r="A3381" s="41">
        <v>45571</v>
      </c>
      <c r="B3381" s="40">
        <v>13.69</v>
      </c>
      <c r="C3381" s="40">
        <v>13.73</v>
      </c>
      <c r="D3381" s="40">
        <v>12.67</v>
      </c>
      <c r="E3381" s="40">
        <v>12.85</v>
      </c>
      <c r="K3381" s="40"/>
      <c r="P3381" s="40"/>
      <c r="Q3381" s="40"/>
      <c r="R3381" s="40"/>
    </row>
    <row r="3382" spans="1:18" x14ac:dyDescent="0.2">
      <c r="A3382" s="41">
        <v>45602</v>
      </c>
      <c r="B3382" s="40">
        <v>13.34</v>
      </c>
      <c r="C3382" s="40">
        <v>13.67</v>
      </c>
      <c r="D3382" s="40">
        <v>12.78</v>
      </c>
      <c r="E3382" s="40">
        <v>12.87</v>
      </c>
      <c r="K3382" s="40"/>
      <c r="P3382" s="40"/>
      <c r="Q3382" s="40"/>
      <c r="R3382" s="40"/>
    </row>
    <row r="3383" spans="1:18" x14ac:dyDescent="0.2">
      <c r="A3383" s="41">
        <v>45632</v>
      </c>
      <c r="B3383" s="40">
        <v>11.66</v>
      </c>
      <c r="C3383" s="40">
        <v>12.02</v>
      </c>
      <c r="D3383" s="40">
        <v>10.130000000000001</v>
      </c>
      <c r="E3383" s="40">
        <v>10.4</v>
      </c>
      <c r="K3383" s="40"/>
      <c r="P3383" s="40"/>
      <c r="Q3383" s="40"/>
      <c r="R3383" s="40"/>
    </row>
    <row r="3384" spans="1:18" x14ac:dyDescent="0.2">
      <c r="A3384" s="40" t="s">
        <v>2793</v>
      </c>
      <c r="B3384" s="40">
        <v>10.64</v>
      </c>
      <c r="C3384" s="40">
        <v>11.5</v>
      </c>
      <c r="D3384" s="40">
        <v>10.02</v>
      </c>
      <c r="E3384" s="40">
        <v>10.28</v>
      </c>
      <c r="K3384" s="40"/>
      <c r="P3384" s="40"/>
      <c r="Q3384" s="40"/>
      <c r="R3384" s="40"/>
    </row>
    <row r="3385" spans="1:18" x14ac:dyDescent="0.2">
      <c r="A3385" s="40" t="s">
        <v>2794</v>
      </c>
      <c r="B3385" s="40">
        <v>11.41</v>
      </c>
      <c r="C3385" s="40">
        <v>12.01</v>
      </c>
      <c r="D3385" s="40">
        <v>10.61</v>
      </c>
      <c r="E3385" s="40">
        <v>11</v>
      </c>
      <c r="K3385" s="40"/>
      <c r="P3385" s="40"/>
      <c r="Q3385" s="40"/>
      <c r="R3385" s="40"/>
    </row>
    <row r="3386" spans="1:18" x14ac:dyDescent="0.2">
      <c r="A3386" s="40" t="s">
        <v>2795</v>
      </c>
      <c r="B3386" s="40">
        <v>12.88</v>
      </c>
      <c r="C3386" s="40">
        <v>13.02</v>
      </c>
      <c r="D3386" s="40">
        <v>11.66</v>
      </c>
      <c r="E3386" s="40">
        <v>11.94</v>
      </c>
      <c r="K3386" s="40"/>
      <c r="P3386" s="40"/>
      <c r="Q3386" s="40"/>
      <c r="R3386" s="40"/>
    </row>
    <row r="3387" spans="1:18" x14ac:dyDescent="0.2">
      <c r="A3387" s="40" t="s">
        <v>2796</v>
      </c>
      <c r="B3387" s="40">
        <v>11.72</v>
      </c>
      <c r="C3387" s="40">
        <v>12.08</v>
      </c>
      <c r="D3387" s="40">
        <v>10.93</v>
      </c>
      <c r="E3387" s="40">
        <v>11.12</v>
      </c>
      <c r="K3387" s="40"/>
      <c r="P3387" s="40"/>
      <c r="Q3387" s="40"/>
      <c r="R3387" s="40"/>
    </row>
    <row r="3388" spans="1:18" x14ac:dyDescent="0.2">
      <c r="A3388" s="40" t="s">
        <v>2797</v>
      </c>
      <c r="B3388" s="40">
        <v>11.87</v>
      </c>
      <c r="C3388" s="40">
        <v>13.15</v>
      </c>
      <c r="D3388" s="40">
        <v>11.87</v>
      </c>
      <c r="E3388" s="40">
        <v>12.36</v>
      </c>
      <c r="K3388" s="40"/>
      <c r="P3388" s="40"/>
      <c r="Q3388" s="40"/>
      <c r="R3388" s="40"/>
    </row>
    <row r="3389" spans="1:18" x14ac:dyDescent="0.2">
      <c r="A3389" s="40" t="s">
        <v>2798</v>
      </c>
      <c r="B3389" s="40">
        <v>12.59</v>
      </c>
      <c r="C3389" s="40">
        <v>12.59</v>
      </c>
      <c r="D3389" s="40">
        <v>10.69</v>
      </c>
      <c r="E3389" s="40">
        <v>10.96</v>
      </c>
      <c r="K3389" s="40"/>
      <c r="P3389" s="40"/>
      <c r="Q3389" s="40"/>
      <c r="R3389" s="40"/>
    </row>
    <row r="3390" spans="1:18" x14ac:dyDescent="0.2">
      <c r="A3390" s="40" t="s">
        <v>2799</v>
      </c>
      <c r="B3390" s="40">
        <v>12.65</v>
      </c>
      <c r="C3390" s="40">
        <v>12.65</v>
      </c>
      <c r="D3390" s="40">
        <v>11.56</v>
      </c>
      <c r="E3390" s="40">
        <v>11.83</v>
      </c>
      <c r="K3390" s="40"/>
      <c r="P3390" s="40"/>
      <c r="Q3390" s="40"/>
      <c r="R3390" s="40"/>
    </row>
    <row r="3391" spans="1:18" x14ac:dyDescent="0.2">
      <c r="A3391" s="40" t="s">
        <v>2800</v>
      </c>
      <c r="B3391" s="40">
        <v>11.9</v>
      </c>
      <c r="C3391" s="40">
        <v>11.96</v>
      </c>
      <c r="D3391" s="40">
        <v>11</v>
      </c>
      <c r="E3391" s="40">
        <v>11.1</v>
      </c>
      <c r="K3391" s="40"/>
      <c r="P3391" s="40"/>
      <c r="Q3391" s="40"/>
      <c r="R3391" s="40"/>
    </row>
    <row r="3392" spans="1:18" x14ac:dyDescent="0.2">
      <c r="A3392" s="40" t="s">
        <v>2801</v>
      </c>
      <c r="B3392" s="40">
        <v>11.76</v>
      </c>
      <c r="C3392" s="40">
        <v>11.84</v>
      </c>
      <c r="D3392" s="40">
        <v>10.220000000000001</v>
      </c>
      <c r="E3392" s="40">
        <v>10.51</v>
      </c>
      <c r="K3392" s="40"/>
      <c r="P3392" s="40"/>
      <c r="Q3392" s="40"/>
      <c r="R3392" s="40"/>
    </row>
    <row r="3393" spans="1:18" x14ac:dyDescent="0.2">
      <c r="A3393" s="40" t="s">
        <v>2802</v>
      </c>
      <c r="B3393" s="40">
        <v>10.91</v>
      </c>
      <c r="C3393" s="40">
        <v>11.05</v>
      </c>
      <c r="D3393" s="40">
        <v>10.36</v>
      </c>
      <c r="E3393" s="40">
        <v>10.49</v>
      </c>
      <c r="K3393" s="40"/>
      <c r="P3393" s="40"/>
      <c r="Q3393" s="40"/>
      <c r="R3393" s="40"/>
    </row>
    <row r="3394" spans="1:18" x14ac:dyDescent="0.2">
      <c r="A3394" s="40" t="s">
        <v>2803</v>
      </c>
      <c r="B3394" s="40">
        <v>10.89</v>
      </c>
      <c r="C3394" s="40">
        <v>10.96</v>
      </c>
      <c r="D3394" s="40">
        <v>10.16</v>
      </c>
      <c r="E3394" s="40">
        <v>10.54</v>
      </c>
      <c r="K3394" s="40"/>
      <c r="P3394" s="40"/>
      <c r="Q3394" s="40"/>
      <c r="R3394" s="40"/>
    </row>
    <row r="3395" spans="1:18" x14ac:dyDescent="0.2">
      <c r="A3395" s="41">
        <v>45298</v>
      </c>
      <c r="B3395" s="40">
        <v>12</v>
      </c>
      <c r="C3395" s="40">
        <v>12.67</v>
      </c>
      <c r="D3395" s="40">
        <v>10.76</v>
      </c>
      <c r="E3395" s="40">
        <v>10.93</v>
      </c>
      <c r="K3395" s="40"/>
      <c r="P3395" s="40"/>
      <c r="Q3395" s="40"/>
      <c r="R3395" s="40"/>
    </row>
    <row r="3396" spans="1:18" x14ac:dyDescent="0.2">
      <c r="A3396" s="41">
        <v>45329</v>
      </c>
      <c r="B3396" s="40">
        <v>11.55</v>
      </c>
      <c r="C3396" s="40">
        <v>11.57</v>
      </c>
      <c r="D3396" s="40">
        <v>10.43</v>
      </c>
      <c r="E3396" s="40">
        <v>10.6</v>
      </c>
      <c r="K3396" s="40"/>
      <c r="P3396" s="40"/>
      <c r="Q3396" s="40"/>
      <c r="R3396" s="40"/>
    </row>
    <row r="3397" spans="1:18" x14ac:dyDescent="0.2">
      <c r="A3397" s="41">
        <v>45358</v>
      </c>
      <c r="B3397" s="40">
        <v>10.74</v>
      </c>
      <c r="C3397" s="40">
        <v>11.02</v>
      </c>
      <c r="D3397" s="40">
        <v>10.54</v>
      </c>
      <c r="E3397" s="40">
        <v>10.72</v>
      </c>
      <c r="K3397" s="40"/>
      <c r="P3397" s="40"/>
      <c r="Q3397" s="40"/>
      <c r="R3397" s="40"/>
    </row>
    <row r="3398" spans="1:18" x14ac:dyDescent="0.2">
      <c r="A3398" s="41">
        <v>45419</v>
      </c>
      <c r="B3398" s="40">
        <v>11.24</v>
      </c>
      <c r="C3398" s="40">
        <v>11.32</v>
      </c>
      <c r="D3398" s="40">
        <v>10.48</v>
      </c>
      <c r="E3398" s="40">
        <v>10.81</v>
      </c>
      <c r="K3398" s="40"/>
      <c r="P3398" s="40"/>
      <c r="Q3398" s="40"/>
      <c r="R3398" s="40"/>
    </row>
    <row r="3399" spans="1:18" x14ac:dyDescent="0.2">
      <c r="A3399" s="41">
        <v>45511</v>
      </c>
      <c r="B3399" s="40">
        <v>11.77</v>
      </c>
      <c r="C3399" s="40">
        <v>11.95</v>
      </c>
      <c r="D3399" s="40">
        <v>11.01</v>
      </c>
      <c r="E3399" s="40">
        <v>11.05</v>
      </c>
      <c r="K3399" s="40"/>
      <c r="P3399" s="40"/>
      <c r="Q3399" s="40"/>
      <c r="R3399" s="40"/>
    </row>
    <row r="3400" spans="1:18" x14ac:dyDescent="0.2">
      <c r="A3400" s="41">
        <v>45542</v>
      </c>
      <c r="B3400" s="40">
        <v>11.31</v>
      </c>
      <c r="C3400" s="40">
        <v>11.42</v>
      </c>
      <c r="D3400" s="40">
        <v>11.01</v>
      </c>
      <c r="E3400" s="40">
        <v>11.11</v>
      </c>
      <c r="K3400" s="40"/>
      <c r="P3400" s="40"/>
      <c r="Q3400" s="40"/>
      <c r="R3400" s="40"/>
    </row>
    <row r="3401" spans="1:18" x14ac:dyDescent="0.2">
      <c r="A3401" s="41">
        <v>45572</v>
      </c>
      <c r="B3401" s="40">
        <v>11.26</v>
      </c>
      <c r="C3401" s="40">
        <v>12.22</v>
      </c>
      <c r="D3401" s="40">
        <v>10.94</v>
      </c>
      <c r="E3401" s="40">
        <v>12</v>
      </c>
      <c r="K3401" s="40"/>
      <c r="P3401" s="40"/>
      <c r="Q3401" s="40"/>
      <c r="R3401" s="40"/>
    </row>
    <row r="3402" spans="1:18" x14ac:dyDescent="0.2">
      <c r="A3402" s="41">
        <v>45603</v>
      </c>
      <c r="B3402" s="40">
        <v>11.39</v>
      </c>
      <c r="C3402" s="40">
        <v>12.59</v>
      </c>
      <c r="D3402" s="40">
        <v>11.28</v>
      </c>
      <c r="E3402" s="40">
        <v>11.42</v>
      </c>
      <c r="K3402" s="40"/>
      <c r="P3402" s="40"/>
      <c r="Q3402" s="40"/>
      <c r="R3402" s="40"/>
    </row>
    <row r="3403" spans="1:18" x14ac:dyDescent="0.2">
      <c r="A3403" s="41">
        <v>45633</v>
      </c>
      <c r="B3403" s="40">
        <v>11.06</v>
      </c>
      <c r="C3403" s="40">
        <v>11.06</v>
      </c>
      <c r="D3403" s="40">
        <v>10.07</v>
      </c>
      <c r="E3403" s="40">
        <v>10.55</v>
      </c>
      <c r="K3403" s="40"/>
      <c r="P3403" s="40"/>
      <c r="Q3403" s="40"/>
      <c r="R3403" s="40"/>
    </row>
    <row r="3404" spans="1:18" x14ac:dyDescent="0.2">
      <c r="A3404" s="40" t="s">
        <v>2804</v>
      </c>
      <c r="B3404" s="40">
        <v>12.08</v>
      </c>
      <c r="C3404" s="40">
        <v>12.41</v>
      </c>
      <c r="D3404" s="40">
        <v>11.79</v>
      </c>
      <c r="E3404" s="40">
        <v>12.18</v>
      </c>
      <c r="K3404" s="40"/>
      <c r="P3404" s="40"/>
      <c r="Q3404" s="40"/>
      <c r="R3404" s="40"/>
    </row>
    <row r="3405" spans="1:18" x14ac:dyDescent="0.2">
      <c r="A3405" s="40" t="s">
        <v>2805</v>
      </c>
      <c r="B3405" s="40">
        <v>12.26</v>
      </c>
      <c r="C3405" s="40">
        <v>12.35</v>
      </c>
      <c r="D3405" s="40">
        <v>11.74</v>
      </c>
      <c r="E3405" s="40">
        <v>11.8</v>
      </c>
      <c r="K3405" s="40"/>
      <c r="P3405" s="40"/>
      <c r="Q3405" s="40"/>
      <c r="R3405" s="40"/>
    </row>
    <row r="3406" spans="1:18" x14ac:dyDescent="0.2">
      <c r="A3406" s="40" t="s">
        <v>2806</v>
      </c>
      <c r="B3406" s="40">
        <v>12.83</v>
      </c>
      <c r="C3406" s="40">
        <v>14</v>
      </c>
      <c r="D3406" s="40">
        <v>12.7</v>
      </c>
      <c r="E3406" s="40">
        <v>13.16</v>
      </c>
      <c r="K3406" s="40"/>
      <c r="P3406" s="40"/>
      <c r="Q3406" s="40"/>
      <c r="R3406" s="40"/>
    </row>
    <row r="3407" spans="1:18" x14ac:dyDescent="0.2">
      <c r="A3407" s="40" t="s">
        <v>2807</v>
      </c>
      <c r="B3407" s="40">
        <v>13.57</v>
      </c>
      <c r="C3407" s="40">
        <v>15.76</v>
      </c>
      <c r="D3407" s="40">
        <v>12.93</v>
      </c>
      <c r="E3407" s="40">
        <v>14.9</v>
      </c>
      <c r="K3407" s="40"/>
      <c r="P3407" s="40"/>
      <c r="Q3407" s="40"/>
      <c r="R3407" s="40"/>
    </row>
    <row r="3408" spans="1:18" x14ac:dyDescent="0.2">
      <c r="A3408" s="40" t="s">
        <v>2808</v>
      </c>
      <c r="B3408" s="40">
        <v>15.71</v>
      </c>
      <c r="C3408" s="40">
        <v>16.43</v>
      </c>
      <c r="D3408" s="40">
        <v>14.79</v>
      </c>
      <c r="E3408" s="40">
        <v>15.04</v>
      </c>
      <c r="K3408" s="40"/>
      <c r="P3408" s="40"/>
      <c r="Q3408" s="40"/>
      <c r="R3408" s="40"/>
    </row>
    <row r="3409" spans="1:18" x14ac:dyDescent="0.2">
      <c r="A3409" s="40" t="s">
        <v>2809</v>
      </c>
      <c r="B3409" s="40">
        <v>16.5</v>
      </c>
      <c r="C3409" s="40">
        <v>16.5</v>
      </c>
      <c r="D3409" s="40">
        <v>14.65</v>
      </c>
      <c r="E3409" s="40">
        <v>14.79</v>
      </c>
      <c r="K3409" s="40"/>
      <c r="P3409" s="40"/>
      <c r="Q3409" s="40"/>
      <c r="R3409" s="40"/>
    </row>
    <row r="3410" spans="1:18" x14ac:dyDescent="0.2">
      <c r="A3410" s="40" t="s">
        <v>2810</v>
      </c>
      <c r="B3410" s="40">
        <v>15.16</v>
      </c>
      <c r="C3410" s="40">
        <v>15.26</v>
      </c>
      <c r="D3410" s="40">
        <v>13.55</v>
      </c>
      <c r="E3410" s="40">
        <v>14.61</v>
      </c>
      <c r="K3410" s="40"/>
      <c r="P3410" s="40"/>
      <c r="Q3410" s="40"/>
      <c r="R3410" s="40"/>
    </row>
    <row r="3411" spans="1:18" x14ac:dyDescent="0.2">
      <c r="A3411" s="40" t="s">
        <v>2811</v>
      </c>
      <c r="B3411" s="40">
        <v>15.59</v>
      </c>
      <c r="C3411" s="40">
        <v>20.13</v>
      </c>
      <c r="D3411" s="40">
        <v>15.55</v>
      </c>
      <c r="E3411" s="40">
        <v>19.79</v>
      </c>
      <c r="K3411" s="40"/>
      <c r="P3411" s="40"/>
      <c r="Q3411" s="40"/>
      <c r="R3411" s="40"/>
    </row>
    <row r="3412" spans="1:18" x14ac:dyDescent="0.2">
      <c r="A3412" s="40" t="s">
        <v>2812</v>
      </c>
      <c r="B3412" s="40">
        <v>19.78</v>
      </c>
      <c r="C3412" s="40">
        <v>21.28</v>
      </c>
      <c r="D3412" s="40">
        <v>17.93</v>
      </c>
      <c r="E3412" s="40">
        <v>19.82</v>
      </c>
      <c r="K3412" s="40"/>
      <c r="P3412" s="40"/>
      <c r="Q3412" s="40"/>
      <c r="R3412" s="40"/>
    </row>
    <row r="3413" spans="1:18" x14ac:dyDescent="0.2">
      <c r="A3413" s="40" t="s">
        <v>2813</v>
      </c>
      <c r="B3413" s="40">
        <v>18.63</v>
      </c>
      <c r="C3413" s="40">
        <v>18.68</v>
      </c>
      <c r="D3413" s="40">
        <v>16.78</v>
      </c>
      <c r="E3413" s="40">
        <v>16.809999999999999</v>
      </c>
      <c r="K3413" s="40"/>
      <c r="P3413" s="40"/>
      <c r="Q3413" s="40"/>
      <c r="R3413" s="40"/>
    </row>
    <row r="3414" spans="1:18" x14ac:dyDescent="0.2">
      <c r="A3414" s="40" t="s">
        <v>2814</v>
      </c>
      <c r="B3414" s="40">
        <v>18.27</v>
      </c>
      <c r="C3414" s="40">
        <v>18.489999999999998</v>
      </c>
      <c r="D3414" s="40">
        <v>17.02</v>
      </c>
      <c r="E3414" s="40">
        <v>17.39</v>
      </c>
      <c r="K3414" s="40"/>
      <c r="P3414" s="40"/>
      <c r="Q3414" s="40"/>
      <c r="R3414" s="40"/>
    </row>
    <row r="3415" spans="1:18" x14ac:dyDescent="0.2">
      <c r="A3415" s="40" t="s">
        <v>2815</v>
      </c>
      <c r="B3415" s="40">
        <v>17.57</v>
      </c>
      <c r="C3415" s="40">
        <v>19.940000000000001</v>
      </c>
      <c r="D3415" s="40">
        <v>17.190000000000001</v>
      </c>
      <c r="E3415" s="40">
        <v>18.899999999999999</v>
      </c>
      <c r="K3415" s="40"/>
      <c r="P3415" s="40"/>
      <c r="Q3415" s="40"/>
      <c r="R3415" s="40"/>
    </row>
    <row r="3416" spans="1:18" x14ac:dyDescent="0.2">
      <c r="A3416" s="40" t="s">
        <v>2816</v>
      </c>
      <c r="B3416" s="40">
        <v>17.34</v>
      </c>
      <c r="C3416" s="40">
        <v>17.48</v>
      </c>
      <c r="D3416" s="40">
        <v>15.99</v>
      </c>
      <c r="E3416" s="40">
        <v>16.510000000000002</v>
      </c>
      <c r="K3416" s="40"/>
      <c r="P3416" s="40"/>
      <c r="Q3416" s="40"/>
      <c r="R3416" s="40"/>
    </row>
    <row r="3417" spans="1:18" x14ac:dyDescent="0.2">
      <c r="A3417" s="41">
        <v>45299</v>
      </c>
      <c r="B3417" s="40">
        <v>16.47</v>
      </c>
      <c r="C3417" s="40">
        <v>21.15</v>
      </c>
      <c r="D3417" s="40">
        <v>15.74</v>
      </c>
      <c r="E3417" s="40">
        <v>19.54</v>
      </c>
      <c r="K3417" s="40"/>
      <c r="P3417" s="40"/>
      <c r="Q3417" s="40"/>
      <c r="R3417" s="40"/>
    </row>
    <row r="3418" spans="1:18" x14ac:dyDescent="0.2">
      <c r="A3418" s="41">
        <v>45330</v>
      </c>
      <c r="B3418" s="40">
        <v>22.78</v>
      </c>
      <c r="C3418" s="40">
        <v>33.58</v>
      </c>
      <c r="D3418" s="40">
        <v>22.25</v>
      </c>
      <c r="E3418" s="40">
        <v>23.31</v>
      </c>
      <c r="K3418" s="40"/>
      <c r="P3418" s="40"/>
      <c r="Q3418" s="40"/>
      <c r="R3418" s="40"/>
    </row>
    <row r="3419" spans="1:18" x14ac:dyDescent="0.2">
      <c r="A3419" s="41">
        <v>45420</v>
      </c>
      <c r="B3419" s="40">
        <v>76.040000000000006</v>
      </c>
      <c r="C3419" s="40">
        <v>76.040000000000006</v>
      </c>
      <c r="D3419" s="40">
        <v>32.22</v>
      </c>
      <c r="E3419" s="40">
        <v>42.79</v>
      </c>
      <c r="K3419" s="40"/>
      <c r="P3419" s="40"/>
      <c r="Q3419" s="40"/>
      <c r="R3419" s="40"/>
    </row>
    <row r="3420" spans="1:18" x14ac:dyDescent="0.2">
      <c r="A3420" s="41">
        <v>45451</v>
      </c>
      <c r="B3420" s="40">
        <v>34.9</v>
      </c>
      <c r="C3420" s="40">
        <v>34.97</v>
      </c>
      <c r="D3420" s="40">
        <v>25</v>
      </c>
      <c r="E3420" s="40">
        <v>28.93</v>
      </c>
      <c r="K3420" s="40"/>
      <c r="P3420" s="40"/>
      <c r="Q3420" s="40"/>
      <c r="R3420" s="40"/>
    </row>
    <row r="3421" spans="1:18" x14ac:dyDescent="0.2">
      <c r="A3421" s="41">
        <v>45481</v>
      </c>
      <c r="B3421" s="40">
        <v>23.12</v>
      </c>
      <c r="C3421" s="40">
        <v>32.69</v>
      </c>
      <c r="D3421" s="40">
        <v>22.23</v>
      </c>
      <c r="E3421" s="40">
        <v>29.26</v>
      </c>
      <c r="K3421" s="40"/>
      <c r="P3421" s="40"/>
      <c r="Q3421" s="40"/>
      <c r="R3421" s="40"/>
    </row>
    <row r="3422" spans="1:18" x14ac:dyDescent="0.2">
      <c r="A3422" s="41">
        <v>45512</v>
      </c>
      <c r="B3422" s="40">
        <v>27.58</v>
      </c>
      <c r="C3422" s="40">
        <v>28.88</v>
      </c>
      <c r="D3422" s="40">
        <v>23.08</v>
      </c>
      <c r="E3422" s="40">
        <v>23.9</v>
      </c>
      <c r="K3422" s="40"/>
      <c r="P3422" s="40"/>
      <c r="Q3422" s="40"/>
      <c r="R3422" s="40"/>
    </row>
    <row r="3423" spans="1:18" x14ac:dyDescent="0.2">
      <c r="A3423" s="41">
        <v>45543</v>
      </c>
      <c r="B3423" s="40">
        <v>24.33</v>
      </c>
      <c r="C3423" s="40">
        <v>25.11</v>
      </c>
      <c r="D3423" s="40">
        <v>19.829999999999998</v>
      </c>
      <c r="E3423" s="40">
        <v>20.059999999999999</v>
      </c>
      <c r="K3423" s="40"/>
      <c r="P3423" s="40"/>
      <c r="Q3423" s="40"/>
      <c r="R3423" s="40"/>
    </row>
    <row r="3424" spans="1:18" x14ac:dyDescent="0.2">
      <c r="A3424" s="41">
        <v>45634</v>
      </c>
      <c r="B3424" s="40">
        <v>21.6</v>
      </c>
      <c r="C3424" s="40">
        <v>22.79</v>
      </c>
      <c r="D3424" s="40">
        <v>20.010000000000002</v>
      </c>
      <c r="E3424" s="40">
        <v>21.92</v>
      </c>
      <c r="K3424" s="40"/>
      <c r="P3424" s="40"/>
      <c r="Q3424" s="40"/>
      <c r="R3424" s="40"/>
    </row>
    <row r="3425" spans="1:18" x14ac:dyDescent="0.2">
      <c r="A3425" s="40" t="s">
        <v>2817</v>
      </c>
      <c r="B3425" s="40">
        <v>20.74</v>
      </c>
      <c r="C3425" s="40">
        <v>20.84</v>
      </c>
      <c r="D3425" s="40">
        <v>18.45</v>
      </c>
      <c r="E3425" s="40">
        <v>18.57</v>
      </c>
      <c r="K3425" s="40"/>
      <c r="P3425" s="40"/>
      <c r="Q3425" s="40"/>
      <c r="R3425" s="40"/>
    </row>
    <row r="3426" spans="1:18" x14ac:dyDescent="0.2">
      <c r="A3426" s="40" t="s">
        <v>2818</v>
      </c>
      <c r="B3426" s="40">
        <v>17.87</v>
      </c>
      <c r="C3426" s="40">
        <v>18.239999999999998</v>
      </c>
      <c r="D3426" s="40">
        <v>15.58</v>
      </c>
      <c r="E3426" s="40">
        <v>15.79</v>
      </c>
      <c r="K3426" s="40"/>
      <c r="P3426" s="40"/>
      <c r="Q3426" s="40"/>
      <c r="R3426" s="40"/>
    </row>
    <row r="3427" spans="1:18" x14ac:dyDescent="0.2">
      <c r="A3427" s="40" t="s">
        <v>2819</v>
      </c>
      <c r="B3427" s="40">
        <v>14.86</v>
      </c>
      <c r="C3427" s="40">
        <v>15.72</v>
      </c>
      <c r="D3427" s="40">
        <v>14.21</v>
      </c>
      <c r="E3427" s="40">
        <v>14.37</v>
      </c>
      <c r="K3427" s="40"/>
      <c r="P3427" s="40"/>
      <c r="Q3427" s="40"/>
      <c r="R3427" s="40"/>
    </row>
    <row r="3428" spans="1:18" x14ac:dyDescent="0.2">
      <c r="A3428" s="40" t="s">
        <v>2820</v>
      </c>
      <c r="B3428" s="40">
        <v>14.78</v>
      </c>
      <c r="C3428" s="40">
        <v>14.78</v>
      </c>
      <c r="D3428" s="40">
        <v>12.92</v>
      </c>
      <c r="E3428" s="40">
        <v>12.97</v>
      </c>
      <c r="K3428" s="40"/>
      <c r="P3428" s="40"/>
      <c r="Q3428" s="40"/>
      <c r="R3428" s="40"/>
    </row>
    <row r="3429" spans="1:18" x14ac:dyDescent="0.2">
      <c r="A3429" s="40" t="s">
        <v>2821</v>
      </c>
      <c r="B3429" s="40">
        <v>15.45</v>
      </c>
      <c r="C3429" s="40">
        <v>15.46</v>
      </c>
      <c r="D3429" s="40">
        <v>13.97</v>
      </c>
      <c r="E3429" s="40">
        <v>14.12</v>
      </c>
      <c r="K3429" s="40"/>
      <c r="P3429" s="40"/>
      <c r="Q3429" s="40"/>
      <c r="R3429" s="40"/>
    </row>
    <row r="3430" spans="1:18" x14ac:dyDescent="0.2">
      <c r="A3430" s="40" t="s">
        <v>2822</v>
      </c>
      <c r="B3430" s="40">
        <v>14.79</v>
      </c>
      <c r="C3430" s="40">
        <v>16.010000000000002</v>
      </c>
      <c r="D3430" s="40">
        <v>14.58</v>
      </c>
      <c r="E3430" s="40">
        <v>15.85</v>
      </c>
      <c r="K3430" s="40"/>
      <c r="P3430" s="40"/>
      <c r="Q3430" s="40"/>
      <c r="R3430" s="40"/>
    </row>
    <row r="3431" spans="1:18" x14ac:dyDescent="0.2">
      <c r="A3431" s="40" t="s">
        <v>2823</v>
      </c>
      <c r="B3431" s="40">
        <v>16.260000000000002</v>
      </c>
      <c r="C3431" s="40">
        <v>17.239999999999998</v>
      </c>
      <c r="D3431" s="40">
        <v>15.56</v>
      </c>
      <c r="E3431" s="40">
        <v>15.65</v>
      </c>
      <c r="K3431" s="40"/>
      <c r="P3431" s="40"/>
      <c r="Q3431" s="40"/>
      <c r="R3431" s="40"/>
    </row>
    <row r="3432" spans="1:18" x14ac:dyDescent="0.2">
      <c r="A3432" s="40" t="s">
        <v>2824</v>
      </c>
      <c r="B3432" s="40">
        <v>15.38</v>
      </c>
      <c r="C3432" s="40">
        <v>17.55</v>
      </c>
      <c r="D3432" s="40">
        <v>15.34</v>
      </c>
      <c r="E3432" s="40">
        <v>16.55</v>
      </c>
      <c r="K3432" s="40"/>
      <c r="P3432" s="40"/>
      <c r="Q3432" s="40"/>
      <c r="R3432" s="40"/>
    </row>
    <row r="3433" spans="1:18" x14ac:dyDescent="0.2">
      <c r="A3433" s="40" t="s">
        <v>2825</v>
      </c>
      <c r="B3433" s="40">
        <v>16.100000000000001</v>
      </c>
      <c r="C3433" s="40">
        <v>16.329999999999998</v>
      </c>
      <c r="D3433" s="40">
        <v>13.36</v>
      </c>
      <c r="E3433" s="40">
        <v>13.69</v>
      </c>
      <c r="K3433" s="40"/>
      <c r="P3433" s="40"/>
      <c r="Q3433" s="40"/>
      <c r="R3433" s="40"/>
    </row>
    <row r="3434" spans="1:18" x14ac:dyDescent="0.2">
      <c r="A3434" s="40" t="s">
        <v>2826</v>
      </c>
      <c r="B3434" s="40">
        <v>15.32</v>
      </c>
      <c r="C3434" s="40">
        <v>16.13</v>
      </c>
      <c r="D3434" s="40">
        <v>14.68</v>
      </c>
      <c r="E3434" s="40">
        <v>14.87</v>
      </c>
      <c r="K3434" s="40"/>
      <c r="P3434" s="40"/>
      <c r="Q3434" s="40"/>
      <c r="R3434" s="40"/>
    </row>
    <row r="3435" spans="1:18" x14ac:dyDescent="0.2">
      <c r="A3435" s="40" t="s">
        <v>2827</v>
      </c>
      <c r="B3435" s="40">
        <v>15.69</v>
      </c>
      <c r="C3435" s="40">
        <v>15.84</v>
      </c>
      <c r="D3435" s="40">
        <v>14.11</v>
      </c>
      <c r="E3435" s="40">
        <v>14.17</v>
      </c>
      <c r="K3435" s="40"/>
      <c r="P3435" s="40"/>
      <c r="Q3435" s="40"/>
      <c r="R3435" s="40"/>
    </row>
    <row r="3436" spans="1:18" x14ac:dyDescent="0.2">
      <c r="A3436" s="40" t="s">
        <v>2828</v>
      </c>
      <c r="B3436" s="40">
        <v>14.78</v>
      </c>
      <c r="C3436" s="40">
        <v>17.7</v>
      </c>
      <c r="D3436" s="40">
        <v>14.61</v>
      </c>
      <c r="E3436" s="40">
        <v>16.64</v>
      </c>
      <c r="K3436" s="40"/>
      <c r="P3436" s="40"/>
      <c r="Q3436" s="40"/>
      <c r="R3436" s="40"/>
    </row>
    <row r="3437" spans="1:18" x14ac:dyDescent="0.2">
      <c r="A3437" s="40" t="s">
        <v>2829</v>
      </c>
      <c r="B3437" s="40">
        <v>14.81</v>
      </c>
      <c r="C3437" s="40">
        <v>14.81</v>
      </c>
      <c r="D3437" s="40">
        <v>13.6</v>
      </c>
      <c r="E3437" s="40">
        <v>13.73</v>
      </c>
      <c r="K3437" s="40"/>
      <c r="P3437" s="40"/>
      <c r="Q3437" s="40"/>
      <c r="R3437" s="40"/>
    </row>
    <row r="3438" spans="1:18" x14ac:dyDescent="0.2">
      <c r="A3438" s="40" t="s">
        <v>2830</v>
      </c>
      <c r="B3438" s="40">
        <v>13.7</v>
      </c>
      <c r="C3438" s="40">
        <v>13.96</v>
      </c>
      <c r="D3438" s="40">
        <v>12.61</v>
      </c>
      <c r="E3438" s="40">
        <v>12.9</v>
      </c>
      <c r="K3438" s="40"/>
      <c r="P3438" s="40"/>
      <c r="Q3438" s="40"/>
      <c r="R3438" s="40"/>
    </row>
    <row r="3439" spans="1:18" x14ac:dyDescent="0.2">
      <c r="A3439" s="41">
        <v>45360</v>
      </c>
      <c r="B3439" s="40">
        <v>16.18</v>
      </c>
      <c r="C3439" s="40">
        <v>21.61</v>
      </c>
      <c r="D3439" s="40">
        <v>16.13</v>
      </c>
      <c r="E3439" s="40">
        <v>20.07</v>
      </c>
      <c r="K3439" s="40"/>
      <c r="P3439" s="40"/>
      <c r="Q3439" s="40"/>
      <c r="R3439" s="40"/>
    </row>
    <row r="3440" spans="1:18" x14ac:dyDescent="0.2">
      <c r="A3440" s="41">
        <v>45391</v>
      </c>
      <c r="B3440" s="40">
        <v>22.49</v>
      </c>
      <c r="C3440" s="40">
        <v>22.49</v>
      </c>
      <c r="D3440" s="40">
        <v>19.010000000000002</v>
      </c>
      <c r="E3440" s="40">
        <v>20.43</v>
      </c>
      <c r="K3440" s="40"/>
      <c r="P3440" s="40"/>
      <c r="Q3440" s="40"/>
      <c r="R3440" s="40"/>
    </row>
    <row r="3441" spans="1:18" x14ac:dyDescent="0.2">
      <c r="A3441" s="41">
        <v>45421</v>
      </c>
      <c r="B3441" s="40">
        <v>20.420000000000002</v>
      </c>
      <c r="C3441" s="40">
        <v>21.31</v>
      </c>
      <c r="D3441" s="40">
        <v>18.62</v>
      </c>
      <c r="E3441" s="40">
        <v>19.54</v>
      </c>
      <c r="K3441" s="40"/>
      <c r="P3441" s="40"/>
      <c r="Q3441" s="40"/>
      <c r="R3441" s="40"/>
    </row>
    <row r="3442" spans="1:18" x14ac:dyDescent="0.2">
      <c r="A3442" s="41">
        <v>45452</v>
      </c>
      <c r="B3442" s="40">
        <v>18.5</v>
      </c>
      <c r="C3442" s="40">
        <v>24.04</v>
      </c>
      <c r="D3442" s="40">
        <v>18.07</v>
      </c>
      <c r="E3442" s="40">
        <v>22.26</v>
      </c>
      <c r="K3442" s="40"/>
      <c r="P3442" s="40"/>
      <c r="Q3442" s="40"/>
      <c r="R3442" s="40"/>
    </row>
    <row r="3443" spans="1:18" x14ac:dyDescent="0.2">
      <c r="A3443" s="41">
        <v>45544</v>
      </c>
      <c r="B3443" s="40">
        <v>22.07</v>
      </c>
      <c r="C3443" s="40">
        <v>22.14</v>
      </c>
      <c r="D3443" s="40">
        <v>19.63</v>
      </c>
      <c r="E3443" s="40">
        <v>19.670000000000002</v>
      </c>
      <c r="K3443" s="40"/>
      <c r="P3443" s="40"/>
      <c r="Q3443" s="40"/>
      <c r="R3443" s="40"/>
    </row>
    <row r="3444" spans="1:18" x14ac:dyDescent="0.2">
      <c r="A3444" s="41">
        <v>45574</v>
      </c>
      <c r="B3444" s="40">
        <v>19.5</v>
      </c>
      <c r="C3444" s="40">
        <v>21.72</v>
      </c>
      <c r="D3444" s="40">
        <v>19.23</v>
      </c>
      <c r="E3444" s="40">
        <v>19.690000000000001</v>
      </c>
      <c r="K3444" s="40"/>
      <c r="P3444" s="40"/>
      <c r="Q3444" s="40"/>
      <c r="R3444" s="40"/>
    </row>
    <row r="3445" spans="1:18" x14ac:dyDescent="0.2">
      <c r="A3445" s="41">
        <v>45605</v>
      </c>
      <c r="B3445" s="40">
        <v>19.350000000000001</v>
      </c>
      <c r="C3445" s="40">
        <v>22.61</v>
      </c>
      <c r="D3445" s="40">
        <v>17.649999999999999</v>
      </c>
      <c r="E3445" s="40">
        <v>17.88</v>
      </c>
      <c r="K3445" s="40"/>
      <c r="P3445" s="40"/>
      <c r="Q3445" s="40"/>
      <c r="R3445" s="40"/>
    </row>
    <row r="3446" spans="1:18" x14ac:dyDescent="0.2">
      <c r="A3446" s="41">
        <v>45635</v>
      </c>
      <c r="B3446" s="40">
        <v>18.12</v>
      </c>
      <c r="C3446" s="40">
        <v>18.86</v>
      </c>
      <c r="D3446" s="40">
        <v>16.43</v>
      </c>
      <c r="E3446" s="40">
        <v>16.75</v>
      </c>
      <c r="K3446" s="40"/>
      <c r="P3446" s="40"/>
      <c r="Q3446" s="40"/>
      <c r="R3446" s="40"/>
    </row>
    <row r="3447" spans="1:18" x14ac:dyDescent="0.2">
      <c r="A3447" s="40" t="s">
        <v>2831</v>
      </c>
      <c r="B3447" s="40">
        <v>17.12</v>
      </c>
      <c r="C3447" s="40">
        <v>17.14</v>
      </c>
      <c r="D3447" s="40">
        <v>15.36</v>
      </c>
      <c r="E3447" s="40">
        <v>15.8</v>
      </c>
      <c r="K3447" s="40"/>
      <c r="P3447" s="40"/>
      <c r="Q3447" s="40"/>
      <c r="R3447" s="40"/>
    </row>
    <row r="3448" spans="1:18" x14ac:dyDescent="0.2">
      <c r="A3448" s="40" t="s">
        <v>2832</v>
      </c>
      <c r="B3448" s="40">
        <v>17.57</v>
      </c>
      <c r="C3448" s="40">
        <v>18.100000000000001</v>
      </c>
      <c r="D3448" s="40">
        <v>16.97</v>
      </c>
      <c r="E3448" s="40">
        <v>17.190000000000001</v>
      </c>
      <c r="K3448" s="40"/>
      <c r="P3448" s="40"/>
      <c r="Q3448" s="40"/>
      <c r="R3448" s="40"/>
    </row>
    <row r="3449" spans="1:18" x14ac:dyDescent="0.2">
      <c r="A3449" s="40" t="s">
        <v>2833</v>
      </c>
      <c r="B3449" s="40">
        <v>17.38</v>
      </c>
      <c r="C3449" s="40">
        <v>19.28</v>
      </c>
      <c r="D3449" s="40">
        <v>17.02</v>
      </c>
      <c r="E3449" s="40">
        <v>18.09</v>
      </c>
      <c r="K3449" s="40"/>
      <c r="P3449" s="40"/>
      <c r="Q3449" s="40"/>
      <c r="R3449" s="40"/>
    </row>
    <row r="3450" spans="1:18" x14ac:dyDescent="0.2">
      <c r="A3450" s="40" t="s">
        <v>2834</v>
      </c>
      <c r="B3450" s="40">
        <v>19.420000000000002</v>
      </c>
      <c r="C3450" s="40">
        <v>20.32</v>
      </c>
      <c r="D3450" s="40">
        <v>16.84</v>
      </c>
      <c r="E3450" s="40">
        <v>17.95</v>
      </c>
      <c r="K3450" s="40"/>
      <c r="P3450" s="40"/>
      <c r="Q3450" s="40"/>
      <c r="R3450" s="40"/>
    </row>
    <row r="3451" spans="1:18" x14ac:dyDescent="0.2">
      <c r="A3451" s="40" t="s">
        <v>2835</v>
      </c>
      <c r="B3451" s="40">
        <v>15.42</v>
      </c>
      <c r="C3451" s="40">
        <v>16.27</v>
      </c>
      <c r="D3451" s="40">
        <v>14.44</v>
      </c>
      <c r="E3451" s="40">
        <v>14.66</v>
      </c>
      <c r="K3451" s="40"/>
      <c r="P3451" s="40"/>
      <c r="Q3451" s="40"/>
      <c r="R3451" s="40"/>
    </row>
    <row r="3452" spans="1:18" x14ac:dyDescent="0.2">
      <c r="A3452" s="40" t="s">
        <v>2836</v>
      </c>
      <c r="B3452" s="40">
        <v>14.36</v>
      </c>
      <c r="C3452" s="40">
        <v>14.49</v>
      </c>
      <c r="D3452" s="40">
        <v>13.01</v>
      </c>
      <c r="E3452" s="40">
        <v>13.2</v>
      </c>
      <c r="K3452" s="40"/>
      <c r="P3452" s="40"/>
      <c r="Q3452" s="40"/>
      <c r="R3452" s="40"/>
    </row>
    <row r="3453" spans="1:18" x14ac:dyDescent="0.2">
      <c r="A3453" s="40" t="s">
        <v>2837</v>
      </c>
      <c r="B3453" s="40">
        <v>15.35</v>
      </c>
      <c r="C3453" s="40">
        <v>15.41</v>
      </c>
      <c r="D3453" s="40">
        <v>14.16</v>
      </c>
      <c r="E3453" s="40">
        <v>14.35</v>
      </c>
      <c r="K3453" s="40"/>
      <c r="P3453" s="40"/>
      <c r="Q3453" s="40"/>
      <c r="R3453" s="40"/>
    </row>
    <row r="3454" spans="1:18" x14ac:dyDescent="0.2">
      <c r="A3454" s="40" t="s">
        <v>2838</v>
      </c>
      <c r="B3454" s="40">
        <v>14.82</v>
      </c>
      <c r="C3454" s="40">
        <v>15.79</v>
      </c>
      <c r="D3454" s="40">
        <v>13.92</v>
      </c>
      <c r="E3454" s="40">
        <v>14.12</v>
      </c>
      <c r="K3454" s="40"/>
      <c r="P3454" s="40"/>
      <c r="Q3454" s="40"/>
      <c r="R3454" s="40"/>
    </row>
    <row r="3455" spans="1:18" x14ac:dyDescent="0.2">
      <c r="A3455" s="40" t="s">
        <v>2839</v>
      </c>
      <c r="B3455" s="40">
        <v>14.31</v>
      </c>
      <c r="C3455" s="40">
        <v>14.85</v>
      </c>
      <c r="D3455" s="40">
        <v>14.11</v>
      </c>
      <c r="E3455" s="40">
        <v>14.24</v>
      </c>
      <c r="K3455" s="40"/>
      <c r="P3455" s="40"/>
      <c r="Q3455" s="40"/>
      <c r="R3455" s="40"/>
    </row>
    <row r="3456" spans="1:18" x14ac:dyDescent="0.2">
      <c r="A3456" s="40" t="s">
        <v>2840</v>
      </c>
      <c r="B3456" s="40">
        <v>14.4</v>
      </c>
      <c r="C3456" s="40">
        <v>15.13</v>
      </c>
      <c r="D3456" s="40">
        <v>14.19</v>
      </c>
      <c r="E3456" s="40">
        <v>14.56</v>
      </c>
      <c r="K3456" s="40"/>
      <c r="P3456" s="40"/>
      <c r="Q3456" s="40"/>
      <c r="R3456" s="40"/>
    </row>
    <row r="3457" spans="1:18" x14ac:dyDescent="0.2">
      <c r="A3457" s="40" t="s">
        <v>2841</v>
      </c>
      <c r="B3457" s="40">
        <v>14.65</v>
      </c>
      <c r="C3457" s="40">
        <v>15.79</v>
      </c>
      <c r="D3457" s="40">
        <v>13.92</v>
      </c>
      <c r="E3457" s="40">
        <v>15.74</v>
      </c>
      <c r="K3457" s="40"/>
      <c r="P3457" s="40"/>
      <c r="Q3457" s="40"/>
      <c r="R3457" s="40"/>
    </row>
    <row r="3458" spans="1:18" x14ac:dyDescent="0.2">
      <c r="A3458" s="40" t="s">
        <v>2842</v>
      </c>
      <c r="B3458" s="40">
        <v>17.190000000000001</v>
      </c>
      <c r="C3458" s="40">
        <v>17.82</v>
      </c>
      <c r="D3458" s="40">
        <v>16.329999999999998</v>
      </c>
      <c r="E3458" s="40">
        <v>16.649999999999999</v>
      </c>
      <c r="K3458" s="40"/>
      <c r="P3458" s="40"/>
      <c r="Q3458" s="40"/>
      <c r="R3458" s="40"/>
    </row>
    <row r="3459" spans="1:18" x14ac:dyDescent="0.2">
      <c r="A3459" s="41">
        <v>45301</v>
      </c>
      <c r="B3459" s="40">
        <v>17.04</v>
      </c>
      <c r="C3459" s="40">
        <v>22.41</v>
      </c>
      <c r="D3459" s="40">
        <v>17.04</v>
      </c>
      <c r="E3459" s="40">
        <v>19.55</v>
      </c>
      <c r="K3459" s="40"/>
      <c r="P3459" s="40"/>
      <c r="Q3459" s="40"/>
      <c r="R3459" s="40"/>
    </row>
    <row r="3460" spans="1:18" x14ac:dyDescent="0.2">
      <c r="A3460" s="41">
        <v>45332</v>
      </c>
      <c r="B3460" s="40">
        <v>20.51</v>
      </c>
      <c r="C3460" s="40">
        <v>21.25</v>
      </c>
      <c r="D3460" s="40">
        <v>18.649999999999999</v>
      </c>
      <c r="E3460" s="40">
        <v>18.760000000000002</v>
      </c>
      <c r="K3460" s="40"/>
      <c r="P3460" s="40"/>
      <c r="Q3460" s="40"/>
      <c r="R3460" s="40"/>
    </row>
    <row r="3461" spans="1:18" x14ac:dyDescent="0.2">
      <c r="A3461" s="41">
        <v>45361</v>
      </c>
      <c r="B3461" s="40">
        <v>19.79</v>
      </c>
      <c r="C3461" s="40">
        <v>20.97</v>
      </c>
      <c r="D3461" s="40">
        <v>18.899999999999999</v>
      </c>
      <c r="E3461" s="40">
        <v>20.41</v>
      </c>
      <c r="K3461" s="40"/>
      <c r="P3461" s="40"/>
      <c r="Q3461" s="40"/>
      <c r="R3461" s="40"/>
    </row>
    <row r="3462" spans="1:18" x14ac:dyDescent="0.2">
      <c r="A3462" s="41">
        <v>45392</v>
      </c>
      <c r="B3462" s="40">
        <v>18.260000000000002</v>
      </c>
      <c r="C3462" s="40">
        <v>18.940000000000001</v>
      </c>
      <c r="D3462" s="40">
        <v>15.84</v>
      </c>
      <c r="E3462" s="40">
        <v>16.48</v>
      </c>
      <c r="K3462" s="40"/>
      <c r="P3462" s="40"/>
      <c r="Q3462" s="40"/>
      <c r="R3462" s="40"/>
    </row>
    <row r="3463" spans="1:18" x14ac:dyDescent="0.2">
      <c r="A3463" s="41">
        <v>45483</v>
      </c>
      <c r="B3463" s="40">
        <v>18.48</v>
      </c>
      <c r="C3463" s="40">
        <v>21.77</v>
      </c>
      <c r="D3463" s="40">
        <v>17.8</v>
      </c>
      <c r="E3463" s="40">
        <v>20</v>
      </c>
      <c r="K3463" s="40"/>
      <c r="P3463" s="40"/>
      <c r="Q3463" s="40"/>
      <c r="R3463" s="40"/>
    </row>
    <row r="3464" spans="1:18" x14ac:dyDescent="0.2">
      <c r="A3464" s="41">
        <v>45514</v>
      </c>
      <c r="B3464" s="40">
        <v>19.09</v>
      </c>
      <c r="C3464" s="40">
        <v>19.32</v>
      </c>
      <c r="D3464" s="40">
        <v>17.920000000000002</v>
      </c>
      <c r="E3464" s="40">
        <v>18</v>
      </c>
      <c r="K3464" s="40"/>
      <c r="P3464" s="40"/>
      <c r="Q3464" s="40"/>
      <c r="R3464" s="40"/>
    </row>
    <row r="3465" spans="1:18" x14ac:dyDescent="0.2">
      <c r="A3465" s="41">
        <v>45545</v>
      </c>
      <c r="B3465" s="40">
        <v>17.64</v>
      </c>
      <c r="C3465" s="40">
        <v>17.64</v>
      </c>
      <c r="D3465" s="40">
        <v>16.260000000000002</v>
      </c>
      <c r="E3465" s="40">
        <v>16.41</v>
      </c>
      <c r="K3465" s="40"/>
      <c r="P3465" s="40"/>
      <c r="Q3465" s="40"/>
      <c r="R3465" s="40"/>
    </row>
    <row r="3466" spans="1:18" x14ac:dyDescent="0.2">
      <c r="A3466" s="41">
        <v>45575</v>
      </c>
      <c r="B3466" s="40">
        <v>16.329999999999998</v>
      </c>
      <c r="C3466" s="40">
        <v>16.53</v>
      </c>
      <c r="D3466" s="40">
        <v>15.22</v>
      </c>
      <c r="E3466" s="40">
        <v>15.49</v>
      </c>
      <c r="K3466" s="40"/>
      <c r="P3466" s="40"/>
      <c r="Q3466" s="40"/>
      <c r="R3466" s="40"/>
    </row>
    <row r="3467" spans="1:18" x14ac:dyDescent="0.2">
      <c r="A3467" s="41">
        <v>45606</v>
      </c>
      <c r="B3467" s="40">
        <v>15.18</v>
      </c>
      <c r="C3467" s="40">
        <v>15.18</v>
      </c>
      <c r="D3467" s="40">
        <v>13.83</v>
      </c>
      <c r="E3467" s="40">
        <v>14.33</v>
      </c>
      <c r="K3467" s="40"/>
      <c r="P3467" s="40"/>
      <c r="Q3467" s="40"/>
      <c r="R3467" s="40"/>
    </row>
    <row r="3468" spans="1:18" x14ac:dyDescent="0.2">
      <c r="A3468" s="40" t="s">
        <v>2843</v>
      </c>
      <c r="B3468" s="40">
        <v>15.4</v>
      </c>
      <c r="C3468" s="40">
        <v>15.41</v>
      </c>
      <c r="D3468" s="40">
        <v>14.63</v>
      </c>
      <c r="E3468" s="40">
        <v>14.64</v>
      </c>
      <c r="K3468" s="40"/>
      <c r="P3468" s="40"/>
      <c r="Q3468" s="40"/>
      <c r="R3468" s="40"/>
    </row>
    <row r="3469" spans="1:18" x14ac:dyDescent="0.2">
      <c r="A3469" s="40" t="s">
        <v>2844</v>
      </c>
      <c r="B3469" s="40">
        <v>14.51</v>
      </c>
      <c r="C3469" s="40">
        <v>15.83</v>
      </c>
      <c r="D3469" s="40">
        <v>14.12</v>
      </c>
      <c r="E3469" s="40">
        <v>14.88</v>
      </c>
      <c r="K3469" s="40"/>
      <c r="P3469" s="40"/>
      <c r="Q3469" s="40"/>
      <c r="R3469" s="40"/>
    </row>
    <row r="3470" spans="1:18" x14ac:dyDescent="0.2">
      <c r="A3470" s="40" t="s">
        <v>2845</v>
      </c>
      <c r="B3470" s="40">
        <v>15.3</v>
      </c>
      <c r="C3470" s="40">
        <v>15.44</v>
      </c>
      <c r="D3470" s="40">
        <v>14.13</v>
      </c>
      <c r="E3470" s="40">
        <v>14.25</v>
      </c>
      <c r="K3470" s="40"/>
      <c r="P3470" s="40"/>
      <c r="Q3470" s="40"/>
      <c r="R3470" s="40"/>
    </row>
    <row r="3471" spans="1:18" x14ac:dyDescent="0.2">
      <c r="A3471" s="40" t="s">
        <v>2846</v>
      </c>
      <c r="B3471" s="40">
        <v>14.39</v>
      </c>
      <c r="C3471" s="40">
        <v>14.94</v>
      </c>
      <c r="D3471" s="40">
        <v>13.78</v>
      </c>
      <c r="E3471" s="40">
        <v>13.85</v>
      </c>
      <c r="K3471" s="40"/>
      <c r="P3471" s="40"/>
      <c r="Q3471" s="40"/>
      <c r="R3471" s="40"/>
    </row>
    <row r="3472" spans="1:18" x14ac:dyDescent="0.2">
      <c r="A3472" s="40" t="s">
        <v>2847</v>
      </c>
      <c r="B3472" s="40">
        <v>14.22</v>
      </c>
      <c r="C3472" s="40">
        <v>14.35</v>
      </c>
      <c r="D3472" s="40">
        <v>12.38</v>
      </c>
      <c r="E3472" s="40">
        <v>12.38</v>
      </c>
      <c r="K3472" s="40"/>
      <c r="P3472" s="40"/>
      <c r="Q3472" s="40"/>
      <c r="R3472" s="40"/>
    </row>
    <row r="3473" spans="1:18" x14ac:dyDescent="0.2">
      <c r="A3473" s="40" t="s">
        <v>2848</v>
      </c>
      <c r="B3473" s="40">
        <v>15.1</v>
      </c>
      <c r="C3473" s="40">
        <v>16</v>
      </c>
      <c r="D3473" s="40">
        <v>14.39</v>
      </c>
      <c r="E3473" s="40">
        <v>14.39</v>
      </c>
      <c r="K3473" s="40"/>
      <c r="P3473" s="40"/>
      <c r="Q3473" s="40"/>
      <c r="R3473" s="40"/>
    </row>
    <row r="3474" spans="1:18" x14ac:dyDescent="0.2">
      <c r="A3474" s="40" t="s">
        <v>2849</v>
      </c>
      <c r="B3474" s="40">
        <v>15.65</v>
      </c>
      <c r="C3474" s="40">
        <v>15.75</v>
      </c>
      <c r="D3474" s="40">
        <v>14.33</v>
      </c>
      <c r="E3474" s="40">
        <v>14.55</v>
      </c>
      <c r="K3474" s="40"/>
      <c r="P3474" s="40"/>
      <c r="Q3474" s="40"/>
      <c r="R3474" s="40"/>
    </row>
    <row r="3475" spans="1:18" x14ac:dyDescent="0.2">
      <c r="A3475" s="40" t="s">
        <v>2850</v>
      </c>
      <c r="B3475" s="40">
        <v>15.26</v>
      </c>
      <c r="C3475" s="40">
        <v>18.59</v>
      </c>
      <c r="D3475" s="40">
        <v>15.19</v>
      </c>
      <c r="E3475" s="40">
        <v>16.489999999999998</v>
      </c>
      <c r="K3475" s="40"/>
      <c r="P3475" s="40"/>
      <c r="Q3475" s="40"/>
      <c r="R3475" s="40"/>
    </row>
    <row r="3476" spans="1:18" x14ac:dyDescent="0.2">
      <c r="A3476" s="40" t="s">
        <v>2851</v>
      </c>
      <c r="B3476" s="40">
        <v>16.91</v>
      </c>
      <c r="C3476" s="40">
        <v>18.25</v>
      </c>
      <c r="D3476" s="40">
        <v>16.59</v>
      </c>
      <c r="E3476" s="40">
        <v>16.670000000000002</v>
      </c>
      <c r="K3476" s="40"/>
      <c r="P3476" s="40"/>
      <c r="Q3476" s="40"/>
      <c r="R3476" s="40"/>
    </row>
    <row r="3477" spans="1:18" x14ac:dyDescent="0.2">
      <c r="A3477" s="40" t="s">
        <v>2852</v>
      </c>
      <c r="B3477" s="40">
        <v>16.62</v>
      </c>
      <c r="C3477" s="40">
        <v>18.97</v>
      </c>
      <c r="D3477" s="40">
        <v>16.420000000000002</v>
      </c>
      <c r="E3477" s="40">
        <v>18.489999999999998</v>
      </c>
      <c r="K3477" s="40"/>
      <c r="P3477" s="40"/>
      <c r="Q3477" s="40"/>
      <c r="R3477" s="40"/>
    </row>
    <row r="3478" spans="1:18" x14ac:dyDescent="0.2">
      <c r="A3478" s="40" t="s">
        <v>2853</v>
      </c>
      <c r="B3478" s="40">
        <v>20.22</v>
      </c>
      <c r="C3478" s="40">
        <v>21.25</v>
      </c>
      <c r="D3478" s="40">
        <v>19.850000000000001</v>
      </c>
      <c r="E3478" s="40">
        <v>21.17</v>
      </c>
      <c r="K3478" s="40"/>
      <c r="P3478" s="40"/>
      <c r="Q3478" s="40"/>
      <c r="R3478" s="40"/>
    </row>
    <row r="3479" spans="1:18" x14ac:dyDescent="0.2">
      <c r="A3479" s="40" t="s">
        <v>2854</v>
      </c>
      <c r="B3479" s="40">
        <v>22.33</v>
      </c>
      <c r="C3479" s="40">
        <v>22.86</v>
      </c>
      <c r="D3479" s="40">
        <v>21.28</v>
      </c>
      <c r="E3479" s="40">
        <v>21.77</v>
      </c>
      <c r="K3479" s="40"/>
      <c r="P3479" s="40"/>
      <c r="Q3479" s="40"/>
      <c r="R3479" s="40"/>
    </row>
    <row r="3480" spans="1:18" x14ac:dyDescent="0.2">
      <c r="A3480" s="40" t="s">
        <v>2855</v>
      </c>
      <c r="B3480" s="40">
        <v>22.96</v>
      </c>
      <c r="C3480" s="40">
        <v>23.67</v>
      </c>
      <c r="D3480" s="40">
        <v>22.51</v>
      </c>
      <c r="E3480" s="40">
        <v>23.59</v>
      </c>
      <c r="K3480" s="40"/>
      <c r="P3480" s="40"/>
      <c r="Q3480" s="40"/>
      <c r="R3480" s="40"/>
    </row>
    <row r="3481" spans="1:18" x14ac:dyDescent="0.2">
      <c r="A3481" s="40" t="s">
        <v>2856</v>
      </c>
      <c r="B3481" s="40">
        <v>25.05</v>
      </c>
      <c r="C3481" s="40">
        <v>27.06</v>
      </c>
      <c r="D3481" s="40">
        <v>24.38</v>
      </c>
      <c r="E3481" s="40">
        <v>26.05</v>
      </c>
      <c r="K3481" s="40"/>
      <c r="P3481" s="40"/>
      <c r="Q3481" s="40"/>
      <c r="R3481" s="40"/>
    </row>
    <row r="3482" spans="1:18" x14ac:dyDescent="0.2">
      <c r="A3482" s="41">
        <v>45302</v>
      </c>
      <c r="B3482" s="40">
        <v>24.91</v>
      </c>
      <c r="C3482" s="40">
        <v>24.96</v>
      </c>
      <c r="D3482" s="40">
        <v>23.38</v>
      </c>
      <c r="E3482" s="40">
        <v>23.47</v>
      </c>
      <c r="K3482" s="40"/>
      <c r="P3482" s="40"/>
      <c r="Q3482" s="40"/>
      <c r="R3482" s="40"/>
    </row>
    <row r="3483" spans="1:18" x14ac:dyDescent="0.2">
      <c r="A3483" s="41">
        <v>45393</v>
      </c>
      <c r="B3483" s="40">
        <v>26.44</v>
      </c>
      <c r="C3483" s="40">
        <v>27.24</v>
      </c>
      <c r="D3483" s="40">
        <v>25.36</v>
      </c>
      <c r="E3483" s="40">
        <v>25.77</v>
      </c>
      <c r="K3483" s="40"/>
      <c r="P3483" s="40"/>
      <c r="Q3483" s="40"/>
      <c r="R3483" s="40"/>
    </row>
    <row r="3484" spans="1:18" x14ac:dyDescent="0.2">
      <c r="A3484" s="41">
        <v>45423</v>
      </c>
      <c r="B3484" s="40">
        <v>25.91</v>
      </c>
      <c r="C3484" s="40">
        <v>25.97</v>
      </c>
      <c r="D3484" s="40">
        <v>23.98</v>
      </c>
      <c r="E3484" s="40">
        <v>24.7</v>
      </c>
      <c r="K3484" s="40"/>
      <c r="P3484" s="40"/>
      <c r="Q3484" s="40"/>
      <c r="R3484" s="40"/>
    </row>
    <row r="3485" spans="1:18" x14ac:dyDescent="0.2">
      <c r="A3485" s="41">
        <v>45454</v>
      </c>
      <c r="B3485" s="40">
        <v>16.37</v>
      </c>
      <c r="C3485" s="40">
        <v>17.41</v>
      </c>
      <c r="D3485" s="40">
        <v>15.67</v>
      </c>
      <c r="E3485" s="40">
        <v>15.85</v>
      </c>
      <c r="K3485" s="40"/>
      <c r="P3485" s="40"/>
      <c r="Q3485" s="40"/>
      <c r="R3485" s="40"/>
    </row>
    <row r="3486" spans="1:18" x14ac:dyDescent="0.2">
      <c r="A3486" s="41">
        <v>45484</v>
      </c>
      <c r="B3486" s="40">
        <v>14.87</v>
      </c>
      <c r="C3486" s="40">
        <v>14.92</v>
      </c>
      <c r="D3486" s="40">
        <v>13.8</v>
      </c>
      <c r="E3486" s="40">
        <v>13.84</v>
      </c>
      <c r="K3486" s="40"/>
      <c r="P3486" s="40"/>
      <c r="Q3486" s="40"/>
      <c r="R3486" s="40"/>
    </row>
    <row r="3487" spans="1:18" x14ac:dyDescent="0.2">
      <c r="A3487" s="41">
        <v>45515</v>
      </c>
      <c r="B3487" s="40">
        <v>13.35</v>
      </c>
      <c r="C3487" s="40">
        <v>13.38</v>
      </c>
      <c r="D3487" s="40">
        <v>12.84</v>
      </c>
      <c r="E3487" s="40">
        <v>13.09</v>
      </c>
      <c r="K3487" s="40"/>
      <c r="P3487" s="40"/>
      <c r="Q3487" s="40"/>
      <c r="R3487" s="40"/>
    </row>
    <row r="3488" spans="1:18" x14ac:dyDescent="0.2">
      <c r="A3488" s="41">
        <v>45607</v>
      </c>
      <c r="B3488" s="40">
        <v>14.95</v>
      </c>
      <c r="C3488" s="40">
        <v>15.24</v>
      </c>
      <c r="D3488" s="40">
        <v>13.95</v>
      </c>
      <c r="E3488" s="40">
        <v>14</v>
      </c>
      <c r="K3488" s="40"/>
      <c r="P3488" s="40"/>
      <c r="Q3488" s="40"/>
      <c r="R3488" s="40"/>
    </row>
    <row r="3489" spans="1:18" x14ac:dyDescent="0.2">
      <c r="A3489" s="41">
        <v>45637</v>
      </c>
      <c r="B3489" s="40">
        <v>14.49</v>
      </c>
      <c r="C3489" s="40">
        <v>14.66</v>
      </c>
      <c r="D3489" s="40">
        <v>13.91</v>
      </c>
      <c r="E3489" s="40">
        <v>13.92</v>
      </c>
      <c r="K3489" s="40"/>
      <c r="P3489" s="40"/>
      <c r="Q3489" s="40"/>
      <c r="R3489" s="40"/>
    </row>
    <row r="3490" spans="1:18" x14ac:dyDescent="0.2">
      <c r="A3490" s="40" t="s">
        <v>2857</v>
      </c>
      <c r="B3490" s="40">
        <v>14.09</v>
      </c>
      <c r="C3490" s="40">
        <v>14.22</v>
      </c>
      <c r="D3490" s="40">
        <v>12.53</v>
      </c>
      <c r="E3490" s="40">
        <v>12.81</v>
      </c>
      <c r="K3490" s="40"/>
      <c r="P3490" s="40"/>
      <c r="Q3490" s="40"/>
      <c r="R3490" s="40"/>
    </row>
    <row r="3491" spans="1:18" x14ac:dyDescent="0.2">
      <c r="A3491" s="40" t="s">
        <v>2858</v>
      </c>
      <c r="B3491" s="40">
        <v>12.87</v>
      </c>
      <c r="C3491" s="40">
        <v>13.16</v>
      </c>
      <c r="D3491" s="40">
        <v>12.31</v>
      </c>
      <c r="E3491" s="40">
        <v>13.13</v>
      </c>
      <c r="K3491" s="40"/>
      <c r="P3491" s="40"/>
      <c r="Q3491" s="40"/>
      <c r="R3491" s="40"/>
    </row>
    <row r="3492" spans="1:18" x14ac:dyDescent="0.2">
      <c r="A3492" s="40" t="s">
        <v>2859</v>
      </c>
      <c r="B3492" s="40">
        <v>13.49</v>
      </c>
      <c r="C3492" s="40">
        <v>17.21</v>
      </c>
      <c r="D3492" s="40">
        <v>13.24</v>
      </c>
      <c r="E3492" s="40">
        <v>14.81</v>
      </c>
      <c r="K3492" s="40"/>
      <c r="P3492" s="40"/>
      <c r="Q3492" s="40"/>
      <c r="R3492" s="40"/>
    </row>
    <row r="3493" spans="1:18" x14ac:dyDescent="0.2">
      <c r="A3493" s="40" t="s">
        <v>2860</v>
      </c>
      <c r="B3493" s="40">
        <v>16.14</v>
      </c>
      <c r="C3493" s="40">
        <v>16.190000000000001</v>
      </c>
      <c r="D3493" s="40">
        <v>13.83</v>
      </c>
      <c r="E3493" s="40">
        <v>13.98</v>
      </c>
      <c r="K3493" s="40"/>
      <c r="P3493" s="40"/>
      <c r="Q3493" s="40"/>
      <c r="R3493" s="40"/>
    </row>
    <row r="3494" spans="1:18" x14ac:dyDescent="0.2">
      <c r="A3494" s="40" t="s">
        <v>2861</v>
      </c>
      <c r="B3494" s="40">
        <v>15.86</v>
      </c>
      <c r="C3494" s="40">
        <v>16.14</v>
      </c>
      <c r="D3494" s="40">
        <v>13.91</v>
      </c>
      <c r="E3494" s="40">
        <v>14.24</v>
      </c>
      <c r="K3494" s="40"/>
      <c r="P3494" s="40"/>
      <c r="Q3494" s="40"/>
      <c r="R3494" s="40"/>
    </row>
    <row r="3495" spans="1:18" x14ac:dyDescent="0.2">
      <c r="A3495" s="40" t="s">
        <v>2862</v>
      </c>
      <c r="B3495" s="40">
        <v>14.21</v>
      </c>
      <c r="C3495" s="40">
        <v>16.760000000000002</v>
      </c>
      <c r="D3495" s="40">
        <v>14.14</v>
      </c>
      <c r="E3495" s="40">
        <v>15.08</v>
      </c>
      <c r="K3495" s="40"/>
      <c r="P3495" s="40"/>
      <c r="Q3495" s="40"/>
      <c r="R3495" s="40"/>
    </row>
    <row r="3496" spans="1:18" x14ac:dyDescent="0.2">
      <c r="A3496" s="40" t="s">
        <v>2863</v>
      </c>
      <c r="B3496" s="40">
        <v>13.41</v>
      </c>
      <c r="C3496" s="40">
        <v>16.25</v>
      </c>
      <c r="D3496" s="40">
        <v>13.15</v>
      </c>
      <c r="E3496" s="40">
        <v>14.15</v>
      </c>
      <c r="K3496" s="40"/>
      <c r="P3496" s="40"/>
      <c r="Q3496" s="40"/>
      <c r="R3496" s="40"/>
    </row>
    <row r="3497" spans="1:18" x14ac:dyDescent="0.2">
      <c r="A3497" s="40" t="s">
        <v>2864</v>
      </c>
      <c r="B3497" s="40">
        <v>13.83</v>
      </c>
      <c r="C3497" s="40">
        <v>13.97</v>
      </c>
      <c r="D3497" s="40">
        <v>11.44</v>
      </c>
      <c r="E3497" s="40">
        <v>11.46</v>
      </c>
      <c r="K3497" s="40"/>
      <c r="P3497" s="40"/>
      <c r="Q3497" s="40"/>
      <c r="R3497" s="40"/>
    </row>
    <row r="3498" spans="1:18" x14ac:dyDescent="0.2">
      <c r="A3498" s="40" t="s">
        <v>2865</v>
      </c>
      <c r="B3498" s="40">
        <v>13.21</v>
      </c>
      <c r="C3498" s="40">
        <v>14.19</v>
      </c>
      <c r="D3498" s="40">
        <v>12.29</v>
      </c>
      <c r="E3498" s="40">
        <v>12.31</v>
      </c>
      <c r="K3498" s="40"/>
      <c r="P3498" s="40"/>
      <c r="Q3498" s="40"/>
      <c r="R3498" s="40"/>
    </row>
    <row r="3499" spans="1:18" x14ac:dyDescent="0.2">
      <c r="A3499" s="40" t="s">
        <v>2866</v>
      </c>
      <c r="B3499" s="40">
        <v>12.55</v>
      </c>
      <c r="C3499" s="40">
        <v>12.55</v>
      </c>
      <c r="D3499" s="40">
        <v>11.72</v>
      </c>
      <c r="E3499" s="40">
        <v>11.73</v>
      </c>
      <c r="K3499" s="40"/>
      <c r="P3499" s="40"/>
      <c r="Q3499" s="40"/>
      <c r="R3499" s="40"/>
    </row>
    <row r="3500" spans="1:18" x14ac:dyDescent="0.2">
      <c r="A3500" s="40" t="s">
        <v>2867</v>
      </c>
      <c r="B3500" s="40">
        <v>12.04</v>
      </c>
      <c r="C3500" s="40">
        <v>12.42</v>
      </c>
      <c r="D3500" s="40">
        <v>10.74</v>
      </c>
      <c r="E3500" s="40">
        <v>10.75</v>
      </c>
      <c r="K3500" s="40"/>
      <c r="P3500" s="40"/>
      <c r="Q3500" s="40"/>
      <c r="R3500" s="40"/>
    </row>
    <row r="3501" spans="1:18" x14ac:dyDescent="0.2">
      <c r="A3501" s="40" t="s">
        <v>2868</v>
      </c>
      <c r="B3501" s="40">
        <v>12.12</v>
      </c>
      <c r="C3501" s="40">
        <v>12.12</v>
      </c>
      <c r="D3501" s="40">
        <v>10.89</v>
      </c>
      <c r="E3501" s="40">
        <v>10.89</v>
      </c>
      <c r="K3501" s="40"/>
      <c r="P3501" s="40"/>
      <c r="Q3501" s="40"/>
      <c r="R3501" s="40"/>
    </row>
    <row r="3502" spans="1:18" x14ac:dyDescent="0.2">
      <c r="A3502" s="41">
        <v>45334</v>
      </c>
      <c r="B3502" s="40">
        <v>12.74</v>
      </c>
      <c r="C3502" s="40">
        <v>12.8</v>
      </c>
      <c r="D3502" s="40">
        <v>11.78</v>
      </c>
      <c r="E3502" s="40">
        <v>11.86</v>
      </c>
      <c r="K3502" s="40"/>
      <c r="P3502" s="40"/>
      <c r="Q3502" s="40"/>
      <c r="R3502" s="40"/>
    </row>
    <row r="3503" spans="1:18" x14ac:dyDescent="0.2">
      <c r="A3503" s="41">
        <v>45363</v>
      </c>
      <c r="B3503" s="40">
        <v>12.25</v>
      </c>
      <c r="C3503" s="40">
        <v>12.59</v>
      </c>
      <c r="D3503" s="40">
        <v>11.81</v>
      </c>
      <c r="E3503" s="40">
        <v>11.87</v>
      </c>
      <c r="K3503" s="40"/>
      <c r="P3503" s="40"/>
      <c r="Q3503" s="40"/>
      <c r="R3503" s="40"/>
    </row>
    <row r="3504" spans="1:18" x14ac:dyDescent="0.2">
      <c r="A3504" s="41">
        <v>45394</v>
      </c>
      <c r="B3504" s="40">
        <v>11.83</v>
      </c>
      <c r="C3504" s="40">
        <v>12.52</v>
      </c>
      <c r="D3504" s="40">
        <v>11.55</v>
      </c>
      <c r="E3504" s="40">
        <v>11.6</v>
      </c>
      <c r="K3504" s="40"/>
      <c r="P3504" s="40"/>
      <c r="Q3504" s="40"/>
      <c r="R3504" s="40"/>
    </row>
    <row r="3505" spans="1:18" x14ac:dyDescent="0.2">
      <c r="A3505" s="41">
        <v>45424</v>
      </c>
      <c r="B3505" s="40">
        <v>11.86</v>
      </c>
      <c r="C3505" s="40">
        <v>11.96</v>
      </c>
      <c r="D3505" s="40">
        <v>11.31</v>
      </c>
      <c r="E3505" s="40">
        <v>11.68</v>
      </c>
      <c r="K3505" s="40"/>
      <c r="P3505" s="40"/>
      <c r="Q3505" s="40"/>
      <c r="R3505" s="40"/>
    </row>
    <row r="3506" spans="1:18" x14ac:dyDescent="0.2">
      <c r="A3506" s="41">
        <v>45455</v>
      </c>
      <c r="B3506" s="40">
        <v>11.02</v>
      </c>
      <c r="C3506" s="40">
        <v>11.02</v>
      </c>
      <c r="D3506" s="40">
        <v>10.16</v>
      </c>
      <c r="E3506" s="40">
        <v>10.38</v>
      </c>
      <c r="K3506" s="40"/>
      <c r="P3506" s="40"/>
      <c r="Q3506" s="40"/>
      <c r="R3506" s="40"/>
    </row>
    <row r="3507" spans="1:18" x14ac:dyDescent="0.2">
      <c r="A3507" s="41">
        <v>45547</v>
      </c>
      <c r="B3507" s="40">
        <v>12.15</v>
      </c>
      <c r="C3507" s="40">
        <v>13.2</v>
      </c>
      <c r="D3507" s="40">
        <v>12.07</v>
      </c>
      <c r="E3507" s="40">
        <v>12.97</v>
      </c>
      <c r="K3507" s="40"/>
      <c r="P3507" s="40"/>
      <c r="Q3507" s="40"/>
      <c r="R3507" s="40"/>
    </row>
    <row r="3508" spans="1:18" x14ac:dyDescent="0.2">
      <c r="A3508" s="41">
        <v>45577</v>
      </c>
      <c r="B3508" s="40">
        <v>13.17</v>
      </c>
      <c r="C3508" s="40">
        <v>13.69</v>
      </c>
      <c r="D3508" s="40">
        <v>12.77</v>
      </c>
      <c r="E3508" s="40">
        <v>13.29</v>
      </c>
      <c r="K3508" s="40"/>
      <c r="P3508" s="40"/>
      <c r="Q3508" s="40"/>
      <c r="R3508" s="40"/>
    </row>
    <row r="3509" spans="1:18" x14ac:dyDescent="0.2">
      <c r="A3509" s="41">
        <v>45608</v>
      </c>
      <c r="B3509" s="40">
        <v>12.67</v>
      </c>
      <c r="C3509" s="40">
        <v>12.67</v>
      </c>
      <c r="D3509" s="40">
        <v>12.03</v>
      </c>
      <c r="E3509" s="40">
        <v>12.04</v>
      </c>
      <c r="K3509" s="40"/>
      <c r="P3509" s="40"/>
      <c r="Q3509" s="40"/>
      <c r="R3509" s="40"/>
    </row>
    <row r="3510" spans="1:18" x14ac:dyDescent="0.2">
      <c r="A3510" s="41">
        <v>45638</v>
      </c>
      <c r="B3510" s="40">
        <v>11.89</v>
      </c>
      <c r="C3510" s="40">
        <v>12.32</v>
      </c>
      <c r="D3510" s="40">
        <v>11.51</v>
      </c>
      <c r="E3510" s="40">
        <v>11.93</v>
      </c>
      <c r="K3510" s="40"/>
      <c r="P3510" s="40"/>
      <c r="Q3510" s="40"/>
      <c r="R3510" s="40"/>
    </row>
    <row r="3511" spans="1:18" x14ac:dyDescent="0.2">
      <c r="A3511" s="40" t="s">
        <v>2869</v>
      </c>
      <c r="B3511" s="40">
        <v>11.05</v>
      </c>
      <c r="C3511" s="40">
        <v>12.07</v>
      </c>
      <c r="D3511" s="40">
        <v>10.71</v>
      </c>
      <c r="E3511" s="40">
        <v>10.9</v>
      </c>
      <c r="K3511" s="40"/>
      <c r="P3511" s="40"/>
      <c r="Q3511" s="40"/>
      <c r="R3511" s="40"/>
    </row>
    <row r="3512" spans="1:18" x14ac:dyDescent="0.2">
      <c r="A3512" s="40" t="s">
        <v>2870</v>
      </c>
      <c r="B3512" s="40">
        <v>11.46</v>
      </c>
      <c r="C3512" s="40">
        <v>12.06</v>
      </c>
      <c r="D3512" s="40">
        <v>11.05</v>
      </c>
      <c r="E3512" s="40">
        <v>12.06</v>
      </c>
      <c r="K3512" s="40"/>
      <c r="P3512" s="40"/>
      <c r="Q3512" s="40"/>
      <c r="R3512" s="40"/>
    </row>
    <row r="3513" spans="1:18" x14ac:dyDescent="0.2">
      <c r="A3513" s="40" t="s">
        <v>2871</v>
      </c>
      <c r="B3513" s="40">
        <v>12.8</v>
      </c>
      <c r="C3513" s="40">
        <v>13.9</v>
      </c>
      <c r="D3513" s="40">
        <v>12.51</v>
      </c>
      <c r="E3513" s="40">
        <v>13.39</v>
      </c>
      <c r="K3513" s="40"/>
      <c r="P3513" s="40"/>
      <c r="Q3513" s="40"/>
      <c r="R3513" s="40"/>
    </row>
    <row r="3514" spans="1:18" x14ac:dyDescent="0.2">
      <c r="A3514" s="40" t="s">
        <v>2872</v>
      </c>
      <c r="B3514" s="40">
        <v>12.9</v>
      </c>
      <c r="C3514" s="40">
        <v>35.86</v>
      </c>
      <c r="D3514" s="40">
        <v>12.4</v>
      </c>
      <c r="E3514" s="40">
        <v>35.42</v>
      </c>
      <c r="K3514" s="40"/>
      <c r="P3514" s="40"/>
      <c r="Q3514" s="40"/>
      <c r="R3514" s="40"/>
    </row>
    <row r="3515" spans="1:18" x14ac:dyDescent="0.2">
      <c r="A3515" s="40" t="s">
        <v>2873</v>
      </c>
      <c r="B3515" s="40">
        <v>20.55</v>
      </c>
      <c r="C3515" s="40">
        <v>25.32</v>
      </c>
      <c r="D3515" s="40">
        <v>18.75</v>
      </c>
      <c r="E3515" s="40">
        <v>23.72</v>
      </c>
      <c r="K3515" s="40"/>
      <c r="P3515" s="40"/>
      <c r="Q3515" s="40"/>
      <c r="R3515" s="40"/>
    </row>
    <row r="3516" spans="1:18" x14ac:dyDescent="0.2">
      <c r="A3516" s="40" t="s">
        <v>2874</v>
      </c>
      <c r="B3516" s="40">
        <v>22.41</v>
      </c>
      <c r="C3516" s="40">
        <v>22.41</v>
      </c>
      <c r="D3516" s="40">
        <v>14.95</v>
      </c>
      <c r="E3516" s="40">
        <v>15.95</v>
      </c>
      <c r="K3516" s="40"/>
      <c r="P3516" s="40"/>
      <c r="Q3516" s="40"/>
      <c r="R3516" s="40"/>
    </row>
    <row r="3517" spans="1:18" x14ac:dyDescent="0.2">
      <c r="A3517" s="40" t="s">
        <v>2875</v>
      </c>
      <c r="B3517" s="40">
        <v>17.34</v>
      </c>
      <c r="C3517" s="40">
        <v>19.7</v>
      </c>
      <c r="D3517" s="40">
        <v>14.51</v>
      </c>
      <c r="E3517" s="40">
        <v>14.76</v>
      </c>
      <c r="K3517" s="40"/>
      <c r="P3517" s="40"/>
      <c r="Q3517" s="40"/>
      <c r="R3517" s="40"/>
    </row>
    <row r="3518" spans="1:18" x14ac:dyDescent="0.2">
      <c r="A3518" s="40" t="s">
        <v>2876</v>
      </c>
      <c r="B3518" s="40">
        <v>14.98</v>
      </c>
      <c r="C3518" s="40">
        <v>15.03</v>
      </c>
      <c r="D3518" s="40">
        <v>10.84</v>
      </c>
      <c r="E3518" s="40">
        <v>10.89</v>
      </c>
      <c r="K3518" s="40"/>
      <c r="P3518" s="40"/>
      <c r="Q3518" s="40"/>
      <c r="R3518" s="40"/>
    </row>
    <row r="3519" spans="1:18" x14ac:dyDescent="0.2">
      <c r="A3519" s="40" t="s">
        <v>2877</v>
      </c>
      <c r="B3519" s="40">
        <v>12.63</v>
      </c>
      <c r="C3519" s="40">
        <v>13.54</v>
      </c>
      <c r="D3519" s="40">
        <v>11.38</v>
      </c>
      <c r="E3519" s="40">
        <v>11.63</v>
      </c>
      <c r="K3519" s="40"/>
      <c r="P3519" s="40"/>
      <c r="Q3519" s="40"/>
      <c r="R3519" s="40"/>
    </row>
    <row r="3520" spans="1:18" x14ac:dyDescent="0.2">
      <c r="A3520" s="40" t="s">
        <v>2878</v>
      </c>
      <c r="B3520" s="40">
        <v>13.4</v>
      </c>
      <c r="C3520" s="40">
        <v>16.73</v>
      </c>
      <c r="D3520" s="40">
        <v>13.19</v>
      </c>
      <c r="E3520" s="40">
        <v>13.31</v>
      </c>
      <c r="K3520" s="40"/>
      <c r="P3520" s="40"/>
      <c r="Q3520" s="40"/>
      <c r="R3520" s="40"/>
    </row>
    <row r="3521" spans="1:18" x14ac:dyDescent="0.2">
      <c r="A3521" s="40" t="s">
        <v>2879</v>
      </c>
      <c r="B3521" s="40">
        <v>16.98</v>
      </c>
      <c r="C3521" s="40">
        <v>18</v>
      </c>
      <c r="D3521" s="40">
        <v>15</v>
      </c>
      <c r="E3521" s="40">
        <v>15.81</v>
      </c>
      <c r="K3521" s="40"/>
      <c r="P3521" s="40"/>
      <c r="Q3521" s="40"/>
      <c r="R3521" s="40"/>
    </row>
    <row r="3522" spans="1:18" x14ac:dyDescent="0.2">
      <c r="A3522" s="40" t="s">
        <v>2880</v>
      </c>
      <c r="B3522" s="40">
        <v>15.63</v>
      </c>
      <c r="C3522" s="40">
        <v>16.100000000000001</v>
      </c>
      <c r="D3522" s="40">
        <v>14.95</v>
      </c>
      <c r="E3522" s="40">
        <v>15.15</v>
      </c>
      <c r="K3522" s="40"/>
      <c r="P3522" s="40"/>
      <c r="Q3522" s="40"/>
      <c r="R3522" s="40"/>
    </row>
    <row r="3523" spans="1:18" x14ac:dyDescent="0.2">
      <c r="A3523" s="41">
        <v>45689</v>
      </c>
      <c r="B3523" s="40">
        <v>15.58</v>
      </c>
      <c r="C3523" s="40">
        <v>17.96</v>
      </c>
      <c r="D3523" s="40">
        <v>15.34</v>
      </c>
      <c r="E3523" s="40">
        <v>16.260000000000002</v>
      </c>
      <c r="K3523" s="40"/>
      <c r="P3523" s="40"/>
      <c r="Q3523" s="40"/>
      <c r="R3523" s="40"/>
    </row>
    <row r="3524" spans="1:18" x14ac:dyDescent="0.2">
      <c r="A3524" s="41">
        <v>45717</v>
      </c>
      <c r="B3524" s="40">
        <v>15.95</v>
      </c>
      <c r="C3524" s="40">
        <v>16.239999999999998</v>
      </c>
      <c r="D3524" s="40">
        <v>13.33</v>
      </c>
      <c r="E3524" s="40">
        <v>13.44</v>
      </c>
      <c r="K3524" s="40"/>
      <c r="P3524" s="40"/>
      <c r="Q3524" s="40"/>
      <c r="R3524" s="40"/>
    </row>
    <row r="3525" spans="1:18" x14ac:dyDescent="0.2">
      <c r="A3525" s="41">
        <v>45809</v>
      </c>
      <c r="B3525" s="40">
        <v>14.94</v>
      </c>
      <c r="C3525" s="40">
        <v>15</v>
      </c>
      <c r="D3525" s="40">
        <v>13.97</v>
      </c>
      <c r="E3525" s="40">
        <v>14.2</v>
      </c>
      <c r="K3525" s="40"/>
      <c r="P3525" s="40"/>
      <c r="Q3525" s="40"/>
      <c r="R3525" s="40"/>
    </row>
    <row r="3526" spans="1:18" x14ac:dyDescent="0.2">
      <c r="A3526" s="41">
        <v>45839</v>
      </c>
      <c r="B3526" s="40">
        <v>14.16</v>
      </c>
      <c r="C3526" s="40">
        <v>17.579999999999998</v>
      </c>
      <c r="D3526" s="40">
        <v>14.16</v>
      </c>
      <c r="E3526" s="40">
        <v>16.100000000000001</v>
      </c>
      <c r="K3526" s="40"/>
      <c r="P3526" s="40"/>
      <c r="Q3526" s="40"/>
      <c r="R3526" s="40"/>
    </row>
    <row r="3527" spans="1:18" x14ac:dyDescent="0.2">
      <c r="A3527" s="41">
        <v>45870</v>
      </c>
      <c r="B3527" s="40">
        <v>17.87</v>
      </c>
      <c r="C3527" s="40">
        <v>18.399999999999999</v>
      </c>
      <c r="D3527" s="40">
        <v>15.46</v>
      </c>
      <c r="E3527" s="40">
        <v>16.149999999999999</v>
      </c>
      <c r="K3527" s="40"/>
      <c r="P3527" s="40"/>
      <c r="Q3527" s="40"/>
      <c r="R3527" s="40"/>
    </row>
    <row r="3528" spans="1:18" x14ac:dyDescent="0.2">
      <c r="A3528" s="41">
        <v>45931</v>
      </c>
      <c r="B3528" s="40">
        <v>18.02</v>
      </c>
      <c r="C3528" s="40">
        <v>19.64</v>
      </c>
      <c r="D3528" s="40">
        <v>16.96</v>
      </c>
      <c r="E3528" s="40">
        <v>17.829999999999998</v>
      </c>
      <c r="K3528" s="40"/>
      <c r="P3528" s="40"/>
      <c r="Q3528" s="40"/>
      <c r="R3528" s="40"/>
    </row>
    <row r="3529" spans="1:18" x14ac:dyDescent="0.2">
      <c r="A3529" s="40" t="s">
        <v>2881</v>
      </c>
      <c r="B3529" s="40">
        <v>21.15</v>
      </c>
      <c r="C3529" s="40">
        <v>21.21</v>
      </c>
      <c r="D3529" s="40">
        <v>18.309999999999999</v>
      </c>
      <c r="E3529" s="40">
        <v>18.7</v>
      </c>
      <c r="K3529" s="40"/>
      <c r="P3529" s="40"/>
      <c r="Q3529" s="40"/>
      <c r="R3529" s="40"/>
    </row>
    <row r="3530" spans="1:18" x14ac:dyDescent="0.2">
      <c r="A3530" s="40" t="s">
        <v>2882</v>
      </c>
      <c r="B3530" s="40">
        <v>18.37</v>
      </c>
      <c r="C3530" s="40">
        <v>19.46</v>
      </c>
      <c r="D3530" s="40">
        <v>17.649999999999999</v>
      </c>
      <c r="E3530" s="40">
        <v>18.149999999999999</v>
      </c>
      <c r="K3530" s="40"/>
      <c r="P3530" s="40"/>
      <c r="Q3530" s="40"/>
      <c r="R3530" s="40"/>
    </row>
    <row r="3531" spans="1:18" x14ac:dyDescent="0.2">
      <c r="A3531" s="40" t="s">
        <v>2883</v>
      </c>
      <c r="B3531" s="40">
        <v>15.78</v>
      </c>
      <c r="C3531" s="40">
        <v>15.78</v>
      </c>
      <c r="D3531" s="40">
        <v>13.64</v>
      </c>
      <c r="E3531" s="40">
        <v>13.94</v>
      </c>
      <c r="K3531" s="40"/>
      <c r="P3531" s="40"/>
      <c r="Q3531" s="40"/>
      <c r="R3531" s="40"/>
    </row>
    <row r="3532" spans="1:18" x14ac:dyDescent="0.2">
      <c r="A3532" s="40" t="s">
        <v>2884</v>
      </c>
      <c r="B3532" s="40">
        <v>14.26</v>
      </c>
      <c r="C3532" s="40">
        <v>14.88</v>
      </c>
      <c r="D3532" s="40">
        <v>13.65</v>
      </c>
      <c r="E3532" s="40">
        <v>14.88</v>
      </c>
      <c r="K3532" s="40"/>
      <c r="P3532" s="40"/>
      <c r="Q3532" s="40"/>
      <c r="R3532" s="40"/>
    </row>
    <row r="3533" spans="1:18" x14ac:dyDescent="0.2">
      <c r="A3533" s="40" t="s">
        <v>2885</v>
      </c>
      <c r="B3533" s="40">
        <v>14.59</v>
      </c>
      <c r="C3533" s="40">
        <v>14.87</v>
      </c>
      <c r="D3533" s="40">
        <v>13.82</v>
      </c>
      <c r="E3533" s="40">
        <v>14.13</v>
      </c>
      <c r="K3533" s="40"/>
      <c r="P3533" s="40"/>
      <c r="Q3533" s="40"/>
      <c r="R3533" s="40"/>
    </row>
    <row r="3534" spans="1:18" x14ac:dyDescent="0.2">
      <c r="A3534" s="40" t="s">
        <v>2886</v>
      </c>
      <c r="B3534" s="40">
        <v>16.32</v>
      </c>
      <c r="C3534" s="40">
        <v>16.399999999999999</v>
      </c>
      <c r="D3534" s="40">
        <v>14.14</v>
      </c>
      <c r="E3534" s="40">
        <v>14.31</v>
      </c>
      <c r="K3534" s="40"/>
      <c r="P3534" s="40"/>
      <c r="Q3534" s="40"/>
      <c r="R3534" s="40"/>
    </row>
    <row r="3535" spans="1:18" x14ac:dyDescent="0.2">
      <c r="A3535" s="40" t="s">
        <v>2887</v>
      </c>
      <c r="B3535" s="40">
        <v>14.27</v>
      </c>
      <c r="C3535" s="40">
        <v>14.27</v>
      </c>
      <c r="D3535" s="40">
        <v>13.49</v>
      </c>
      <c r="E3535" s="40">
        <v>13.57</v>
      </c>
      <c r="K3535" s="40"/>
      <c r="P3535" s="40"/>
      <c r="Q3535" s="40"/>
      <c r="R3535" s="40"/>
    </row>
    <row r="3536" spans="1:18" x14ac:dyDescent="0.2">
      <c r="A3536" s="40" t="s">
        <v>2888</v>
      </c>
      <c r="B3536" s="40">
        <v>13.84</v>
      </c>
      <c r="C3536" s="40">
        <v>13.84</v>
      </c>
      <c r="D3536" s="40">
        <v>13.16</v>
      </c>
      <c r="E3536" s="40">
        <v>13.42</v>
      </c>
      <c r="K3536" s="40"/>
      <c r="P3536" s="40"/>
      <c r="Q3536" s="40"/>
      <c r="R3536" s="40"/>
    </row>
    <row r="3537" spans="1:18" x14ac:dyDescent="0.2">
      <c r="A3537" s="40" t="s">
        <v>2889</v>
      </c>
      <c r="B3537" s="40">
        <v>13.51</v>
      </c>
      <c r="C3537" s="40">
        <v>13.57</v>
      </c>
      <c r="D3537" s="40">
        <v>12.66</v>
      </c>
      <c r="E3537" s="40">
        <v>12.88</v>
      </c>
      <c r="K3537" s="40"/>
      <c r="P3537" s="40"/>
      <c r="Q3537" s="40"/>
      <c r="R3537" s="40"/>
    </row>
    <row r="3538" spans="1:18" x14ac:dyDescent="0.2">
      <c r="A3538" s="40" t="s">
        <v>2890</v>
      </c>
      <c r="B3538" s="40">
        <v>21.79</v>
      </c>
      <c r="C3538" s="40">
        <v>21.79</v>
      </c>
      <c r="D3538" s="40">
        <v>18.3</v>
      </c>
      <c r="E3538" s="40">
        <v>18.45</v>
      </c>
      <c r="K3538" s="40"/>
      <c r="P3538" s="40"/>
      <c r="Q3538" s="40"/>
      <c r="R3538" s="40"/>
    </row>
    <row r="3539" spans="1:18" x14ac:dyDescent="0.2">
      <c r="A3539" s="40" t="s">
        <v>2891</v>
      </c>
      <c r="B3539" s="40">
        <v>18.29</v>
      </c>
      <c r="C3539" s="40">
        <v>19.329999999999998</v>
      </c>
      <c r="D3539" s="40">
        <v>16.48</v>
      </c>
      <c r="E3539" s="40">
        <v>16.64</v>
      </c>
      <c r="K3539" s="40"/>
      <c r="P3539" s="40"/>
      <c r="Q3539" s="40"/>
      <c r="R3539" s="40"/>
    </row>
    <row r="3540" spans="1:18" x14ac:dyDescent="0.2">
      <c r="A3540" s="40" t="s">
        <v>2892</v>
      </c>
      <c r="B3540" s="40">
        <v>17.02</v>
      </c>
      <c r="C3540" s="40">
        <v>18.57</v>
      </c>
      <c r="D3540" s="40">
        <v>16.18</v>
      </c>
      <c r="E3540" s="40">
        <v>16.41</v>
      </c>
      <c r="K3540" s="40"/>
      <c r="P3540" s="40"/>
      <c r="Q3540" s="40"/>
      <c r="R3540" s="40"/>
    </row>
    <row r="3541" spans="1:18" x14ac:dyDescent="0.2">
      <c r="A3541" s="40" t="s">
        <v>2893</v>
      </c>
      <c r="B3541" s="40">
        <v>15.45</v>
      </c>
      <c r="C3541" s="40">
        <v>15.89</v>
      </c>
      <c r="D3541" s="40">
        <v>14.46</v>
      </c>
      <c r="E3541" s="40">
        <v>14.98</v>
      </c>
      <c r="K3541" s="40"/>
      <c r="P3541" s="40"/>
      <c r="Q3541" s="40"/>
      <c r="R3541" s="40"/>
    </row>
    <row r="3542" spans="1:18" x14ac:dyDescent="0.2">
      <c r="A3542" s="40" t="s">
        <v>2894</v>
      </c>
      <c r="B3542" s="40">
        <v>14.33</v>
      </c>
      <c r="C3542" s="40">
        <v>16.579999999999998</v>
      </c>
      <c r="D3542" s="40">
        <v>13.59</v>
      </c>
      <c r="E3542" s="40">
        <v>15.85</v>
      </c>
      <c r="K3542" s="40"/>
      <c r="P3542" s="40"/>
      <c r="Q3542" s="40"/>
      <c r="R3542" s="40"/>
    </row>
    <row r="3543" spans="1:18" x14ac:dyDescent="0.2">
      <c r="A3543" s="41">
        <v>45718</v>
      </c>
      <c r="B3543" s="40">
        <v>20.420000000000002</v>
      </c>
      <c r="C3543" s="40">
        <v>21.99</v>
      </c>
      <c r="D3543" s="40">
        <v>18.739999999999998</v>
      </c>
      <c r="E3543" s="40">
        <v>19.38</v>
      </c>
      <c r="K3543" s="40"/>
      <c r="P3543" s="40"/>
      <c r="Q3543" s="40"/>
      <c r="R3543" s="40"/>
    </row>
    <row r="3544" spans="1:18" x14ac:dyDescent="0.2">
      <c r="A3544" s="41">
        <v>45749</v>
      </c>
      <c r="B3544" s="40">
        <v>18.47</v>
      </c>
      <c r="C3544" s="40">
        <v>18.47</v>
      </c>
      <c r="D3544" s="40">
        <v>16.579999999999998</v>
      </c>
      <c r="E3544" s="40">
        <v>17</v>
      </c>
      <c r="K3544" s="40"/>
      <c r="P3544" s="40"/>
      <c r="Q3544" s="40"/>
      <c r="R3544" s="40"/>
    </row>
    <row r="3545" spans="1:18" x14ac:dyDescent="0.2">
      <c r="A3545" s="41">
        <v>45779</v>
      </c>
      <c r="B3545" s="40">
        <v>16.66</v>
      </c>
      <c r="C3545" s="40">
        <v>17.41</v>
      </c>
      <c r="D3545" s="40">
        <v>14.86</v>
      </c>
      <c r="E3545" s="40">
        <v>14.88</v>
      </c>
      <c r="K3545" s="40"/>
      <c r="P3545" s="40"/>
      <c r="Q3545" s="40"/>
      <c r="R3545" s="40"/>
    </row>
    <row r="3546" spans="1:18" x14ac:dyDescent="0.2">
      <c r="A3546" s="41">
        <v>45810</v>
      </c>
      <c r="B3546" s="40">
        <v>14.74</v>
      </c>
      <c r="C3546" s="40">
        <v>15.14</v>
      </c>
      <c r="D3546" s="40">
        <v>13.52</v>
      </c>
      <c r="E3546" s="40">
        <v>14.15</v>
      </c>
      <c r="K3546" s="40"/>
      <c r="P3546" s="40"/>
      <c r="Q3546" s="40"/>
      <c r="R3546" s="40"/>
    </row>
    <row r="3547" spans="1:18" x14ac:dyDescent="0.2">
      <c r="A3547" s="41">
        <v>45840</v>
      </c>
      <c r="B3547" s="40">
        <v>13.14</v>
      </c>
      <c r="C3547" s="40">
        <v>15.82</v>
      </c>
      <c r="D3547" s="40">
        <v>12.41</v>
      </c>
      <c r="E3547" s="40">
        <v>14.67</v>
      </c>
      <c r="K3547" s="40"/>
      <c r="P3547" s="40"/>
      <c r="Q3547" s="40"/>
      <c r="R3547" s="40"/>
    </row>
    <row r="3548" spans="1:18" x14ac:dyDescent="0.2">
      <c r="A3548" s="41">
        <v>45932</v>
      </c>
      <c r="B3548" s="40">
        <v>14.69</v>
      </c>
      <c r="C3548" s="40">
        <v>15.03</v>
      </c>
      <c r="D3548" s="40">
        <v>13.7</v>
      </c>
      <c r="E3548" s="40">
        <v>13.76</v>
      </c>
      <c r="K3548" s="40"/>
      <c r="P3548" s="40"/>
      <c r="Q3548" s="40"/>
      <c r="R3548" s="40"/>
    </row>
  </sheetData>
  <sortState xmlns:xlrd2="http://schemas.microsoft.com/office/spreadsheetml/2017/richdata2" ref="G2:H1009">
    <sortCondition descending="1" ref="G2:G1009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7A6F99D7EA0B4AA78981B0AD6BCE6D" ma:contentTypeVersion="11" ma:contentTypeDescription="Create a new document." ma:contentTypeScope="" ma:versionID="90f450c70b9e9e127484f8c8ef665c46">
  <xsd:schema xmlns:xsd="http://www.w3.org/2001/XMLSchema" xmlns:xs="http://www.w3.org/2001/XMLSchema" xmlns:p="http://schemas.microsoft.com/office/2006/metadata/properties" xmlns:ns2="f9d2668c-1551-456b-ab30-7c5e629ce5ab" xmlns:ns3="816643c9-bc4b-4c9f-8e1e-c70af6ade71a" targetNamespace="http://schemas.microsoft.com/office/2006/metadata/properties" ma:root="true" ma:fieldsID="2d210d31c69bfe2f0ebb2659e1bfc3e9" ns2:_="" ns3:_="">
    <xsd:import namespace="f9d2668c-1551-456b-ab30-7c5e629ce5ab"/>
    <xsd:import namespace="816643c9-bc4b-4c9f-8e1e-c70af6ade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2668c-1551-456b-ab30-7c5e629ce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737b4c-a8da-4a75-ad10-761ea9692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643c9-bc4b-4c9f-8e1e-c70af6ade7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8bea12-bb42-44a2-abd8-b797a781d275}" ma:internalName="TaxCatchAll" ma:showField="CatchAllData" ma:web="816643c9-bc4b-4c9f-8e1e-c70af6ade7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643c9-bc4b-4c9f-8e1e-c70af6ade71a" xsi:nil="true"/>
    <lcf76f155ced4ddcb4097134ff3c332f xmlns="f9d2668c-1551-456b-ab30-7c5e629ce5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E5D6FC-AEFD-42AF-8BEE-CF0E927778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6A71E5-AC14-46EE-870B-F0A0D8D57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2668c-1551-456b-ab30-7c5e629ce5ab"/>
    <ds:schemaRef ds:uri="816643c9-bc4b-4c9f-8e1e-c70af6ade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19A380-B761-4760-B098-A00C304A7A5C}">
  <ds:schemaRefs>
    <ds:schemaRef ds:uri="http://schemas.microsoft.com/office/2006/metadata/properties"/>
    <ds:schemaRef ds:uri="http://schemas.microsoft.com/office/infopath/2007/PartnerControls"/>
    <ds:schemaRef ds:uri="816643c9-bc4b-4c9f-8e1e-c70af6ade71a"/>
    <ds:schemaRef ds:uri="f9d2668c-1551-456b-ab30-7c5e629ce5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30</vt:i4>
      </vt:variant>
    </vt:vector>
  </HeadingPairs>
  <TitlesOfParts>
    <vt:vector size="33" baseType="lpstr">
      <vt:lpstr>Sheet 1</vt:lpstr>
      <vt:lpstr>VVIX_History</vt:lpstr>
      <vt:lpstr>VIX9D_History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POPESCU</cp:lastModifiedBy>
  <dcterms:created xsi:type="dcterms:W3CDTF">2025-02-11T22:57:35Z</dcterms:created>
  <dcterms:modified xsi:type="dcterms:W3CDTF">2025-02-20T11:48:05Z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0x0101009A7A6F99D7EA0B4AA78981B0AD6BCE6D</vt:lpwstr>
  </property>
</Properties>
</file>